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akano\Desktop\"/>
    </mc:Choice>
  </mc:AlternateContent>
  <xr:revisionPtr revIDLastSave="0" documentId="13_ncr:1_{356E1493-B326-4D4B-8BFA-B0AEEFA7853B}" xr6:coauthVersionLast="47" xr6:coauthVersionMax="47" xr10:uidLastSave="{00000000-0000-0000-0000-000000000000}"/>
  <bookViews>
    <workbookView xWindow="-108" yWindow="-108" windowWidth="23256" windowHeight="12456" tabRatio="804" activeTab="2" xr2:uid="{1E34C6AB-0693-4A54-A4A9-CB676319AA9D}"/>
  </bookViews>
  <sheets>
    <sheet name="メモ" sheetId="3" r:id="rId1"/>
    <sheet name="全体" sheetId="21" r:id="rId2"/>
    <sheet name="予定P" sheetId="26" r:id="rId3"/>
    <sheet name="動作P-" sheetId="24" r:id="rId4"/>
    <sheet name="MS365" sheetId="20" r:id="rId5"/>
    <sheet name="抜粋P" sheetId="23" r:id="rId6"/>
    <sheet name="完了CP" sheetId="19" r:id="rId7"/>
    <sheet name="データベース" sheetId="14" r:id="rId8"/>
    <sheet name="🔑" sheetId="18" r:id="rId9"/>
    <sheet name="L" sheetId="5" r:id="rId10"/>
    <sheet name="260220" sheetId="12" r:id="rId11"/>
    <sheet name="要約" sheetId="6" r:id="rId12"/>
    <sheet name="集計P" sheetId="7" r:id="rId13"/>
    <sheet name="250725" sheetId="9" r:id="rId14"/>
    <sheet name="250630" sheetId="4" r:id="rId15"/>
    <sheet name="250330" sheetId="13" r:id="rId16"/>
    <sheet name="名簿" sheetId="16" r:id="rId17"/>
    <sheet name="(統合)" sheetId="15" r:id="rId18"/>
  </sheets>
  <definedNames>
    <definedName name="_xlnm._FilterDatabase" localSheetId="17" hidden="1">'(統合)'!$A$6:$DZ$102</definedName>
    <definedName name="_xlnm._FilterDatabase" localSheetId="14" hidden="1">'250630'!$A$2:$E$35</definedName>
    <definedName name="_xlnm._FilterDatabase" localSheetId="7" hidden="1">データベース!$A$6:$AB$562</definedName>
    <definedName name="_xlnm._FilterDatabase" localSheetId="8" hidden="1">🔑!$A$3:$D$3</definedName>
    <definedName name="_xlnm._FilterDatabase" localSheetId="1" hidden="1">全体!$A$1:$E$1</definedName>
    <definedName name="_xlnm._FilterDatabase" localSheetId="3" hidden="1">'動作P-'!$A$1:$O$1</definedName>
    <definedName name="_xlnm._FilterDatabase" localSheetId="16" hidden="1">名簿!$A$2:$N$98</definedName>
    <definedName name="_xlnm.Print_Titles" localSheetId="14">'250630'!$1:$2</definedName>
    <definedName name="_xlnm.Print_Titles" localSheetId="7">データベース!$1:$6</definedName>
    <definedName name="_xlnm.Print_Titles" localSheetId="3">'動作P-'!$1:$1</definedName>
  </definedNames>
  <calcPr calcId="191029"/>
  <pivotCaches>
    <pivotCache cacheId="112" r:id="rId19"/>
    <pivotCache cacheId="131" r:id="rId20"/>
    <pivotCache cacheId="137" r:id="rId21"/>
    <pivotCache cacheId="147"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6" i="21" l="1"/>
  <c r="A38" i="21"/>
  <c r="A37" i="21"/>
  <c r="AA404" i="14"/>
  <c r="Z404" i="14"/>
  <c r="Y404" i="14"/>
  <c r="X404" i="14"/>
  <c r="W404" i="14"/>
  <c r="Q535" i="14"/>
  <c r="Q533" i="14"/>
  <c r="Q530" i="14"/>
  <c r="Q529" i="14"/>
  <c r="Q526" i="14"/>
  <c r="Q523" i="14"/>
  <c r="Q522" i="14"/>
  <c r="Q521" i="14"/>
  <c r="Q520" i="14"/>
  <c r="Q519" i="14"/>
  <c r="Q518" i="14"/>
  <c r="Q516" i="14"/>
  <c r="Q514" i="14"/>
  <c r="Q513" i="14"/>
  <c r="Q512" i="14"/>
  <c r="Q511" i="14"/>
  <c r="Q510" i="14"/>
  <c r="Q509" i="14"/>
  <c r="B19" i="18"/>
  <c r="C19" i="18"/>
  <c r="D19" i="18"/>
  <c r="B11" i="18"/>
  <c r="C11" i="18"/>
  <c r="D11" i="18"/>
  <c r="B9" i="18"/>
  <c r="C9" i="18"/>
  <c r="D9" i="18"/>
  <c r="B18" i="18"/>
  <c r="C18" i="18"/>
  <c r="D18" i="18"/>
  <c r="B13" i="18"/>
  <c r="C13" i="18"/>
  <c r="D13" i="18"/>
  <c r="B12" i="18"/>
  <c r="C12" i="18"/>
  <c r="D12" i="18"/>
  <c r="B6" i="18"/>
  <c r="C6" i="18"/>
  <c r="D6" i="18"/>
  <c r="B17" i="18"/>
  <c r="C17" i="18"/>
  <c r="D17" i="18"/>
  <c r="B5" i="18"/>
  <c r="C5" i="18"/>
  <c r="D5" i="18"/>
  <c r="B15" i="18"/>
  <c r="C15" i="18"/>
  <c r="D15" i="18"/>
  <c r="B16" i="18"/>
  <c r="C16" i="18"/>
  <c r="D16" i="18"/>
  <c r="B8" i="18"/>
  <c r="C8" i="18"/>
  <c r="D8" i="18"/>
  <c r="B20" i="18"/>
  <c r="C20" i="18"/>
  <c r="D20" i="18"/>
  <c r="B4" i="18"/>
  <c r="C4" i="18"/>
  <c r="D4" i="18"/>
  <c r="B14" i="18"/>
  <c r="C14" i="18"/>
  <c r="D14" i="18"/>
  <c r="B21" i="18"/>
  <c r="C21" i="18"/>
  <c r="D21" i="18"/>
  <c r="B10" i="18"/>
  <c r="C10" i="18"/>
  <c r="D10" i="18"/>
  <c r="D7" i="18"/>
  <c r="C7" i="18"/>
  <c r="B7" i="18"/>
  <c r="W8" i="14"/>
  <c r="X8" i="14"/>
  <c r="Y8" i="14"/>
  <c r="Z8" i="14"/>
  <c r="AA8" i="14"/>
  <c r="W9" i="14"/>
  <c r="X9" i="14"/>
  <c r="Y9" i="14"/>
  <c r="Z9" i="14"/>
  <c r="AA9" i="14"/>
  <c r="W10" i="14"/>
  <c r="X10" i="14"/>
  <c r="Y10" i="14"/>
  <c r="Z10" i="14"/>
  <c r="AA10" i="14"/>
  <c r="W11" i="14"/>
  <c r="X11" i="14"/>
  <c r="Y11" i="14"/>
  <c r="Z11" i="14"/>
  <c r="AA11" i="14"/>
  <c r="W12" i="14"/>
  <c r="X12" i="14"/>
  <c r="Y12" i="14"/>
  <c r="Z12" i="14"/>
  <c r="AA12" i="14"/>
  <c r="W13" i="14"/>
  <c r="X13" i="14"/>
  <c r="Y13" i="14"/>
  <c r="Z13" i="14"/>
  <c r="AA13" i="14"/>
  <c r="W14" i="14"/>
  <c r="X14" i="14"/>
  <c r="Y14" i="14"/>
  <c r="Z14" i="14"/>
  <c r="AA14" i="14"/>
  <c r="W15" i="14"/>
  <c r="X15" i="14"/>
  <c r="Y15" i="14"/>
  <c r="Z15" i="14"/>
  <c r="AA15" i="14"/>
  <c r="W16" i="14"/>
  <c r="X16" i="14"/>
  <c r="Y16" i="14"/>
  <c r="Z16" i="14"/>
  <c r="AA16" i="14"/>
  <c r="W17" i="14"/>
  <c r="X17" i="14"/>
  <c r="Y17" i="14"/>
  <c r="Z17" i="14"/>
  <c r="AA17" i="14"/>
  <c r="W18" i="14"/>
  <c r="X18" i="14"/>
  <c r="Y18" i="14"/>
  <c r="Z18" i="14"/>
  <c r="AA18" i="14"/>
  <c r="W19" i="14"/>
  <c r="X19" i="14"/>
  <c r="Y19" i="14"/>
  <c r="Z19" i="14"/>
  <c r="AA19" i="14"/>
  <c r="W20" i="14"/>
  <c r="X20" i="14"/>
  <c r="Y20" i="14"/>
  <c r="Z20" i="14"/>
  <c r="AA20" i="14"/>
  <c r="W21" i="14"/>
  <c r="X21" i="14"/>
  <c r="Y21" i="14"/>
  <c r="Z21" i="14"/>
  <c r="AA21" i="14"/>
  <c r="W22" i="14"/>
  <c r="X22" i="14"/>
  <c r="Y22" i="14"/>
  <c r="Z22" i="14"/>
  <c r="AA22" i="14"/>
  <c r="W23" i="14"/>
  <c r="X23" i="14"/>
  <c r="Y23" i="14"/>
  <c r="Z23" i="14"/>
  <c r="AA23" i="14"/>
  <c r="W24" i="14"/>
  <c r="X24" i="14"/>
  <c r="Y24" i="14"/>
  <c r="Z24" i="14"/>
  <c r="AA24" i="14"/>
  <c r="W25" i="14"/>
  <c r="X25" i="14"/>
  <c r="Y25" i="14"/>
  <c r="Z25" i="14"/>
  <c r="AA25" i="14"/>
  <c r="W26" i="14"/>
  <c r="X26" i="14"/>
  <c r="Y26" i="14"/>
  <c r="Z26" i="14"/>
  <c r="AA26" i="14"/>
  <c r="W27" i="14"/>
  <c r="X27" i="14"/>
  <c r="Y27" i="14"/>
  <c r="Z27" i="14"/>
  <c r="AA27" i="14"/>
  <c r="W28" i="14"/>
  <c r="X28" i="14"/>
  <c r="Y28" i="14"/>
  <c r="Z28" i="14"/>
  <c r="AA28" i="14"/>
  <c r="W29" i="14"/>
  <c r="X29" i="14"/>
  <c r="Y29" i="14"/>
  <c r="Z29" i="14"/>
  <c r="AA29" i="14"/>
  <c r="W30" i="14"/>
  <c r="X30" i="14"/>
  <c r="Y30" i="14"/>
  <c r="Z30" i="14"/>
  <c r="AA30" i="14"/>
  <c r="W31" i="14"/>
  <c r="X31" i="14"/>
  <c r="Y31" i="14"/>
  <c r="Z31" i="14"/>
  <c r="AA31" i="14"/>
  <c r="W32" i="14"/>
  <c r="X32" i="14"/>
  <c r="Y32" i="14"/>
  <c r="Z32" i="14"/>
  <c r="AA32" i="14"/>
  <c r="W33" i="14"/>
  <c r="X33" i="14"/>
  <c r="Y33" i="14"/>
  <c r="Z33" i="14"/>
  <c r="AA33" i="14"/>
  <c r="W34" i="14"/>
  <c r="X34" i="14"/>
  <c r="Y34" i="14"/>
  <c r="Z34" i="14"/>
  <c r="AA34" i="14"/>
  <c r="W35" i="14"/>
  <c r="X35" i="14"/>
  <c r="Y35" i="14"/>
  <c r="Z35" i="14"/>
  <c r="AA35" i="14"/>
  <c r="W36" i="14"/>
  <c r="X36" i="14"/>
  <c r="Y36" i="14"/>
  <c r="Z36" i="14"/>
  <c r="AA36" i="14"/>
  <c r="W37" i="14"/>
  <c r="X37" i="14"/>
  <c r="Y37" i="14"/>
  <c r="Z37" i="14"/>
  <c r="AA37" i="14"/>
  <c r="W38" i="14"/>
  <c r="X38" i="14"/>
  <c r="Y38" i="14"/>
  <c r="Z38" i="14"/>
  <c r="AA38" i="14"/>
  <c r="W39" i="14"/>
  <c r="X39" i="14"/>
  <c r="Y39" i="14"/>
  <c r="Z39" i="14"/>
  <c r="AA39" i="14"/>
  <c r="W40" i="14"/>
  <c r="X40" i="14"/>
  <c r="Y40" i="14"/>
  <c r="Z40" i="14"/>
  <c r="AA40" i="14"/>
  <c r="W41" i="14"/>
  <c r="X41" i="14"/>
  <c r="Y41" i="14"/>
  <c r="Z41" i="14"/>
  <c r="AA41" i="14"/>
  <c r="W42" i="14"/>
  <c r="X42" i="14"/>
  <c r="Y42" i="14"/>
  <c r="Z42" i="14"/>
  <c r="AA42" i="14"/>
  <c r="W43" i="14"/>
  <c r="X43" i="14"/>
  <c r="Y43" i="14"/>
  <c r="Z43" i="14"/>
  <c r="AA43" i="14"/>
  <c r="W44" i="14"/>
  <c r="X44" i="14"/>
  <c r="Y44" i="14"/>
  <c r="Z44" i="14"/>
  <c r="AA44" i="14"/>
  <c r="W45" i="14"/>
  <c r="X45" i="14"/>
  <c r="Y45" i="14"/>
  <c r="Z45" i="14"/>
  <c r="AA45" i="14"/>
  <c r="W46" i="14"/>
  <c r="X46" i="14"/>
  <c r="Y46" i="14"/>
  <c r="Z46" i="14"/>
  <c r="AA46" i="14"/>
  <c r="W47" i="14"/>
  <c r="X47" i="14"/>
  <c r="Y47" i="14"/>
  <c r="Z47" i="14"/>
  <c r="AA47" i="14"/>
  <c r="W48" i="14"/>
  <c r="X48" i="14"/>
  <c r="Y48" i="14"/>
  <c r="Z48" i="14"/>
  <c r="AA48" i="14"/>
  <c r="W49" i="14"/>
  <c r="X49" i="14"/>
  <c r="Y49" i="14"/>
  <c r="Z49" i="14"/>
  <c r="AA49" i="14"/>
  <c r="W50" i="14"/>
  <c r="X50" i="14"/>
  <c r="Y50" i="14"/>
  <c r="Z50" i="14"/>
  <c r="AA50" i="14"/>
  <c r="W51" i="14"/>
  <c r="X51" i="14"/>
  <c r="Y51" i="14"/>
  <c r="Z51" i="14"/>
  <c r="AA51" i="14"/>
  <c r="W52" i="14"/>
  <c r="X52" i="14"/>
  <c r="Y52" i="14"/>
  <c r="Z52" i="14"/>
  <c r="AA52" i="14"/>
  <c r="W53" i="14"/>
  <c r="X53" i="14"/>
  <c r="Y53" i="14"/>
  <c r="Z53" i="14"/>
  <c r="AA53" i="14"/>
  <c r="W54" i="14"/>
  <c r="X54" i="14"/>
  <c r="Y54" i="14"/>
  <c r="Z54" i="14"/>
  <c r="AA54" i="14"/>
  <c r="W55" i="14"/>
  <c r="X55" i="14"/>
  <c r="Y55" i="14"/>
  <c r="Z55" i="14"/>
  <c r="AA55" i="14"/>
  <c r="W56" i="14"/>
  <c r="X56" i="14"/>
  <c r="Y56" i="14"/>
  <c r="Z56" i="14"/>
  <c r="AA56" i="14"/>
  <c r="W57" i="14"/>
  <c r="X57" i="14"/>
  <c r="Y57" i="14"/>
  <c r="Z57" i="14"/>
  <c r="AA57" i="14"/>
  <c r="W58" i="14"/>
  <c r="X58" i="14"/>
  <c r="Y58" i="14"/>
  <c r="Z58" i="14"/>
  <c r="AA58" i="14"/>
  <c r="W59" i="14"/>
  <c r="X59" i="14"/>
  <c r="Y59" i="14"/>
  <c r="Z59" i="14"/>
  <c r="AA59" i="14"/>
  <c r="W60" i="14"/>
  <c r="X60" i="14"/>
  <c r="Y60" i="14"/>
  <c r="Z60" i="14"/>
  <c r="AA60" i="14"/>
  <c r="W61" i="14"/>
  <c r="X61" i="14"/>
  <c r="Y61" i="14"/>
  <c r="Z61" i="14"/>
  <c r="AA61" i="14"/>
  <c r="W62" i="14"/>
  <c r="X62" i="14"/>
  <c r="Y62" i="14"/>
  <c r="Z62" i="14"/>
  <c r="AA62" i="14"/>
  <c r="W63" i="14"/>
  <c r="X63" i="14"/>
  <c r="Y63" i="14"/>
  <c r="Z63" i="14"/>
  <c r="AA63" i="14"/>
  <c r="W64" i="14"/>
  <c r="X64" i="14"/>
  <c r="Y64" i="14"/>
  <c r="Z64" i="14"/>
  <c r="AA64" i="14"/>
  <c r="W65" i="14"/>
  <c r="X65" i="14"/>
  <c r="Y65" i="14"/>
  <c r="Z65" i="14"/>
  <c r="AA65" i="14"/>
  <c r="W66" i="14"/>
  <c r="X66" i="14"/>
  <c r="Y66" i="14"/>
  <c r="Z66" i="14"/>
  <c r="AA66" i="14"/>
  <c r="W67" i="14"/>
  <c r="X67" i="14"/>
  <c r="Y67" i="14"/>
  <c r="Z67" i="14"/>
  <c r="AA67" i="14"/>
  <c r="W68" i="14"/>
  <c r="X68" i="14"/>
  <c r="Y68" i="14"/>
  <c r="Z68" i="14"/>
  <c r="AA68" i="14"/>
  <c r="W69" i="14"/>
  <c r="X69" i="14"/>
  <c r="Y69" i="14"/>
  <c r="Z69" i="14"/>
  <c r="AA69" i="14"/>
  <c r="W70" i="14"/>
  <c r="X70" i="14"/>
  <c r="Y70" i="14"/>
  <c r="Z70" i="14"/>
  <c r="AA70" i="14"/>
  <c r="W71" i="14"/>
  <c r="X71" i="14"/>
  <c r="Y71" i="14"/>
  <c r="Z71" i="14"/>
  <c r="AA71" i="14"/>
  <c r="W72" i="14"/>
  <c r="X72" i="14"/>
  <c r="Y72" i="14"/>
  <c r="Z72" i="14"/>
  <c r="AA72" i="14"/>
  <c r="W73" i="14"/>
  <c r="X73" i="14"/>
  <c r="Y73" i="14"/>
  <c r="Z73" i="14"/>
  <c r="AA73" i="14"/>
  <c r="W74" i="14"/>
  <c r="X74" i="14"/>
  <c r="Y74" i="14"/>
  <c r="Z74" i="14"/>
  <c r="AA74" i="14"/>
  <c r="W75" i="14"/>
  <c r="X75" i="14"/>
  <c r="Y75" i="14"/>
  <c r="Z75" i="14"/>
  <c r="AA75" i="14"/>
  <c r="W76" i="14"/>
  <c r="X76" i="14"/>
  <c r="Y76" i="14"/>
  <c r="Z76" i="14"/>
  <c r="AA76" i="14"/>
  <c r="W77" i="14"/>
  <c r="X77" i="14"/>
  <c r="Y77" i="14"/>
  <c r="Z77" i="14"/>
  <c r="AA77" i="14"/>
  <c r="W78" i="14"/>
  <c r="X78" i="14"/>
  <c r="Y78" i="14"/>
  <c r="Z78" i="14"/>
  <c r="AA78" i="14"/>
  <c r="W79" i="14"/>
  <c r="X79" i="14"/>
  <c r="Y79" i="14"/>
  <c r="Z79" i="14"/>
  <c r="AA79" i="14"/>
  <c r="W80" i="14"/>
  <c r="X80" i="14"/>
  <c r="Y80" i="14"/>
  <c r="Z80" i="14"/>
  <c r="AA80" i="14"/>
  <c r="W81" i="14"/>
  <c r="X81" i="14"/>
  <c r="Y81" i="14"/>
  <c r="Z81" i="14"/>
  <c r="AA81" i="14"/>
  <c r="W82" i="14"/>
  <c r="X82" i="14"/>
  <c r="Y82" i="14"/>
  <c r="Z82" i="14"/>
  <c r="AA82" i="14"/>
  <c r="W83" i="14"/>
  <c r="X83" i="14"/>
  <c r="Y83" i="14"/>
  <c r="Z83" i="14"/>
  <c r="AA83" i="14"/>
  <c r="W84" i="14"/>
  <c r="X84" i="14"/>
  <c r="Y84" i="14"/>
  <c r="Z84" i="14"/>
  <c r="AA84" i="14"/>
  <c r="W85" i="14"/>
  <c r="X85" i="14"/>
  <c r="Y85" i="14"/>
  <c r="Z85" i="14"/>
  <c r="AA85" i="14"/>
  <c r="W86" i="14"/>
  <c r="X86" i="14"/>
  <c r="Y86" i="14"/>
  <c r="Z86" i="14"/>
  <c r="AA86" i="14"/>
  <c r="W87" i="14"/>
  <c r="X87" i="14"/>
  <c r="Y87" i="14"/>
  <c r="Z87" i="14"/>
  <c r="AA87" i="14"/>
  <c r="W88" i="14"/>
  <c r="X88" i="14"/>
  <c r="Y88" i="14"/>
  <c r="Z88" i="14"/>
  <c r="AA88" i="14"/>
  <c r="W89" i="14"/>
  <c r="X89" i="14"/>
  <c r="Y89" i="14"/>
  <c r="Z89" i="14"/>
  <c r="AA89" i="14"/>
  <c r="W90" i="14"/>
  <c r="X90" i="14"/>
  <c r="Y90" i="14"/>
  <c r="Z90" i="14"/>
  <c r="AA90" i="14"/>
  <c r="W91" i="14"/>
  <c r="X91" i="14"/>
  <c r="Y91" i="14"/>
  <c r="Z91" i="14"/>
  <c r="AA91" i="14"/>
  <c r="W92" i="14"/>
  <c r="X92" i="14"/>
  <c r="Y92" i="14"/>
  <c r="Z92" i="14"/>
  <c r="AA92" i="14"/>
  <c r="W93" i="14"/>
  <c r="X93" i="14"/>
  <c r="Y93" i="14"/>
  <c r="Z93" i="14"/>
  <c r="AA93" i="14"/>
  <c r="W94" i="14"/>
  <c r="X94" i="14"/>
  <c r="Y94" i="14"/>
  <c r="Z94" i="14"/>
  <c r="AA94" i="14"/>
  <c r="W95" i="14"/>
  <c r="X95" i="14"/>
  <c r="Y95" i="14"/>
  <c r="Z95" i="14"/>
  <c r="AA95" i="14"/>
  <c r="W96" i="14"/>
  <c r="X96" i="14"/>
  <c r="Y96" i="14"/>
  <c r="Z96" i="14"/>
  <c r="AA96" i="14"/>
  <c r="W97" i="14"/>
  <c r="X97" i="14"/>
  <c r="Y97" i="14"/>
  <c r="Z97" i="14"/>
  <c r="AA97" i="14"/>
  <c r="W100" i="14"/>
  <c r="X100" i="14"/>
  <c r="Y100" i="14"/>
  <c r="Z100" i="14"/>
  <c r="AA100" i="14"/>
  <c r="W101" i="14"/>
  <c r="X101" i="14"/>
  <c r="Y101" i="14"/>
  <c r="Z101" i="14"/>
  <c r="AA101" i="14"/>
  <c r="W102" i="14"/>
  <c r="X102" i="14"/>
  <c r="Y102" i="14"/>
  <c r="Z102" i="14"/>
  <c r="AA102" i="14"/>
  <c r="W104" i="14"/>
  <c r="X104" i="14"/>
  <c r="Y104" i="14"/>
  <c r="Z104" i="14"/>
  <c r="AA104" i="14"/>
  <c r="W105" i="14"/>
  <c r="X105" i="14"/>
  <c r="Y105" i="14"/>
  <c r="Z105" i="14"/>
  <c r="AA105" i="14"/>
  <c r="W107" i="14"/>
  <c r="X107" i="14"/>
  <c r="Y107" i="14"/>
  <c r="Z107" i="14"/>
  <c r="AA107" i="14"/>
  <c r="W108" i="14"/>
  <c r="X108" i="14"/>
  <c r="Y108" i="14"/>
  <c r="Z108" i="14"/>
  <c r="AA108" i="14"/>
  <c r="W109" i="14"/>
  <c r="X109" i="14"/>
  <c r="Y109" i="14"/>
  <c r="Z109" i="14"/>
  <c r="AA109" i="14"/>
  <c r="W110" i="14"/>
  <c r="X110" i="14"/>
  <c r="Y110" i="14"/>
  <c r="Z110" i="14"/>
  <c r="AA110" i="14"/>
  <c r="W111" i="14"/>
  <c r="X111" i="14"/>
  <c r="Y111" i="14"/>
  <c r="Z111" i="14"/>
  <c r="AA111" i="14"/>
  <c r="W112" i="14"/>
  <c r="X112" i="14"/>
  <c r="Y112" i="14"/>
  <c r="Z112" i="14"/>
  <c r="AA112" i="14"/>
  <c r="W113" i="14"/>
  <c r="X113" i="14"/>
  <c r="Y113" i="14"/>
  <c r="Z113" i="14"/>
  <c r="AA113" i="14"/>
  <c r="W114" i="14"/>
  <c r="X114" i="14"/>
  <c r="Y114" i="14"/>
  <c r="Z114" i="14"/>
  <c r="AA114" i="14"/>
  <c r="W115" i="14"/>
  <c r="X115" i="14"/>
  <c r="Y115" i="14"/>
  <c r="Z115" i="14"/>
  <c r="AA115" i="14"/>
  <c r="W116" i="14"/>
  <c r="X116" i="14"/>
  <c r="Y116" i="14"/>
  <c r="Z116" i="14"/>
  <c r="AA116" i="14"/>
  <c r="W117" i="14"/>
  <c r="X117" i="14"/>
  <c r="Y117" i="14"/>
  <c r="Z117" i="14"/>
  <c r="AA117" i="14"/>
  <c r="W118" i="14"/>
  <c r="X118" i="14"/>
  <c r="Y118" i="14"/>
  <c r="Z118" i="14"/>
  <c r="AA118" i="14"/>
  <c r="W119" i="14"/>
  <c r="X119" i="14"/>
  <c r="Y119" i="14"/>
  <c r="Z119" i="14"/>
  <c r="AA119" i="14"/>
  <c r="W120" i="14"/>
  <c r="X120" i="14"/>
  <c r="Y120" i="14"/>
  <c r="Z120" i="14"/>
  <c r="AA120" i="14"/>
  <c r="W121" i="14"/>
  <c r="X121" i="14"/>
  <c r="Y121" i="14"/>
  <c r="Z121" i="14"/>
  <c r="AA121" i="14"/>
  <c r="W122" i="14"/>
  <c r="X122" i="14"/>
  <c r="Y122" i="14"/>
  <c r="Z122" i="14"/>
  <c r="AA122" i="14"/>
  <c r="W123" i="14"/>
  <c r="X123" i="14"/>
  <c r="Y123" i="14"/>
  <c r="Z123" i="14"/>
  <c r="AA123" i="14"/>
  <c r="W124" i="14"/>
  <c r="X124" i="14"/>
  <c r="Y124" i="14"/>
  <c r="Z124" i="14"/>
  <c r="AA124" i="14"/>
  <c r="W125" i="14"/>
  <c r="X125" i="14"/>
  <c r="Y125" i="14"/>
  <c r="Z125" i="14"/>
  <c r="AA125" i="14"/>
  <c r="W126" i="14"/>
  <c r="X126" i="14"/>
  <c r="Y126" i="14"/>
  <c r="Z126" i="14"/>
  <c r="AA126" i="14"/>
  <c r="W127" i="14"/>
  <c r="X127" i="14"/>
  <c r="Y127" i="14"/>
  <c r="Z127" i="14"/>
  <c r="AA127" i="14"/>
  <c r="W128" i="14"/>
  <c r="X128" i="14"/>
  <c r="Y128" i="14"/>
  <c r="Z128" i="14"/>
  <c r="AA128" i="14"/>
  <c r="W129" i="14"/>
  <c r="X129" i="14"/>
  <c r="Y129" i="14"/>
  <c r="Z129" i="14"/>
  <c r="AA129" i="14"/>
  <c r="W130" i="14"/>
  <c r="X130" i="14"/>
  <c r="Y130" i="14"/>
  <c r="Z130" i="14"/>
  <c r="AA130" i="14"/>
  <c r="W131" i="14"/>
  <c r="X131" i="14"/>
  <c r="Y131" i="14"/>
  <c r="Z131" i="14"/>
  <c r="AA131" i="14"/>
  <c r="W132" i="14"/>
  <c r="X132" i="14"/>
  <c r="Y132" i="14"/>
  <c r="Z132" i="14"/>
  <c r="AA132" i="14"/>
  <c r="W133" i="14"/>
  <c r="X133" i="14"/>
  <c r="Y133" i="14"/>
  <c r="Z133" i="14"/>
  <c r="AA133" i="14"/>
  <c r="W134" i="14"/>
  <c r="X134" i="14"/>
  <c r="Y134" i="14"/>
  <c r="Z134" i="14"/>
  <c r="AA134" i="14"/>
  <c r="W135" i="14"/>
  <c r="X135" i="14"/>
  <c r="Y135" i="14"/>
  <c r="Z135" i="14"/>
  <c r="AA135" i="14"/>
  <c r="W136" i="14"/>
  <c r="X136" i="14"/>
  <c r="Y136" i="14"/>
  <c r="Z136" i="14"/>
  <c r="AA136" i="14"/>
  <c r="W137" i="14"/>
  <c r="X137" i="14"/>
  <c r="Y137" i="14"/>
  <c r="Z137" i="14"/>
  <c r="AA137" i="14"/>
  <c r="W138" i="14"/>
  <c r="X138" i="14"/>
  <c r="Y138" i="14"/>
  <c r="Z138" i="14"/>
  <c r="AA138" i="14"/>
  <c r="W139" i="14"/>
  <c r="X139" i="14"/>
  <c r="Y139" i="14"/>
  <c r="Z139" i="14"/>
  <c r="AA139" i="14"/>
  <c r="W140" i="14"/>
  <c r="X140" i="14"/>
  <c r="Y140" i="14"/>
  <c r="Z140" i="14"/>
  <c r="AA140" i="14"/>
  <c r="W141" i="14"/>
  <c r="X141" i="14"/>
  <c r="Y141" i="14"/>
  <c r="Z141" i="14"/>
  <c r="AA141" i="14"/>
  <c r="W142" i="14"/>
  <c r="X142" i="14"/>
  <c r="Y142" i="14"/>
  <c r="Z142" i="14"/>
  <c r="AA142" i="14"/>
  <c r="W143" i="14"/>
  <c r="X143" i="14"/>
  <c r="Y143" i="14"/>
  <c r="Z143" i="14"/>
  <c r="AA143" i="14"/>
  <c r="W144" i="14"/>
  <c r="X144" i="14"/>
  <c r="Y144" i="14"/>
  <c r="Z144" i="14"/>
  <c r="AA144" i="14"/>
  <c r="W145" i="14"/>
  <c r="X145" i="14"/>
  <c r="Y145" i="14"/>
  <c r="Z145" i="14"/>
  <c r="AA145" i="14"/>
  <c r="W146" i="14"/>
  <c r="X146" i="14"/>
  <c r="Y146" i="14"/>
  <c r="Z146" i="14"/>
  <c r="AA146" i="14"/>
  <c r="W147" i="14"/>
  <c r="X147" i="14"/>
  <c r="Y147" i="14"/>
  <c r="Z147" i="14"/>
  <c r="AA147" i="14"/>
  <c r="W148" i="14"/>
  <c r="X148" i="14"/>
  <c r="Y148" i="14"/>
  <c r="Z148" i="14"/>
  <c r="AA148" i="14"/>
  <c r="W149" i="14"/>
  <c r="X149" i="14"/>
  <c r="Y149" i="14"/>
  <c r="Z149" i="14"/>
  <c r="AA149" i="14"/>
  <c r="W150" i="14"/>
  <c r="X150" i="14"/>
  <c r="Y150" i="14"/>
  <c r="Z150" i="14"/>
  <c r="AA150" i="14"/>
  <c r="W151" i="14"/>
  <c r="X151" i="14"/>
  <c r="Y151" i="14"/>
  <c r="Z151" i="14"/>
  <c r="AA151" i="14"/>
  <c r="W152" i="14"/>
  <c r="X152" i="14"/>
  <c r="Y152" i="14"/>
  <c r="Z152" i="14"/>
  <c r="AA152" i="14"/>
  <c r="W153" i="14"/>
  <c r="X153" i="14"/>
  <c r="Y153" i="14"/>
  <c r="Z153" i="14"/>
  <c r="AA153" i="14"/>
  <c r="W154" i="14"/>
  <c r="X154" i="14"/>
  <c r="Y154" i="14"/>
  <c r="Z154" i="14"/>
  <c r="AA154" i="14"/>
  <c r="W155" i="14"/>
  <c r="X155" i="14"/>
  <c r="Y155" i="14"/>
  <c r="Z155" i="14"/>
  <c r="AA155" i="14"/>
  <c r="W156" i="14"/>
  <c r="X156" i="14"/>
  <c r="Y156" i="14"/>
  <c r="Z156" i="14"/>
  <c r="AA156" i="14"/>
  <c r="W157" i="14"/>
  <c r="X157" i="14"/>
  <c r="Y157" i="14"/>
  <c r="Z157" i="14"/>
  <c r="AA157" i="14"/>
  <c r="W158" i="14"/>
  <c r="X158" i="14"/>
  <c r="Y158" i="14"/>
  <c r="Z158" i="14"/>
  <c r="AA158" i="14"/>
  <c r="W159" i="14"/>
  <c r="X159" i="14"/>
  <c r="Y159" i="14"/>
  <c r="Z159" i="14"/>
  <c r="AA159" i="14"/>
  <c r="W160" i="14"/>
  <c r="X160" i="14"/>
  <c r="Y160" i="14"/>
  <c r="Z160" i="14"/>
  <c r="AA160" i="14"/>
  <c r="W161" i="14"/>
  <c r="X161" i="14"/>
  <c r="Y161" i="14"/>
  <c r="Z161" i="14"/>
  <c r="AA161" i="14"/>
  <c r="W162" i="14"/>
  <c r="X162" i="14"/>
  <c r="Y162" i="14"/>
  <c r="Z162" i="14"/>
  <c r="AA162" i="14"/>
  <c r="W163" i="14"/>
  <c r="X163" i="14"/>
  <c r="Y163" i="14"/>
  <c r="Z163" i="14"/>
  <c r="AA163" i="14"/>
  <c r="W164" i="14"/>
  <c r="X164" i="14"/>
  <c r="Y164" i="14"/>
  <c r="Z164" i="14"/>
  <c r="AA164" i="14"/>
  <c r="W165" i="14"/>
  <c r="X165" i="14"/>
  <c r="Y165" i="14"/>
  <c r="Z165" i="14"/>
  <c r="AA165" i="14"/>
  <c r="W166" i="14"/>
  <c r="X166" i="14"/>
  <c r="Y166" i="14"/>
  <c r="Z166" i="14"/>
  <c r="AA166" i="14"/>
  <c r="W167" i="14"/>
  <c r="X167" i="14"/>
  <c r="Y167" i="14"/>
  <c r="Z167" i="14"/>
  <c r="AA167" i="14"/>
  <c r="W168" i="14"/>
  <c r="X168" i="14"/>
  <c r="Y168" i="14"/>
  <c r="Z168" i="14"/>
  <c r="AA168" i="14"/>
  <c r="W169" i="14"/>
  <c r="X169" i="14"/>
  <c r="Y169" i="14"/>
  <c r="Z169" i="14"/>
  <c r="AA169" i="14"/>
  <c r="W170" i="14"/>
  <c r="X170" i="14"/>
  <c r="Y170" i="14"/>
  <c r="Z170" i="14"/>
  <c r="AA170" i="14"/>
  <c r="W171" i="14"/>
  <c r="X171" i="14"/>
  <c r="Y171" i="14"/>
  <c r="Z171" i="14"/>
  <c r="AA171" i="14"/>
  <c r="W172" i="14"/>
  <c r="X172" i="14"/>
  <c r="Y172" i="14"/>
  <c r="Z172" i="14"/>
  <c r="AA172" i="14"/>
  <c r="W173" i="14"/>
  <c r="X173" i="14"/>
  <c r="Y173" i="14"/>
  <c r="Z173" i="14"/>
  <c r="AA173" i="14"/>
  <c r="W174" i="14"/>
  <c r="X174" i="14"/>
  <c r="Y174" i="14"/>
  <c r="Z174" i="14"/>
  <c r="AA174" i="14"/>
  <c r="W175" i="14"/>
  <c r="X175" i="14"/>
  <c r="Y175" i="14"/>
  <c r="Z175" i="14"/>
  <c r="AA175" i="14"/>
  <c r="W176" i="14"/>
  <c r="X176" i="14"/>
  <c r="Y176" i="14"/>
  <c r="Z176" i="14"/>
  <c r="AA176" i="14"/>
  <c r="W177" i="14"/>
  <c r="X177" i="14"/>
  <c r="Y177" i="14"/>
  <c r="Z177" i="14"/>
  <c r="AA177" i="14"/>
  <c r="W178" i="14"/>
  <c r="X178" i="14"/>
  <c r="Y178" i="14"/>
  <c r="Z178" i="14"/>
  <c r="AA178" i="14"/>
  <c r="W179" i="14"/>
  <c r="X179" i="14"/>
  <c r="Y179" i="14"/>
  <c r="Z179" i="14"/>
  <c r="AA179" i="14"/>
  <c r="W180" i="14"/>
  <c r="X180" i="14"/>
  <c r="Y180" i="14"/>
  <c r="Z180" i="14"/>
  <c r="AA180" i="14"/>
  <c r="W181" i="14"/>
  <c r="X181" i="14"/>
  <c r="Y181" i="14"/>
  <c r="Z181" i="14"/>
  <c r="AA181" i="14"/>
  <c r="W182" i="14"/>
  <c r="X182" i="14"/>
  <c r="Y182" i="14"/>
  <c r="Z182" i="14"/>
  <c r="AA182" i="14"/>
  <c r="W183" i="14"/>
  <c r="X183" i="14"/>
  <c r="Y183" i="14"/>
  <c r="Z183" i="14"/>
  <c r="AA183" i="14"/>
  <c r="W184" i="14"/>
  <c r="X184" i="14"/>
  <c r="Y184" i="14"/>
  <c r="Z184" i="14"/>
  <c r="AA184" i="14"/>
  <c r="W185" i="14"/>
  <c r="X185" i="14"/>
  <c r="Y185" i="14"/>
  <c r="Z185" i="14"/>
  <c r="AA185" i="14"/>
  <c r="W186" i="14"/>
  <c r="X186" i="14"/>
  <c r="Y186" i="14"/>
  <c r="Z186" i="14"/>
  <c r="AA186" i="14"/>
  <c r="W187" i="14"/>
  <c r="X187" i="14"/>
  <c r="Y187" i="14"/>
  <c r="Z187" i="14"/>
  <c r="AA187" i="14"/>
  <c r="W188" i="14"/>
  <c r="X188" i="14"/>
  <c r="Y188" i="14"/>
  <c r="Z188" i="14"/>
  <c r="AA188" i="14"/>
  <c r="W189" i="14"/>
  <c r="X189" i="14"/>
  <c r="Y189" i="14"/>
  <c r="Z189" i="14"/>
  <c r="AA189" i="14"/>
  <c r="W190" i="14"/>
  <c r="X190" i="14"/>
  <c r="Y190" i="14"/>
  <c r="Z190" i="14"/>
  <c r="AA190" i="14"/>
  <c r="W191" i="14"/>
  <c r="X191" i="14"/>
  <c r="Y191" i="14"/>
  <c r="Z191" i="14"/>
  <c r="AA191" i="14"/>
  <c r="W192" i="14"/>
  <c r="X192" i="14"/>
  <c r="Y192" i="14"/>
  <c r="Z192" i="14"/>
  <c r="AA192" i="14"/>
  <c r="W193" i="14"/>
  <c r="X193" i="14"/>
  <c r="Y193" i="14"/>
  <c r="Z193" i="14"/>
  <c r="AA193" i="14"/>
  <c r="W194" i="14"/>
  <c r="X194" i="14"/>
  <c r="Y194" i="14"/>
  <c r="Z194" i="14"/>
  <c r="AA194" i="14"/>
  <c r="W195" i="14"/>
  <c r="X195" i="14"/>
  <c r="Y195" i="14"/>
  <c r="Z195" i="14"/>
  <c r="AA195" i="14"/>
  <c r="W196" i="14"/>
  <c r="X196" i="14"/>
  <c r="Y196" i="14"/>
  <c r="Z196" i="14"/>
  <c r="AA196" i="14"/>
  <c r="W197" i="14"/>
  <c r="X197" i="14"/>
  <c r="Y197" i="14"/>
  <c r="Z197" i="14"/>
  <c r="AA197" i="14"/>
  <c r="W198" i="14"/>
  <c r="X198" i="14"/>
  <c r="Y198" i="14"/>
  <c r="Z198" i="14"/>
  <c r="AA198" i="14"/>
  <c r="W199" i="14"/>
  <c r="X199" i="14"/>
  <c r="Y199" i="14"/>
  <c r="Z199" i="14"/>
  <c r="AA199" i="14"/>
  <c r="W200" i="14"/>
  <c r="X200" i="14"/>
  <c r="Y200" i="14"/>
  <c r="Z200" i="14"/>
  <c r="AA200" i="14"/>
  <c r="W201" i="14"/>
  <c r="X201" i="14"/>
  <c r="Y201" i="14"/>
  <c r="Z201" i="14"/>
  <c r="AA201" i="14"/>
  <c r="W202" i="14"/>
  <c r="X202" i="14"/>
  <c r="Y202" i="14"/>
  <c r="Z202" i="14"/>
  <c r="AA202" i="14"/>
  <c r="W203" i="14"/>
  <c r="X203" i="14"/>
  <c r="Y203" i="14"/>
  <c r="Z203" i="14"/>
  <c r="AA203" i="14"/>
  <c r="W204" i="14"/>
  <c r="X204" i="14"/>
  <c r="Y204" i="14"/>
  <c r="Z204" i="14"/>
  <c r="AA204" i="14"/>
  <c r="W205" i="14"/>
  <c r="X205" i="14"/>
  <c r="Y205" i="14"/>
  <c r="Z205" i="14"/>
  <c r="AA205" i="14"/>
  <c r="W206" i="14"/>
  <c r="X206" i="14"/>
  <c r="Y206" i="14"/>
  <c r="Z206" i="14"/>
  <c r="AA206" i="14"/>
  <c r="W207" i="14"/>
  <c r="X207" i="14"/>
  <c r="Y207" i="14"/>
  <c r="Z207" i="14"/>
  <c r="AA207" i="14"/>
  <c r="W208" i="14"/>
  <c r="X208" i="14"/>
  <c r="Y208" i="14"/>
  <c r="Z208" i="14"/>
  <c r="AA208" i="14"/>
  <c r="W209" i="14"/>
  <c r="X209" i="14"/>
  <c r="Y209" i="14"/>
  <c r="Z209" i="14"/>
  <c r="AA209" i="14"/>
  <c r="W210" i="14"/>
  <c r="X210" i="14"/>
  <c r="Y210" i="14"/>
  <c r="Z210" i="14"/>
  <c r="AA210" i="14"/>
  <c r="W211" i="14"/>
  <c r="X211" i="14"/>
  <c r="Y211" i="14"/>
  <c r="Z211" i="14"/>
  <c r="AA211" i="14"/>
  <c r="W212" i="14"/>
  <c r="X212" i="14"/>
  <c r="Y212" i="14"/>
  <c r="Z212" i="14"/>
  <c r="AA212" i="14"/>
  <c r="W213" i="14"/>
  <c r="X213" i="14"/>
  <c r="Y213" i="14"/>
  <c r="Z213" i="14"/>
  <c r="AA213" i="14"/>
  <c r="W214" i="14"/>
  <c r="X214" i="14"/>
  <c r="Y214" i="14"/>
  <c r="Z214" i="14"/>
  <c r="AA214" i="14"/>
  <c r="W215" i="14"/>
  <c r="X215" i="14"/>
  <c r="Y215" i="14"/>
  <c r="Z215" i="14"/>
  <c r="AA215" i="14"/>
  <c r="W216" i="14"/>
  <c r="X216" i="14"/>
  <c r="Y216" i="14"/>
  <c r="Z216" i="14"/>
  <c r="AA216" i="14"/>
  <c r="W217" i="14"/>
  <c r="X217" i="14"/>
  <c r="Y217" i="14"/>
  <c r="Z217" i="14"/>
  <c r="AA217" i="14"/>
  <c r="W218" i="14"/>
  <c r="X218" i="14"/>
  <c r="Y218" i="14"/>
  <c r="Z218" i="14"/>
  <c r="AA218" i="14"/>
  <c r="W219" i="14"/>
  <c r="X219" i="14"/>
  <c r="Y219" i="14"/>
  <c r="Z219" i="14"/>
  <c r="AA219" i="14"/>
  <c r="W220" i="14"/>
  <c r="X220" i="14"/>
  <c r="Y220" i="14"/>
  <c r="Z220" i="14"/>
  <c r="AA220" i="14"/>
  <c r="W221" i="14"/>
  <c r="X221" i="14"/>
  <c r="Y221" i="14"/>
  <c r="Z221" i="14"/>
  <c r="AA221" i="14"/>
  <c r="W222" i="14"/>
  <c r="X222" i="14"/>
  <c r="Y222" i="14"/>
  <c r="Z222" i="14"/>
  <c r="AA222" i="14"/>
  <c r="W223" i="14"/>
  <c r="X223" i="14"/>
  <c r="Y223" i="14"/>
  <c r="Z223" i="14"/>
  <c r="AA223" i="14"/>
  <c r="W224" i="14"/>
  <c r="X224" i="14"/>
  <c r="Y224" i="14"/>
  <c r="Z224" i="14"/>
  <c r="AA224" i="14"/>
  <c r="W225" i="14"/>
  <c r="X225" i="14"/>
  <c r="Y225" i="14"/>
  <c r="Z225" i="14"/>
  <c r="AA225" i="14"/>
  <c r="W226" i="14"/>
  <c r="X226" i="14"/>
  <c r="Y226" i="14"/>
  <c r="Z226" i="14"/>
  <c r="AA226" i="14"/>
  <c r="W227" i="14"/>
  <c r="X227" i="14"/>
  <c r="Y227" i="14"/>
  <c r="Z227" i="14"/>
  <c r="AA227" i="14"/>
  <c r="W228" i="14"/>
  <c r="X228" i="14"/>
  <c r="Y228" i="14"/>
  <c r="Z228" i="14"/>
  <c r="AA228" i="14"/>
  <c r="W229" i="14"/>
  <c r="X229" i="14"/>
  <c r="Y229" i="14"/>
  <c r="Z229" i="14"/>
  <c r="AA229" i="14"/>
  <c r="W230" i="14"/>
  <c r="X230" i="14"/>
  <c r="Y230" i="14"/>
  <c r="Z230" i="14"/>
  <c r="AA230" i="14"/>
  <c r="W231" i="14"/>
  <c r="X231" i="14"/>
  <c r="Y231" i="14"/>
  <c r="Z231" i="14"/>
  <c r="AA231" i="14"/>
  <c r="W232" i="14"/>
  <c r="X232" i="14"/>
  <c r="Y232" i="14"/>
  <c r="Z232" i="14"/>
  <c r="AA232" i="14"/>
  <c r="W233" i="14"/>
  <c r="X233" i="14"/>
  <c r="Y233" i="14"/>
  <c r="Z233" i="14"/>
  <c r="AA233" i="14"/>
  <c r="W234" i="14"/>
  <c r="X234" i="14"/>
  <c r="Y234" i="14"/>
  <c r="Z234" i="14"/>
  <c r="AA234" i="14"/>
  <c r="W235" i="14"/>
  <c r="X235" i="14"/>
  <c r="Y235" i="14"/>
  <c r="Z235" i="14"/>
  <c r="AA235" i="14"/>
  <c r="W236" i="14"/>
  <c r="X236" i="14"/>
  <c r="Y236" i="14"/>
  <c r="Z236" i="14"/>
  <c r="AA236" i="14"/>
  <c r="W237" i="14"/>
  <c r="X237" i="14"/>
  <c r="Y237" i="14"/>
  <c r="Z237" i="14"/>
  <c r="AA237" i="14"/>
  <c r="W238" i="14"/>
  <c r="X238" i="14"/>
  <c r="Y238" i="14"/>
  <c r="Z238" i="14"/>
  <c r="AA238" i="14"/>
  <c r="W239" i="14"/>
  <c r="X239" i="14"/>
  <c r="Y239" i="14"/>
  <c r="Z239" i="14"/>
  <c r="AA239" i="14"/>
  <c r="W240" i="14"/>
  <c r="X240" i="14"/>
  <c r="Y240" i="14"/>
  <c r="Z240" i="14"/>
  <c r="AA240" i="14"/>
  <c r="W241" i="14"/>
  <c r="X241" i="14"/>
  <c r="Y241" i="14"/>
  <c r="Z241" i="14"/>
  <c r="AA241" i="14"/>
  <c r="W242" i="14"/>
  <c r="X242" i="14"/>
  <c r="Y242" i="14"/>
  <c r="Z242" i="14"/>
  <c r="AA242" i="14"/>
  <c r="W243" i="14"/>
  <c r="X243" i="14"/>
  <c r="Y243" i="14"/>
  <c r="Z243" i="14"/>
  <c r="AA243" i="14"/>
  <c r="W244" i="14"/>
  <c r="X244" i="14"/>
  <c r="Y244" i="14"/>
  <c r="Z244" i="14"/>
  <c r="AA244" i="14"/>
  <c r="W245" i="14"/>
  <c r="X245" i="14"/>
  <c r="Y245" i="14"/>
  <c r="Z245" i="14"/>
  <c r="AA245" i="14"/>
  <c r="W246" i="14"/>
  <c r="X246" i="14"/>
  <c r="Y246" i="14"/>
  <c r="Z246" i="14"/>
  <c r="AA246" i="14"/>
  <c r="W247" i="14"/>
  <c r="X247" i="14"/>
  <c r="Y247" i="14"/>
  <c r="Z247" i="14"/>
  <c r="AA247" i="14"/>
  <c r="W248" i="14"/>
  <c r="X248" i="14"/>
  <c r="Y248" i="14"/>
  <c r="Z248" i="14"/>
  <c r="AA248" i="14"/>
  <c r="W249" i="14"/>
  <c r="X249" i="14"/>
  <c r="Y249" i="14"/>
  <c r="Z249" i="14"/>
  <c r="AA249" i="14"/>
  <c r="W250" i="14"/>
  <c r="X250" i="14"/>
  <c r="Y250" i="14"/>
  <c r="Z250" i="14"/>
  <c r="AA250" i="14"/>
  <c r="W251" i="14"/>
  <c r="X251" i="14"/>
  <c r="Y251" i="14"/>
  <c r="Z251" i="14"/>
  <c r="AA251" i="14"/>
  <c r="W252" i="14"/>
  <c r="X252" i="14"/>
  <c r="Y252" i="14"/>
  <c r="Z252" i="14"/>
  <c r="AA252" i="14"/>
  <c r="W253" i="14"/>
  <c r="X253" i="14"/>
  <c r="Y253" i="14"/>
  <c r="Z253" i="14"/>
  <c r="AA253" i="14"/>
  <c r="W254" i="14"/>
  <c r="X254" i="14"/>
  <c r="Y254" i="14"/>
  <c r="Z254" i="14"/>
  <c r="AA254" i="14"/>
  <c r="W255" i="14"/>
  <c r="X255" i="14"/>
  <c r="Y255" i="14"/>
  <c r="Z255" i="14"/>
  <c r="AA255" i="14"/>
  <c r="W256" i="14"/>
  <c r="X256" i="14"/>
  <c r="Y256" i="14"/>
  <c r="Z256" i="14"/>
  <c r="AA256" i="14"/>
  <c r="W257" i="14"/>
  <c r="X257" i="14"/>
  <c r="Y257" i="14"/>
  <c r="Z257" i="14"/>
  <c r="AA257" i="14"/>
  <c r="W258" i="14"/>
  <c r="X258" i="14"/>
  <c r="Y258" i="14"/>
  <c r="Z258" i="14"/>
  <c r="AA258" i="14"/>
  <c r="W259" i="14"/>
  <c r="X259" i="14"/>
  <c r="Y259" i="14"/>
  <c r="Z259" i="14"/>
  <c r="AA259" i="14"/>
  <c r="W260" i="14"/>
  <c r="X260" i="14"/>
  <c r="Y260" i="14"/>
  <c r="Z260" i="14"/>
  <c r="AA260" i="14"/>
  <c r="W261" i="14"/>
  <c r="X261" i="14"/>
  <c r="Y261" i="14"/>
  <c r="Z261" i="14"/>
  <c r="AA261" i="14"/>
  <c r="W262" i="14"/>
  <c r="X262" i="14"/>
  <c r="Y262" i="14"/>
  <c r="Z262" i="14"/>
  <c r="AA262" i="14"/>
  <c r="W263" i="14"/>
  <c r="X263" i="14"/>
  <c r="Y263" i="14"/>
  <c r="Z263" i="14"/>
  <c r="AA263" i="14"/>
  <c r="W264" i="14"/>
  <c r="X264" i="14"/>
  <c r="Y264" i="14"/>
  <c r="Z264" i="14"/>
  <c r="AA264" i="14"/>
  <c r="W265" i="14"/>
  <c r="X265" i="14"/>
  <c r="Y265" i="14"/>
  <c r="Z265" i="14"/>
  <c r="AA265" i="14"/>
  <c r="W266" i="14"/>
  <c r="X266" i="14"/>
  <c r="Y266" i="14"/>
  <c r="Z266" i="14"/>
  <c r="AA266" i="14"/>
  <c r="W267" i="14"/>
  <c r="X267" i="14"/>
  <c r="Y267" i="14"/>
  <c r="Z267" i="14"/>
  <c r="AA267" i="14"/>
  <c r="W268" i="14"/>
  <c r="X268" i="14"/>
  <c r="Y268" i="14"/>
  <c r="Z268" i="14"/>
  <c r="AA268" i="14"/>
  <c r="W269" i="14"/>
  <c r="X269" i="14"/>
  <c r="Y269" i="14"/>
  <c r="Z269" i="14"/>
  <c r="AA269" i="14"/>
  <c r="W270" i="14"/>
  <c r="X270" i="14"/>
  <c r="Y270" i="14"/>
  <c r="Z270" i="14"/>
  <c r="AA270" i="14"/>
  <c r="W271" i="14"/>
  <c r="X271" i="14"/>
  <c r="Y271" i="14"/>
  <c r="Z271" i="14"/>
  <c r="AA271" i="14"/>
  <c r="W272" i="14"/>
  <c r="X272" i="14"/>
  <c r="Y272" i="14"/>
  <c r="Z272" i="14"/>
  <c r="AA272" i="14"/>
  <c r="W273" i="14"/>
  <c r="X273" i="14"/>
  <c r="Y273" i="14"/>
  <c r="Z273" i="14"/>
  <c r="AA273" i="14"/>
  <c r="W274" i="14"/>
  <c r="X274" i="14"/>
  <c r="Y274" i="14"/>
  <c r="Z274" i="14"/>
  <c r="AA274" i="14"/>
  <c r="W275" i="14"/>
  <c r="X275" i="14"/>
  <c r="Y275" i="14"/>
  <c r="Z275" i="14"/>
  <c r="AA275" i="14"/>
  <c r="W276" i="14"/>
  <c r="X276" i="14"/>
  <c r="Y276" i="14"/>
  <c r="Z276" i="14"/>
  <c r="AA276" i="14"/>
  <c r="W277" i="14"/>
  <c r="X277" i="14"/>
  <c r="Y277" i="14"/>
  <c r="Z277" i="14"/>
  <c r="AA277" i="14"/>
  <c r="W278" i="14"/>
  <c r="X278" i="14"/>
  <c r="Y278" i="14"/>
  <c r="Z278" i="14"/>
  <c r="AA278" i="14"/>
  <c r="W279" i="14"/>
  <c r="X279" i="14"/>
  <c r="Y279" i="14"/>
  <c r="Z279" i="14"/>
  <c r="AA279" i="14"/>
  <c r="W280" i="14"/>
  <c r="X280" i="14"/>
  <c r="Y280" i="14"/>
  <c r="Z280" i="14"/>
  <c r="AA280" i="14"/>
  <c r="W281" i="14"/>
  <c r="X281" i="14"/>
  <c r="Y281" i="14"/>
  <c r="Z281" i="14"/>
  <c r="AA281" i="14"/>
  <c r="W282" i="14"/>
  <c r="X282" i="14"/>
  <c r="Y282" i="14"/>
  <c r="Z282" i="14"/>
  <c r="AA282" i="14"/>
  <c r="W283" i="14"/>
  <c r="X283" i="14"/>
  <c r="Y283" i="14"/>
  <c r="Z283" i="14"/>
  <c r="AA283" i="14"/>
  <c r="W284" i="14"/>
  <c r="X284" i="14"/>
  <c r="Y284" i="14"/>
  <c r="Z284" i="14"/>
  <c r="AA284" i="14"/>
  <c r="W285" i="14"/>
  <c r="X285" i="14"/>
  <c r="Y285" i="14"/>
  <c r="Z285" i="14"/>
  <c r="AA285" i="14"/>
  <c r="W286" i="14"/>
  <c r="X286" i="14"/>
  <c r="Y286" i="14"/>
  <c r="Z286" i="14"/>
  <c r="AA286" i="14"/>
  <c r="W287" i="14"/>
  <c r="X287" i="14"/>
  <c r="Y287" i="14"/>
  <c r="Z287" i="14"/>
  <c r="AA287" i="14"/>
  <c r="W288" i="14"/>
  <c r="X288" i="14"/>
  <c r="Y288" i="14"/>
  <c r="Z288" i="14"/>
  <c r="AA288" i="14"/>
  <c r="W289" i="14"/>
  <c r="X289" i="14"/>
  <c r="Y289" i="14"/>
  <c r="Z289" i="14"/>
  <c r="AA289" i="14"/>
  <c r="W290" i="14"/>
  <c r="X290" i="14"/>
  <c r="Y290" i="14"/>
  <c r="Z290" i="14"/>
  <c r="AA290" i="14"/>
  <c r="W291" i="14"/>
  <c r="X291" i="14"/>
  <c r="Y291" i="14"/>
  <c r="Z291" i="14"/>
  <c r="AA291" i="14"/>
  <c r="W292" i="14"/>
  <c r="X292" i="14"/>
  <c r="Y292" i="14"/>
  <c r="Z292" i="14"/>
  <c r="AA292" i="14"/>
  <c r="W293" i="14"/>
  <c r="X293" i="14"/>
  <c r="Y293" i="14"/>
  <c r="Z293" i="14"/>
  <c r="AA293" i="14"/>
  <c r="W294" i="14"/>
  <c r="X294" i="14"/>
  <c r="Y294" i="14"/>
  <c r="Z294" i="14"/>
  <c r="AA294" i="14"/>
  <c r="W295" i="14"/>
  <c r="X295" i="14"/>
  <c r="Y295" i="14"/>
  <c r="Z295" i="14"/>
  <c r="AA295" i="14"/>
  <c r="W296" i="14"/>
  <c r="X296" i="14"/>
  <c r="Y296" i="14"/>
  <c r="Z296" i="14"/>
  <c r="AA296" i="14"/>
  <c r="W297" i="14"/>
  <c r="X297" i="14"/>
  <c r="Y297" i="14"/>
  <c r="Z297" i="14"/>
  <c r="AA297" i="14"/>
  <c r="W298" i="14"/>
  <c r="X298" i="14"/>
  <c r="Y298" i="14"/>
  <c r="Z298" i="14"/>
  <c r="AA298" i="14"/>
  <c r="W299" i="14"/>
  <c r="X299" i="14"/>
  <c r="Y299" i="14"/>
  <c r="Z299" i="14"/>
  <c r="AA299" i="14"/>
  <c r="W300" i="14"/>
  <c r="X300" i="14"/>
  <c r="Y300" i="14"/>
  <c r="Z300" i="14"/>
  <c r="AA300" i="14"/>
  <c r="W301" i="14"/>
  <c r="X301" i="14"/>
  <c r="Y301" i="14"/>
  <c r="Z301" i="14"/>
  <c r="AA301" i="14"/>
  <c r="W302" i="14"/>
  <c r="X302" i="14"/>
  <c r="Y302" i="14"/>
  <c r="Z302" i="14"/>
  <c r="AA302" i="14"/>
  <c r="W303" i="14"/>
  <c r="X303" i="14"/>
  <c r="Y303" i="14"/>
  <c r="Z303" i="14"/>
  <c r="AA303" i="14"/>
  <c r="W304" i="14"/>
  <c r="X304" i="14"/>
  <c r="Y304" i="14"/>
  <c r="Z304" i="14"/>
  <c r="AA304" i="14"/>
  <c r="W305" i="14"/>
  <c r="X305" i="14"/>
  <c r="Y305" i="14"/>
  <c r="Z305" i="14"/>
  <c r="AA305" i="14"/>
  <c r="W306" i="14"/>
  <c r="X306" i="14"/>
  <c r="Y306" i="14"/>
  <c r="Z306" i="14"/>
  <c r="AA306" i="14"/>
  <c r="W307" i="14"/>
  <c r="X307" i="14"/>
  <c r="Y307" i="14"/>
  <c r="Z307" i="14"/>
  <c r="AA307" i="14"/>
  <c r="W308" i="14"/>
  <c r="X308" i="14"/>
  <c r="Y308" i="14"/>
  <c r="Z308" i="14"/>
  <c r="AA308" i="14"/>
  <c r="W309" i="14"/>
  <c r="X309" i="14"/>
  <c r="Y309" i="14"/>
  <c r="Z309" i="14"/>
  <c r="AA309" i="14"/>
  <c r="W310" i="14"/>
  <c r="X310" i="14"/>
  <c r="Y310" i="14"/>
  <c r="Z310" i="14"/>
  <c r="AA310" i="14"/>
  <c r="W311" i="14"/>
  <c r="X311" i="14"/>
  <c r="Y311" i="14"/>
  <c r="Z311" i="14"/>
  <c r="AA311" i="14"/>
  <c r="W312" i="14"/>
  <c r="X312" i="14"/>
  <c r="Y312" i="14"/>
  <c r="Z312" i="14"/>
  <c r="AA312" i="14"/>
  <c r="W313" i="14"/>
  <c r="X313" i="14"/>
  <c r="Y313" i="14"/>
  <c r="Z313" i="14"/>
  <c r="AA313" i="14"/>
  <c r="W314" i="14"/>
  <c r="X314" i="14"/>
  <c r="Y314" i="14"/>
  <c r="Z314" i="14"/>
  <c r="AA314" i="14"/>
  <c r="W315" i="14"/>
  <c r="X315" i="14"/>
  <c r="Y315" i="14"/>
  <c r="Z315" i="14"/>
  <c r="AA315" i="14"/>
  <c r="W316" i="14"/>
  <c r="X316" i="14"/>
  <c r="Y316" i="14"/>
  <c r="Z316" i="14"/>
  <c r="AA316" i="14"/>
  <c r="W317" i="14"/>
  <c r="X317" i="14"/>
  <c r="Y317" i="14"/>
  <c r="Z317" i="14"/>
  <c r="AA317" i="14"/>
  <c r="W318" i="14"/>
  <c r="X318" i="14"/>
  <c r="Y318" i="14"/>
  <c r="Z318" i="14"/>
  <c r="AA318" i="14"/>
  <c r="W319" i="14"/>
  <c r="X319" i="14"/>
  <c r="Y319" i="14"/>
  <c r="Z319" i="14"/>
  <c r="AA319" i="14"/>
  <c r="W320" i="14"/>
  <c r="X320" i="14"/>
  <c r="Y320" i="14"/>
  <c r="Z320" i="14"/>
  <c r="AA320" i="14"/>
  <c r="W321" i="14"/>
  <c r="X321" i="14"/>
  <c r="Y321" i="14"/>
  <c r="Z321" i="14"/>
  <c r="AA321" i="14"/>
  <c r="W322" i="14"/>
  <c r="X322" i="14"/>
  <c r="Y322" i="14"/>
  <c r="Z322" i="14"/>
  <c r="AA322" i="14"/>
  <c r="W323" i="14"/>
  <c r="X323" i="14"/>
  <c r="Y323" i="14"/>
  <c r="Z323" i="14"/>
  <c r="AA323" i="14"/>
  <c r="W324" i="14"/>
  <c r="X324" i="14"/>
  <c r="Y324" i="14"/>
  <c r="Z324" i="14"/>
  <c r="AA324" i="14"/>
  <c r="W325" i="14"/>
  <c r="X325" i="14"/>
  <c r="Y325" i="14"/>
  <c r="Z325" i="14"/>
  <c r="AA325" i="14"/>
  <c r="W326" i="14"/>
  <c r="X326" i="14"/>
  <c r="Y326" i="14"/>
  <c r="Z326" i="14"/>
  <c r="AA326" i="14"/>
  <c r="W327" i="14"/>
  <c r="X327" i="14"/>
  <c r="Y327" i="14"/>
  <c r="Z327" i="14"/>
  <c r="AA327" i="14"/>
  <c r="W328" i="14"/>
  <c r="X328" i="14"/>
  <c r="Y328" i="14"/>
  <c r="Z328" i="14"/>
  <c r="AA328" i="14"/>
  <c r="W329" i="14"/>
  <c r="X329" i="14"/>
  <c r="Y329" i="14"/>
  <c r="Z329" i="14"/>
  <c r="AA329" i="14"/>
  <c r="W330" i="14"/>
  <c r="X330" i="14"/>
  <c r="Y330" i="14"/>
  <c r="Z330" i="14"/>
  <c r="AA330" i="14"/>
  <c r="W331" i="14"/>
  <c r="X331" i="14"/>
  <c r="Y331" i="14"/>
  <c r="Z331" i="14"/>
  <c r="AA331" i="14"/>
  <c r="W332" i="14"/>
  <c r="X332" i="14"/>
  <c r="Y332" i="14"/>
  <c r="Z332" i="14"/>
  <c r="AA332" i="14"/>
  <c r="W333" i="14"/>
  <c r="X333" i="14"/>
  <c r="Y333" i="14"/>
  <c r="Z333" i="14"/>
  <c r="AA333" i="14"/>
  <c r="W334" i="14"/>
  <c r="X334" i="14"/>
  <c r="Y334" i="14"/>
  <c r="Z334" i="14"/>
  <c r="AA334" i="14"/>
  <c r="W335" i="14"/>
  <c r="X335" i="14"/>
  <c r="Y335" i="14"/>
  <c r="Z335" i="14"/>
  <c r="AA335" i="14"/>
  <c r="W336" i="14"/>
  <c r="X336" i="14"/>
  <c r="Y336" i="14"/>
  <c r="Z336" i="14"/>
  <c r="AA336" i="14"/>
  <c r="W337" i="14"/>
  <c r="X337" i="14"/>
  <c r="Y337" i="14"/>
  <c r="Z337" i="14"/>
  <c r="AA337" i="14"/>
  <c r="W338" i="14"/>
  <c r="X338" i="14"/>
  <c r="Y338" i="14"/>
  <c r="Z338" i="14"/>
  <c r="AA338" i="14"/>
  <c r="W339" i="14"/>
  <c r="X339" i="14"/>
  <c r="Y339" i="14"/>
  <c r="Z339" i="14"/>
  <c r="AA339" i="14"/>
  <c r="W340" i="14"/>
  <c r="X340" i="14"/>
  <c r="Y340" i="14"/>
  <c r="Z340" i="14"/>
  <c r="AA340" i="14"/>
  <c r="W341" i="14"/>
  <c r="X341" i="14"/>
  <c r="Y341" i="14"/>
  <c r="Z341" i="14"/>
  <c r="AA341" i="14"/>
  <c r="W342" i="14"/>
  <c r="X342" i="14"/>
  <c r="Y342" i="14"/>
  <c r="Z342" i="14"/>
  <c r="AA342" i="14"/>
  <c r="W343" i="14"/>
  <c r="X343" i="14"/>
  <c r="Y343" i="14"/>
  <c r="Z343" i="14"/>
  <c r="AA343" i="14"/>
  <c r="W344" i="14"/>
  <c r="X344" i="14"/>
  <c r="Y344" i="14"/>
  <c r="Z344" i="14"/>
  <c r="AA344" i="14"/>
  <c r="W345" i="14"/>
  <c r="X345" i="14"/>
  <c r="Y345" i="14"/>
  <c r="Z345" i="14"/>
  <c r="AA345" i="14"/>
  <c r="W346" i="14"/>
  <c r="X346" i="14"/>
  <c r="Y346" i="14"/>
  <c r="Z346" i="14"/>
  <c r="AA346" i="14"/>
  <c r="W347" i="14"/>
  <c r="X347" i="14"/>
  <c r="Y347" i="14"/>
  <c r="Z347" i="14"/>
  <c r="AA347" i="14"/>
  <c r="W348" i="14"/>
  <c r="X348" i="14"/>
  <c r="Y348" i="14"/>
  <c r="Z348" i="14"/>
  <c r="AA348" i="14"/>
  <c r="W349" i="14"/>
  <c r="X349" i="14"/>
  <c r="Y349" i="14"/>
  <c r="Z349" i="14"/>
  <c r="AA349" i="14"/>
  <c r="W350" i="14"/>
  <c r="X350" i="14"/>
  <c r="Y350" i="14"/>
  <c r="Z350" i="14"/>
  <c r="AA350" i="14"/>
  <c r="W351" i="14"/>
  <c r="X351" i="14"/>
  <c r="Y351" i="14"/>
  <c r="Z351" i="14"/>
  <c r="AA351" i="14"/>
  <c r="W352" i="14"/>
  <c r="X352" i="14"/>
  <c r="Y352" i="14"/>
  <c r="Z352" i="14"/>
  <c r="AA352" i="14"/>
  <c r="W353" i="14"/>
  <c r="X353" i="14"/>
  <c r="Y353" i="14"/>
  <c r="Z353" i="14"/>
  <c r="AA353" i="14"/>
  <c r="W354" i="14"/>
  <c r="X354" i="14"/>
  <c r="Y354" i="14"/>
  <c r="Z354" i="14"/>
  <c r="AA354" i="14"/>
  <c r="W355" i="14"/>
  <c r="X355" i="14"/>
  <c r="Y355" i="14"/>
  <c r="Z355" i="14"/>
  <c r="AA355" i="14"/>
  <c r="W356" i="14"/>
  <c r="X356" i="14"/>
  <c r="Y356" i="14"/>
  <c r="Z356" i="14"/>
  <c r="AA356" i="14"/>
  <c r="W357" i="14"/>
  <c r="X357" i="14"/>
  <c r="Y357" i="14"/>
  <c r="Z357" i="14"/>
  <c r="AA357" i="14"/>
  <c r="W358" i="14"/>
  <c r="X358" i="14"/>
  <c r="Y358" i="14"/>
  <c r="Z358" i="14"/>
  <c r="AA358" i="14"/>
  <c r="W359" i="14"/>
  <c r="X359" i="14"/>
  <c r="Y359" i="14"/>
  <c r="Z359" i="14"/>
  <c r="AA359" i="14"/>
  <c r="W360" i="14"/>
  <c r="X360" i="14"/>
  <c r="Y360" i="14"/>
  <c r="Z360" i="14"/>
  <c r="AA360" i="14"/>
  <c r="W361" i="14"/>
  <c r="X361" i="14"/>
  <c r="Y361" i="14"/>
  <c r="Z361" i="14"/>
  <c r="AA361" i="14"/>
  <c r="W362" i="14"/>
  <c r="X362" i="14"/>
  <c r="Y362" i="14"/>
  <c r="Z362" i="14"/>
  <c r="AA362" i="14"/>
  <c r="W363" i="14"/>
  <c r="X363" i="14"/>
  <c r="Y363" i="14"/>
  <c r="Z363" i="14"/>
  <c r="AA363" i="14"/>
  <c r="W364" i="14"/>
  <c r="X364" i="14"/>
  <c r="Y364" i="14"/>
  <c r="Z364" i="14"/>
  <c r="AA364" i="14"/>
  <c r="W365" i="14"/>
  <c r="X365" i="14"/>
  <c r="Y365" i="14"/>
  <c r="Z365" i="14"/>
  <c r="AA365" i="14"/>
  <c r="W366" i="14"/>
  <c r="X366" i="14"/>
  <c r="Y366" i="14"/>
  <c r="Z366" i="14"/>
  <c r="AA366" i="14"/>
  <c r="W367" i="14"/>
  <c r="X367" i="14"/>
  <c r="Y367" i="14"/>
  <c r="Z367" i="14"/>
  <c r="AA367" i="14"/>
  <c r="W368" i="14"/>
  <c r="X368" i="14"/>
  <c r="Y368" i="14"/>
  <c r="Z368" i="14"/>
  <c r="AA368" i="14"/>
  <c r="W369" i="14"/>
  <c r="X369" i="14"/>
  <c r="Y369" i="14"/>
  <c r="Z369" i="14"/>
  <c r="AA369" i="14"/>
  <c r="W370" i="14"/>
  <c r="X370" i="14"/>
  <c r="Y370" i="14"/>
  <c r="Z370" i="14"/>
  <c r="AA370" i="14"/>
  <c r="W371" i="14"/>
  <c r="X371" i="14"/>
  <c r="Y371" i="14"/>
  <c r="Z371" i="14"/>
  <c r="AA371" i="14"/>
  <c r="W372" i="14"/>
  <c r="X372" i="14"/>
  <c r="Y372" i="14"/>
  <c r="Z372" i="14"/>
  <c r="AA372" i="14"/>
  <c r="W373" i="14"/>
  <c r="X373" i="14"/>
  <c r="Y373" i="14"/>
  <c r="Z373" i="14"/>
  <c r="AA373" i="14"/>
  <c r="W374" i="14"/>
  <c r="X374" i="14"/>
  <c r="Y374" i="14"/>
  <c r="Z374" i="14"/>
  <c r="AA374" i="14"/>
  <c r="W375" i="14"/>
  <c r="X375" i="14"/>
  <c r="Y375" i="14"/>
  <c r="Z375" i="14"/>
  <c r="AA375" i="14"/>
  <c r="W376" i="14"/>
  <c r="X376" i="14"/>
  <c r="Y376" i="14"/>
  <c r="Z376" i="14"/>
  <c r="AA376" i="14"/>
  <c r="W377" i="14"/>
  <c r="X377" i="14"/>
  <c r="Y377" i="14"/>
  <c r="Z377" i="14"/>
  <c r="AA377" i="14"/>
  <c r="W378" i="14"/>
  <c r="X378" i="14"/>
  <c r="Y378" i="14"/>
  <c r="Z378" i="14"/>
  <c r="AA378" i="14"/>
  <c r="W379" i="14"/>
  <c r="X379" i="14"/>
  <c r="Y379" i="14"/>
  <c r="Z379" i="14"/>
  <c r="AA379" i="14"/>
  <c r="W380" i="14"/>
  <c r="X380" i="14"/>
  <c r="Y380" i="14"/>
  <c r="Z380" i="14"/>
  <c r="AA380" i="14"/>
  <c r="W381" i="14"/>
  <c r="X381" i="14"/>
  <c r="Y381" i="14"/>
  <c r="Z381" i="14"/>
  <c r="AA381" i="14"/>
  <c r="W382" i="14"/>
  <c r="X382" i="14"/>
  <c r="Y382" i="14"/>
  <c r="Z382" i="14"/>
  <c r="AA382" i="14"/>
  <c r="W383" i="14"/>
  <c r="X383" i="14"/>
  <c r="Y383" i="14"/>
  <c r="Z383" i="14"/>
  <c r="AA383" i="14"/>
  <c r="W384" i="14"/>
  <c r="X384" i="14"/>
  <c r="Y384" i="14"/>
  <c r="Z384" i="14"/>
  <c r="AA384" i="14"/>
  <c r="W385" i="14"/>
  <c r="X385" i="14"/>
  <c r="Y385" i="14"/>
  <c r="Z385" i="14"/>
  <c r="AA385" i="14"/>
  <c r="W386" i="14"/>
  <c r="X386" i="14"/>
  <c r="Y386" i="14"/>
  <c r="Z386" i="14"/>
  <c r="AA386" i="14"/>
  <c r="W387" i="14"/>
  <c r="X387" i="14"/>
  <c r="Y387" i="14"/>
  <c r="Z387" i="14"/>
  <c r="AA387" i="14"/>
  <c r="W388" i="14"/>
  <c r="X388" i="14"/>
  <c r="Y388" i="14"/>
  <c r="Z388" i="14"/>
  <c r="AA388" i="14"/>
  <c r="W389" i="14"/>
  <c r="X389" i="14"/>
  <c r="Y389" i="14"/>
  <c r="Z389" i="14"/>
  <c r="AA389" i="14"/>
  <c r="W390" i="14"/>
  <c r="X390" i="14"/>
  <c r="Y390" i="14"/>
  <c r="Z390" i="14"/>
  <c r="AA390" i="14"/>
  <c r="W391" i="14"/>
  <c r="X391" i="14"/>
  <c r="Y391" i="14"/>
  <c r="Z391" i="14"/>
  <c r="AA391" i="14"/>
  <c r="W392" i="14"/>
  <c r="X392" i="14"/>
  <c r="Y392" i="14"/>
  <c r="Z392" i="14"/>
  <c r="AA392" i="14"/>
  <c r="W393" i="14"/>
  <c r="X393" i="14"/>
  <c r="Y393" i="14"/>
  <c r="Z393" i="14"/>
  <c r="AA393" i="14"/>
  <c r="W394" i="14"/>
  <c r="X394" i="14"/>
  <c r="Y394" i="14"/>
  <c r="Z394" i="14"/>
  <c r="AA394" i="14"/>
  <c r="W395" i="14"/>
  <c r="X395" i="14"/>
  <c r="Y395" i="14"/>
  <c r="Z395" i="14"/>
  <c r="AA395" i="14"/>
  <c r="W396" i="14"/>
  <c r="X396" i="14"/>
  <c r="Y396" i="14"/>
  <c r="Z396" i="14"/>
  <c r="AA396" i="14"/>
  <c r="W397" i="14"/>
  <c r="X397" i="14"/>
  <c r="Y397" i="14"/>
  <c r="Z397" i="14"/>
  <c r="AA397" i="14"/>
  <c r="W398" i="14"/>
  <c r="X398" i="14"/>
  <c r="Y398" i="14"/>
  <c r="Z398" i="14"/>
  <c r="AA398" i="14"/>
  <c r="W399" i="14"/>
  <c r="X399" i="14"/>
  <c r="Y399" i="14"/>
  <c r="Z399" i="14"/>
  <c r="AA399" i="14"/>
  <c r="W400" i="14"/>
  <c r="X400" i="14"/>
  <c r="Y400" i="14"/>
  <c r="Z400" i="14"/>
  <c r="AA400" i="14"/>
  <c r="W401" i="14"/>
  <c r="X401" i="14"/>
  <c r="Y401" i="14"/>
  <c r="Z401" i="14"/>
  <c r="AA401" i="14"/>
  <c r="W402" i="14"/>
  <c r="X402" i="14"/>
  <c r="Y402" i="14"/>
  <c r="Z402" i="14"/>
  <c r="AA402" i="14"/>
  <c r="W403" i="14"/>
  <c r="X403" i="14"/>
  <c r="Y403" i="14"/>
  <c r="Z403" i="14"/>
  <c r="AA403" i="14"/>
  <c r="W405" i="14"/>
  <c r="X405" i="14"/>
  <c r="Y405" i="14"/>
  <c r="Z405" i="14"/>
  <c r="AA405" i="14"/>
  <c r="W406" i="14"/>
  <c r="X406" i="14"/>
  <c r="Y406" i="14"/>
  <c r="Z406" i="14"/>
  <c r="AA406" i="14"/>
  <c r="W407" i="14"/>
  <c r="X407" i="14"/>
  <c r="Y407" i="14"/>
  <c r="Z407" i="14"/>
  <c r="AA407" i="14"/>
  <c r="W408" i="14"/>
  <c r="X408" i="14"/>
  <c r="Y408" i="14"/>
  <c r="Z408" i="14"/>
  <c r="AA408" i="14"/>
  <c r="W409" i="14"/>
  <c r="X409" i="14"/>
  <c r="Y409" i="14"/>
  <c r="Z409" i="14"/>
  <c r="AA409" i="14"/>
  <c r="W410" i="14"/>
  <c r="X410" i="14"/>
  <c r="Y410" i="14"/>
  <c r="Z410" i="14"/>
  <c r="AA410" i="14"/>
  <c r="W411" i="14"/>
  <c r="X411" i="14"/>
  <c r="Y411" i="14"/>
  <c r="Z411" i="14"/>
  <c r="AA411" i="14"/>
  <c r="W412" i="14"/>
  <c r="X412" i="14"/>
  <c r="Y412" i="14"/>
  <c r="Z412" i="14"/>
  <c r="AA412" i="14"/>
  <c r="W413" i="14"/>
  <c r="X413" i="14"/>
  <c r="Y413" i="14"/>
  <c r="Z413" i="14"/>
  <c r="AA413" i="14"/>
  <c r="W414" i="14"/>
  <c r="X414" i="14"/>
  <c r="Y414" i="14"/>
  <c r="Z414" i="14"/>
  <c r="AA414" i="14"/>
  <c r="W415" i="14"/>
  <c r="X415" i="14"/>
  <c r="Y415" i="14"/>
  <c r="Z415" i="14"/>
  <c r="AA415" i="14"/>
  <c r="W416" i="14"/>
  <c r="X416" i="14"/>
  <c r="Y416" i="14"/>
  <c r="Z416" i="14"/>
  <c r="AA416" i="14"/>
  <c r="W417" i="14"/>
  <c r="X417" i="14"/>
  <c r="Y417" i="14"/>
  <c r="Z417" i="14"/>
  <c r="AA417" i="14"/>
  <c r="W418" i="14"/>
  <c r="X418" i="14"/>
  <c r="Y418" i="14"/>
  <c r="Z418" i="14"/>
  <c r="AA418" i="14"/>
  <c r="W419" i="14"/>
  <c r="X419" i="14"/>
  <c r="Y419" i="14"/>
  <c r="Z419" i="14"/>
  <c r="AA419" i="14"/>
  <c r="W420" i="14"/>
  <c r="X420" i="14"/>
  <c r="Y420" i="14"/>
  <c r="Z420" i="14"/>
  <c r="AA420" i="14"/>
  <c r="W421" i="14"/>
  <c r="X421" i="14"/>
  <c r="Y421" i="14"/>
  <c r="Z421" i="14"/>
  <c r="AA421" i="14"/>
  <c r="W422" i="14"/>
  <c r="X422" i="14"/>
  <c r="Y422" i="14"/>
  <c r="Z422" i="14"/>
  <c r="AA422" i="14"/>
  <c r="W423" i="14"/>
  <c r="X423" i="14"/>
  <c r="Y423" i="14"/>
  <c r="Z423" i="14"/>
  <c r="AA423" i="14"/>
  <c r="W424" i="14"/>
  <c r="X424" i="14"/>
  <c r="Y424" i="14"/>
  <c r="Z424" i="14"/>
  <c r="AA424" i="14"/>
  <c r="W425" i="14"/>
  <c r="X425" i="14"/>
  <c r="Y425" i="14"/>
  <c r="Z425" i="14"/>
  <c r="AA425" i="14"/>
  <c r="W426" i="14"/>
  <c r="X426" i="14"/>
  <c r="Y426" i="14"/>
  <c r="Z426" i="14"/>
  <c r="AA426" i="14"/>
  <c r="W427" i="14"/>
  <c r="X427" i="14"/>
  <c r="Y427" i="14"/>
  <c r="Z427" i="14"/>
  <c r="AA427" i="14"/>
  <c r="W428" i="14"/>
  <c r="X428" i="14"/>
  <c r="Y428" i="14"/>
  <c r="Z428" i="14"/>
  <c r="AA428" i="14"/>
  <c r="W429" i="14"/>
  <c r="X429" i="14"/>
  <c r="Y429" i="14"/>
  <c r="Z429" i="14"/>
  <c r="AA429" i="14"/>
  <c r="W430" i="14"/>
  <c r="X430" i="14"/>
  <c r="Y430" i="14"/>
  <c r="Z430" i="14"/>
  <c r="AA430" i="14"/>
  <c r="W431" i="14"/>
  <c r="X431" i="14"/>
  <c r="Y431" i="14"/>
  <c r="Z431" i="14"/>
  <c r="AA431" i="14"/>
  <c r="W432" i="14"/>
  <c r="X432" i="14"/>
  <c r="Y432" i="14"/>
  <c r="Z432" i="14"/>
  <c r="AA432" i="14"/>
  <c r="W433" i="14"/>
  <c r="X433" i="14"/>
  <c r="Y433" i="14"/>
  <c r="Z433" i="14"/>
  <c r="AA433" i="14"/>
  <c r="W434" i="14"/>
  <c r="X434" i="14"/>
  <c r="Y434" i="14"/>
  <c r="Z434" i="14"/>
  <c r="AA434" i="14"/>
  <c r="W435" i="14"/>
  <c r="X435" i="14"/>
  <c r="Y435" i="14"/>
  <c r="Z435" i="14"/>
  <c r="AA435" i="14"/>
  <c r="W436" i="14"/>
  <c r="X436" i="14"/>
  <c r="Y436" i="14"/>
  <c r="Z436" i="14"/>
  <c r="AA436" i="14"/>
  <c r="W437" i="14"/>
  <c r="X437" i="14"/>
  <c r="Y437" i="14"/>
  <c r="Z437" i="14"/>
  <c r="AA437" i="14"/>
  <c r="W438" i="14"/>
  <c r="X438" i="14"/>
  <c r="Y438" i="14"/>
  <c r="Z438" i="14"/>
  <c r="AA438" i="14"/>
  <c r="W439" i="14"/>
  <c r="X439" i="14"/>
  <c r="Y439" i="14"/>
  <c r="Z439" i="14"/>
  <c r="AA439" i="14"/>
  <c r="W440" i="14"/>
  <c r="X440" i="14"/>
  <c r="Y440" i="14"/>
  <c r="Z440" i="14"/>
  <c r="AA440" i="14"/>
  <c r="W441" i="14"/>
  <c r="X441" i="14"/>
  <c r="Y441" i="14"/>
  <c r="Z441" i="14"/>
  <c r="AA441" i="14"/>
  <c r="W442" i="14"/>
  <c r="X442" i="14"/>
  <c r="Y442" i="14"/>
  <c r="Z442" i="14"/>
  <c r="AA442" i="14"/>
  <c r="W443" i="14"/>
  <c r="X443" i="14"/>
  <c r="Y443" i="14"/>
  <c r="Z443" i="14"/>
  <c r="AA443" i="14"/>
  <c r="W444" i="14"/>
  <c r="X444" i="14"/>
  <c r="Y444" i="14"/>
  <c r="Z444" i="14"/>
  <c r="AA444" i="14"/>
  <c r="W445" i="14"/>
  <c r="X445" i="14"/>
  <c r="Y445" i="14"/>
  <c r="Z445" i="14"/>
  <c r="AA445" i="14"/>
  <c r="W446" i="14"/>
  <c r="X446" i="14"/>
  <c r="Y446" i="14"/>
  <c r="Z446" i="14"/>
  <c r="AA446" i="14"/>
  <c r="W447" i="14"/>
  <c r="X447" i="14"/>
  <c r="Y447" i="14"/>
  <c r="Z447" i="14"/>
  <c r="AA447" i="14"/>
  <c r="W448" i="14"/>
  <c r="X448" i="14"/>
  <c r="Y448" i="14"/>
  <c r="Z448" i="14"/>
  <c r="AA448" i="14"/>
  <c r="W449" i="14"/>
  <c r="X449" i="14"/>
  <c r="Y449" i="14"/>
  <c r="Z449" i="14"/>
  <c r="AA449" i="14"/>
  <c r="W450" i="14"/>
  <c r="X450" i="14"/>
  <c r="Y450" i="14"/>
  <c r="Z450" i="14"/>
  <c r="AA450" i="14"/>
  <c r="W451" i="14"/>
  <c r="X451" i="14"/>
  <c r="Y451" i="14"/>
  <c r="Z451" i="14"/>
  <c r="AA451" i="14"/>
  <c r="W452" i="14"/>
  <c r="X452" i="14"/>
  <c r="Y452" i="14"/>
  <c r="Z452" i="14"/>
  <c r="AA452" i="14"/>
  <c r="W453" i="14"/>
  <c r="X453" i="14"/>
  <c r="Y453" i="14"/>
  <c r="Z453" i="14"/>
  <c r="AA453" i="14"/>
  <c r="W454" i="14"/>
  <c r="X454" i="14"/>
  <c r="Y454" i="14"/>
  <c r="Z454" i="14"/>
  <c r="AA454" i="14"/>
  <c r="W455" i="14"/>
  <c r="X455" i="14"/>
  <c r="Y455" i="14"/>
  <c r="Z455" i="14"/>
  <c r="AA455" i="14"/>
  <c r="W456" i="14"/>
  <c r="X456" i="14"/>
  <c r="Y456" i="14"/>
  <c r="Z456" i="14"/>
  <c r="AA456" i="14"/>
  <c r="W457" i="14"/>
  <c r="X457" i="14"/>
  <c r="Y457" i="14"/>
  <c r="Z457" i="14"/>
  <c r="AA457" i="14"/>
  <c r="W458" i="14"/>
  <c r="X458" i="14"/>
  <c r="Y458" i="14"/>
  <c r="Z458" i="14"/>
  <c r="AA458" i="14"/>
  <c r="W459" i="14"/>
  <c r="X459" i="14"/>
  <c r="Y459" i="14"/>
  <c r="Z459" i="14"/>
  <c r="AA459" i="14"/>
  <c r="W460" i="14"/>
  <c r="X460" i="14"/>
  <c r="Y460" i="14"/>
  <c r="Z460" i="14"/>
  <c r="AA460" i="14"/>
  <c r="W461" i="14"/>
  <c r="X461" i="14"/>
  <c r="Y461" i="14"/>
  <c r="Z461" i="14"/>
  <c r="AA461" i="14"/>
  <c r="W462" i="14"/>
  <c r="X462" i="14"/>
  <c r="Y462" i="14"/>
  <c r="Z462" i="14"/>
  <c r="AA462" i="14"/>
  <c r="W463" i="14"/>
  <c r="X463" i="14"/>
  <c r="Y463" i="14"/>
  <c r="Z463" i="14"/>
  <c r="AA463" i="14"/>
  <c r="W464" i="14"/>
  <c r="X464" i="14"/>
  <c r="Y464" i="14"/>
  <c r="Z464" i="14"/>
  <c r="AA464" i="14"/>
  <c r="W465" i="14"/>
  <c r="X465" i="14"/>
  <c r="Y465" i="14"/>
  <c r="Z465" i="14"/>
  <c r="AA465" i="14"/>
  <c r="W466" i="14"/>
  <c r="X466" i="14"/>
  <c r="Y466" i="14"/>
  <c r="Z466" i="14"/>
  <c r="AA466" i="14"/>
  <c r="W467" i="14"/>
  <c r="X467" i="14"/>
  <c r="Y467" i="14"/>
  <c r="Z467" i="14"/>
  <c r="AA467" i="14"/>
  <c r="W468" i="14"/>
  <c r="X468" i="14"/>
  <c r="Y468" i="14"/>
  <c r="Z468" i="14"/>
  <c r="AA468" i="14"/>
  <c r="W469" i="14"/>
  <c r="X469" i="14"/>
  <c r="Y469" i="14"/>
  <c r="Z469" i="14"/>
  <c r="AA469" i="14"/>
  <c r="W470" i="14"/>
  <c r="X470" i="14"/>
  <c r="Y470" i="14"/>
  <c r="Z470" i="14"/>
  <c r="AA470" i="14"/>
  <c r="W471" i="14"/>
  <c r="X471" i="14"/>
  <c r="Y471" i="14"/>
  <c r="Z471" i="14"/>
  <c r="AA471" i="14"/>
  <c r="W472" i="14"/>
  <c r="X472" i="14"/>
  <c r="Y472" i="14"/>
  <c r="Z472" i="14"/>
  <c r="AA472" i="14"/>
  <c r="W473" i="14"/>
  <c r="X473" i="14"/>
  <c r="Y473" i="14"/>
  <c r="Z473" i="14"/>
  <c r="AA473" i="14"/>
  <c r="W474" i="14"/>
  <c r="X474" i="14"/>
  <c r="Y474" i="14"/>
  <c r="Z474" i="14"/>
  <c r="AA474" i="14"/>
  <c r="W475" i="14"/>
  <c r="X475" i="14"/>
  <c r="Y475" i="14"/>
  <c r="Z475" i="14"/>
  <c r="AA475" i="14"/>
  <c r="W476" i="14"/>
  <c r="X476" i="14"/>
  <c r="Y476" i="14"/>
  <c r="Z476" i="14"/>
  <c r="AA476" i="14"/>
  <c r="W477" i="14"/>
  <c r="X477" i="14"/>
  <c r="Y477" i="14"/>
  <c r="Z477" i="14"/>
  <c r="AA477" i="14"/>
  <c r="W478" i="14"/>
  <c r="X478" i="14"/>
  <c r="Y478" i="14"/>
  <c r="Z478" i="14"/>
  <c r="AA478" i="14"/>
  <c r="W479" i="14"/>
  <c r="X479" i="14"/>
  <c r="Y479" i="14"/>
  <c r="Z479" i="14"/>
  <c r="AA479" i="14"/>
  <c r="W480" i="14"/>
  <c r="X480" i="14"/>
  <c r="Y480" i="14"/>
  <c r="Z480" i="14"/>
  <c r="AA480" i="14"/>
  <c r="W481" i="14"/>
  <c r="X481" i="14"/>
  <c r="Y481" i="14"/>
  <c r="Z481" i="14"/>
  <c r="AA481" i="14"/>
  <c r="W482" i="14"/>
  <c r="X482" i="14"/>
  <c r="Y482" i="14"/>
  <c r="Z482" i="14"/>
  <c r="AA482" i="14"/>
  <c r="W483" i="14"/>
  <c r="X483" i="14"/>
  <c r="Y483" i="14"/>
  <c r="Z483" i="14"/>
  <c r="AA483" i="14"/>
  <c r="W484" i="14"/>
  <c r="X484" i="14"/>
  <c r="Y484" i="14"/>
  <c r="Z484" i="14"/>
  <c r="AA484" i="14"/>
  <c r="W485" i="14"/>
  <c r="X485" i="14"/>
  <c r="Y485" i="14"/>
  <c r="Z485" i="14"/>
  <c r="AA485" i="14"/>
  <c r="W486" i="14"/>
  <c r="X486" i="14"/>
  <c r="Y486" i="14"/>
  <c r="Z486" i="14"/>
  <c r="AA486" i="14"/>
  <c r="W487" i="14"/>
  <c r="X487" i="14"/>
  <c r="Y487" i="14"/>
  <c r="Z487" i="14"/>
  <c r="AA487" i="14"/>
  <c r="W488" i="14"/>
  <c r="X488" i="14"/>
  <c r="Y488" i="14"/>
  <c r="Z488" i="14"/>
  <c r="AA488" i="14"/>
  <c r="W489" i="14"/>
  <c r="X489" i="14"/>
  <c r="Y489" i="14"/>
  <c r="Z489" i="14"/>
  <c r="AA489" i="14"/>
  <c r="W490" i="14"/>
  <c r="X490" i="14"/>
  <c r="Y490" i="14"/>
  <c r="Z490" i="14"/>
  <c r="AA490" i="14"/>
  <c r="W491" i="14"/>
  <c r="X491" i="14"/>
  <c r="Y491" i="14"/>
  <c r="Z491" i="14"/>
  <c r="AA491" i="14"/>
  <c r="W492" i="14"/>
  <c r="X492" i="14"/>
  <c r="Y492" i="14"/>
  <c r="Z492" i="14"/>
  <c r="AA492" i="14"/>
  <c r="W493" i="14"/>
  <c r="X493" i="14"/>
  <c r="Y493" i="14"/>
  <c r="Z493" i="14"/>
  <c r="AA493" i="14"/>
  <c r="W494" i="14"/>
  <c r="X494" i="14"/>
  <c r="Y494" i="14"/>
  <c r="Z494" i="14"/>
  <c r="AA494" i="14"/>
  <c r="W495" i="14"/>
  <c r="X495" i="14"/>
  <c r="Y495" i="14"/>
  <c r="Z495" i="14"/>
  <c r="AA495" i="14"/>
  <c r="W496" i="14"/>
  <c r="X496" i="14"/>
  <c r="Y496" i="14"/>
  <c r="Z496" i="14"/>
  <c r="AA496" i="14"/>
  <c r="W497" i="14"/>
  <c r="X497" i="14"/>
  <c r="Y497" i="14"/>
  <c r="Z497" i="14"/>
  <c r="AA497" i="14"/>
  <c r="W498" i="14"/>
  <c r="X498" i="14"/>
  <c r="Y498" i="14"/>
  <c r="Z498" i="14"/>
  <c r="AA498" i="14"/>
  <c r="W499" i="14"/>
  <c r="X499" i="14"/>
  <c r="Y499" i="14"/>
  <c r="Z499" i="14"/>
  <c r="AA499" i="14"/>
  <c r="W500" i="14"/>
  <c r="X500" i="14"/>
  <c r="Y500" i="14"/>
  <c r="Z500" i="14"/>
  <c r="AA500" i="14"/>
  <c r="W501" i="14"/>
  <c r="X501" i="14"/>
  <c r="Y501" i="14"/>
  <c r="Z501" i="14"/>
  <c r="AA501" i="14"/>
  <c r="W502" i="14"/>
  <c r="X502" i="14"/>
  <c r="Y502" i="14"/>
  <c r="Z502" i="14"/>
  <c r="AA502" i="14"/>
  <c r="W503" i="14"/>
  <c r="X503" i="14"/>
  <c r="Y503" i="14"/>
  <c r="Z503" i="14"/>
  <c r="AA503" i="14"/>
  <c r="W504" i="14"/>
  <c r="X504" i="14"/>
  <c r="Y504" i="14"/>
  <c r="Z504" i="14"/>
  <c r="AA504" i="14"/>
  <c r="W505" i="14"/>
  <c r="X505" i="14"/>
  <c r="Y505" i="14"/>
  <c r="Z505" i="14"/>
  <c r="AA505" i="14"/>
  <c r="W506" i="14"/>
  <c r="X506" i="14"/>
  <c r="Y506" i="14"/>
  <c r="Z506" i="14"/>
  <c r="AA506" i="14"/>
  <c r="W507" i="14"/>
  <c r="X507" i="14"/>
  <c r="Y507" i="14"/>
  <c r="Z507" i="14"/>
  <c r="AA507" i="14"/>
  <c r="W508" i="14"/>
  <c r="X508" i="14"/>
  <c r="Y508" i="14"/>
  <c r="Z508" i="14"/>
  <c r="AA508" i="14"/>
  <c r="W509" i="14"/>
  <c r="X509" i="14"/>
  <c r="Y509" i="14"/>
  <c r="Z509" i="14"/>
  <c r="AA509" i="14"/>
  <c r="W510" i="14"/>
  <c r="X510" i="14"/>
  <c r="Y510" i="14"/>
  <c r="Z510" i="14"/>
  <c r="AA510" i="14"/>
  <c r="W511" i="14"/>
  <c r="X511" i="14"/>
  <c r="Y511" i="14"/>
  <c r="Z511" i="14"/>
  <c r="AA511" i="14"/>
  <c r="W512" i="14"/>
  <c r="X512" i="14"/>
  <c r="Y512" i="14"/>
  <c r="Z512" i="14"/>
  <c r="AA512" i="14"/>
  <c r="W513" i="14"/>
  <c r="X513" i="14"/>
  <c r="Y513" i="14"/>
  <c r="Z513" i="14"/>
  <c r="AA513" i="14"/>
  <c r="W514" i="14"/>
  <c r="X514" i="14"/>
  <c r="Y514" i="14"/>
  <c r="Z514" i="14"/>
  <c r="AA514" i="14"/>
  <c r="W515" i="14"/>
  <c r="X515" i="14"/>
  <c r="Y515" i="14"/>
  <c r="Z515" i="14"/>
  <c r="AA515" i="14"/>
  <c r="W516" i="14"/>
  <c r="X516" i="14"/>
  <c r="Y516" i="14"/>
  <c r="Z516" i="14"/>
  <c r="AA516" i="14"/>
  <c r="W517" i="14"/>
  <c r="X517" i="14"/>
  <c r="Y517" i="14"/>
  <c r="Z517" i="14"/>
  <c r="AA517" i="14"/>
  <c r="W518" i="14"/>
  <c r="X518" i="14"/>
  <c r="Y518" i="14"/>
  <c r="Z518" i="14"/>
  <c r="AA518" i="14"/>
  <c r="W519" i="14"/>
  <c r="X519" i="14"/>
  <c r="Y519" i="14"/>
  <c r="Z519" i="14"/>
  <c r="AA519" i="14"/>
  <c r="W520" i="14"/>
  <c r="X520" i="14"/>
  <c r="Y520" i="14"/>
  <c r="Z520" i="14"/>
  <c r="AA520" i="14"/>
  <c r="W521" i="14"/>
  <c r="X521" i="14"/>
  <c r="Y521" i="14"/>
  <c r="Z521" i="14"/>
  <c r="AA521" i="14"/>
  <c r="W522" i="14"/>
  <c r="X522" i="14"/>
  <c r="Y522" i="14"/>
  <c r="Z522" i="14"/>
  <c r="AA522" i="14"/>
  <c r="W523" i="14"/>
  <c r="X523" i="14"/>
  <c r="Y523" i="14"/>
  <c r="Z523" i="14"/>
  <c r="AA523" i="14"/>
  <c r="W524" i="14"/>
  <c r="X524" i="14"/>
  <c r="Y524" i="14"/>
  <c r="Z524" i="14"/>
  <c r="AA524" i="14"/>
  <c r="W525" i="14"/>
  <c r="X525" i="14"/>
  <c r="Y525" i="14"/>
  <c r="Z525" i="14"/>
  <c r="AA525" i="14"/>
  <c r="W526" i="14"/>
  <c r="X526" i="14"/>
  <c r="Y526" i="14"/>
  <c r="Z526" i="14"/>
  <c r="AA526" i="14"/>
  <c r="W527" i="14"/>
  <c r="X527" i="14"/>
  <c r="Y527" i="14"/>
  <c r="Z527" i="14"/>
  <c r="AA527" i="14"/>
  <c r="W528" i="14"/>
  <c r="X528" i="14"/>
  <c r="Y528" i="14"/>
  <c r="Z528" i="14"/>
  <c r="AA528" i="14"/>
  <c r="W529" i="14"/>
  <c r="X529" i="14"/>
  <c r="Y529" i="14"/>
  <c r="Z529" i="14"/>
  <c r="AA529" i="14"/>
  <c r="W530" i="14"/>
  <c r="X530" i="14"/>
  <c r="Y530" i="14"/>
  <c r="Z530" i="14"/>
  <c r="AA530" i="14"/>
  <c r="W531" i="14"/>
  <c r="X531" i="14"/>
  <c r="Y531" i="14"/>
  <c r="Z531" i="14"/>
  <c r="AA531" i="14"/>
  <c r="W532" i="14"/>
  <c r="X532" i="14"/>
  <c r="Y532" i="14"/>
  <c r="Z532" i="14"/>
  <c r="AA532" i="14"/>
  <c r="W533" i="14"/>
  <c r="X533" i="14"/>
  <c r="Y533" i="14"/>
  <c r="Z533" i="14"/>
  <c r="AA533" i="14"/>
  <c r="W534" i="14"/>
  <c r="X534" i="14"/>
  <c r="Y534" i="14"/>
  <c r="Z534" i="14"/>
  <c r="AA534" i="14"/>
  <c r="W535" i="14"/>
  <c r="X535" i="14"/>
  <c r="Y535" i="14"/>
  <c r="Z535" i="14"/>
  <c r="AA535" i="14"/>
  <c r="W536" i="14"/>
  <c r="X536" i="14"/>
  <c r="Y536" i="14"/>
  <c r="Z536" i="14"/>
  <c r="AA536" i="14"/>
  <c r="W537" i="14"/>
  <c r="X537" i="14"/>
  <c r="Y537" i="14"/>
  <c r="Z537" i="14"/>
  <c r="AA537" i="14"/>
  <c r="W538" i="14"/>
  <c r="X538" i="14"/>
  <c r="Y538" i="14"/>
  <c r="Z538" i="14"/>
  <c r="AA538" i="14"/>
  <c r="W539" i="14"/>
  <c r="X539" i="14"/>
  <c r="Y539" i="14"/>
  <c r="Z539" i="14"/>
  <c r="AA539" i="14"/>
  <c r="W540" i="14"/>
  <c r="X540" i="14"/>
  <c r="Y540" i="14"/>
  <c r="Z540" i="14"/>
  <c r="AA540" i="14"/>
  <c r="W541" i="14"/>
  <c r="X541" i="14"/>
  <c r="Y541" i="14"/>
  <c r="Z541" i="14"/>
  <c r="AA541" i="14"/>
  <c r="W542" i="14"/>
  <c r="X542" i="14"/>
  <c r="Y542" i="14"/>
  <c r="Z542" i="14"/>
  <c r="AA542" i="14"/>
  <c r="W543" i="14"/>
  <c r="X543" i="14"/>
  <c r="Y543" i="14"/>
  <c r="Z543" i="14"/>
  <c r="AA543" i="14"/>
  <c r="W544" i="14"/>
  <c r="X544" i="14"/>
  <c r="Y544" i="14"/>
  <c r="Z544" i="14"/>
  <c r="AA544" i="14"/>
  <c r="W545" i="14"/>
  <c r="X545" i="14"/>
  <c r="Y545" i="14"/>
  <c r="Z545" i="14"/>
  <c r="AA545" i="14"/>
  <c r="W546" i="14"/>
  <c r="X546" i="14"/>
  <c r="Y546" i="14"/>
  <c r="Z546" i="14"/>
  <c r="AA546" i="14"/>
  <c r="W547" i="14"/>
  <c r="X547" i="14"/>
  <c r="Y547" i="14"/>
  <c r="Z547" i="14"/>
  <c r="AA547" i="14"/>
  <c r="W548" i="14"/>
  <c r="X548" i="14"/>
  <c r="Y548" i="14"/>
  <c r="Z548" i="14"/>
  <c r="AA548" i="14"/>
  <c r="W549" i="14"/>
  <c r="X549" i="14"/>
  <c r="Y549" i="14"/>
  <c r="Z549" i="14"/>
  <c r="AA549" i="14"/>
  <c r="W550" i="14"/>
  <c r="X550" i="14"/>
  <c r="Y550" i="14"/>
  <c r="Z550" i="14"/>
  <c r="AA550" i="14"/>
  <c r="W551" i="14"/>
  <c r="X551" i="14"/>
  <c r="Y551" i="14"/>
  <c r="Z551" i="14"/>
  <c r="AA551" i="14"/>
  <c r="W552" i="14"/>
  <c r="X552" i="14"/>
  <c r="Y552" i="14"/>
  <c r="Z552" i="14"/>
  <c r="AA552" i="14"/>
  <c r="W553" i="14"/>
  <c r="X553" i="14"/>
  <c r="Y553" i="14"/>
  <c r="Z553" i="14"/>
  <c r="AA553" i="14"/>
  <c r="W554" i="14"/>
  <c r="X554" i="14"/>
  <c r="Y554" i="14"/>
  <c r="Z554" i="14"/>
  <c r="AA554" i="14"/>
  <c r="W555" i="14"/>
  <c r="X555" i="14"/>
  <c r="Y555" i="14"/>
  <c r="Z555" i="14"/>
  <c r="AA555" i="14"/>
  <c r="W556" i="14"/>
  <c r="X556" i="14"/>
  <c r="Y556" i="14"/>
  <c r="Z556" i="14"/>
  <c r="AA556" i="14"/>
  <c r="W557" i="14"/>
  <c r="X557" i="14"/>
  <c r="Y557" i="14"/>
  <c r="Z557" i="14"/>
  <c r="AA557" i="14"/>
  <c r="W558" i="14"/>
  <c r="X558" i="14"/>
  <c r="Y558" i="14"/>
  <c r="Z558" i="14"/>
  <c r="AA558" i="14"/>
  <c r="W559" i="14"/>
  <c r="X559" i="14"/>
  <c r="Y559" i="14"/>
  <c r="Z559" i="14"/>
  <c r="AA559" i="14"/>
  <c r="W560" i="14"/>
  <c r="X560" i="14"/>
  <c r="Y560" i="14"/>
  <c r="Z560" i="14"/>
  <c r="AA560" i="14"/>
  <c r="W561" i="14"/>
  <c r="X561" i="14"/>
  <c r="Y561" i="14"/>
  <c r="Z561" i="14"/>
  <c r="AA561" i="14"/>
  <c r="W562" i="14"/>
  <c r="X562" i="14"/>
  <c r="Y562" i="14"/>
  <c r="Z562" i="14"/>
  <c r="AA562" i="14"/>
  <c r="AA7" i="14"/>
  <c r="Z7" i="14"/>
  <c r="Y7" i="14"/>
  <c r="X7" i="14"/>
  <c r="W7" i="14"/>
  <c r="T25" i="7"/>
  <c r="X24" i="7"/>
  <c r="L24" i="7"/>
  <c r="H24" i="7"/>
  <c r="P21" i="7"/>
  <c r="D21" i="7"/>
  <c r="T19" i="7"/>
  <c r="L17" i="7"/>
  <c r="H16" i="7"/>
  <c r="X15" i="7"/>
  <c r="D15" i="7"/>
  <c r="P14" i="7"/>
  <c r="T12" i="7"/>
  <c r="P12" i="7"/>
  <c r="L12" i="7"/>
  <c r="X11" i="7"/>
  <c r="H11" i="7"/>
  <c r="D10" i="7"/>
</calcChain>
</file>

<file path=xl/sharedStrings.xml><?xml version="1.0" encoding="utf-8"?>
<sst xmlns="http://schemas.openxmlformats.org/spreadsheetml/2006/main" count="14344" uniqueCount="2589">
  <si>
    <t>キックオフ＆共有フォルダルール決め</t>
    <phoneticPr fontId="1"/>
  </si>
  <si>
    <t>物理サーバ更新</t>
    <phoneticPr fontId="1"/>
  </si>
  <si>
    <t>物理サーバ更新完了</t>
    <rPh sb="7" eb="9">
      <t>カンリョウ</t>
    </rPh>
    <phoneticPr fontId="1"/>
  </si>
  <si>
    <t>進捗確認</t>
    <rPh sb="0" eb="2">
      <t>シンチョク</t>
    </rPh>
    <rPh sb="2" eb="4">
      <t>カクニン</t>
    </rPh>
    <phoneticPr fontId="1"/>
  </si>
  <si>
    <t>物理サーバ更新中に、SSC社内で 部署毎・業務毎に</t>
    <rPh sb="0" eb="2">
      <t>ブツリ</t>
    </rPh>
    <rPh sb="5" eb="7">
      <t>コウシン</t>
    </rPh>
    <rPh sb="7" eb="8">
      <t>ナカ</t>
    </rPh>
    <rPh sb="13" eb="15">
      <t>シャナイ</t>
    </rPh>
    <rPh sb="17" eb="19">
      <t>ブショ</t>
    </rPh>
    <rPh sb="19" eb="20">
      <t>ゴト</t>
    </rPh>
    <rPh sb="21" eb="23">
      <t>ギョウム</t>
    </rPh>
    <rPh sb="23" eb="24">
      <t>ゴト</t>
    </rPh>
    <phoneticPr fontId="1"/>
  </si>
  <si>
    <t>共有フォルダの運用ルール・管理担当 一次案を決める</t>
    <phoneticPr fontId="1"/>
  </si>
  <si>
    <t>④Q美レンタルサーバ移設検討報告(迷惑メールフィルター脆弱)</t>
  </si>
  <si>
    <t>中土主任にて社内ヒアリング配布-回収-要約していただいた内容に基づいて社内業務効率化の進め方(どの業務から/どうすれば現実的か)､全体方針の整理について打合せ。</t>
  </si>
  <si>
    <t>今回のヒアリングでは業務内容が多岐に渡り社内で実務を確認するのも時間がかかるため3月はプレDXを中断していただくことし4/14再開を目標として3月中旬に進捗状況を共有することとした。</t>
    <phoneticPr fontId="1"/>
  </si>
  <si>
    <r>
      <t>①</t>
    </r>
    <r>
      <rPr>
        <sz val="8"/>
        <color rgb="FFC00000"/>
        <rFont val="Meiryo UI"/>
        <family val="3"/>
        <charset val="128"/>
      </rPr>
      <t>共有フォルダ</t>
    </r>
    <r>
      <rPr>
        <sz val="8"/>
        <color theme="1"/>
        <rFont val="Meiryo UI"/>
        <family val="3"/>
        <charset val="128"/>
      </rPr>
      <t>：整備状況を報告､</t>
    </r>
    <r>
      <rPr>
        <sz val="8"/>
        <color rgb="FFC00000"/>
        <rFont val="Meiryo UI"/>
        <family val="3"/>
        <charset val="128"/>
      </rPr>
      <t>年月日フォルダの階層軽減効率化にあたって更新日時をファイル名に自動で付与するツール</t>
    </r>
    <r>
      <rPr>
        <sz val="8"/>
        <color theme="1"/>
        <rFont val="Meiryo UI"/>
        <family val="3"/>
        <charset val="128"/>
      </rPr>
      <t>についてご相談。認識レベルによって漏れる可能性もあるが実効性は高いためインフィニティ様で検討いただく。</t>
    </r>
    <phoneticPr fontId="1"/>
  </si>
  <si>
    <r>
      <t>②</t>
    </r>
    <r>
      <rPr>
        <sz val="8"/>
        <color rgb="FFC00000"/>
        <rFont val="Meiryo UI"/>
        <family val="3"/>
        <charset val="128"/>
      </rPr>
      <t>クラウドバックアップ整備</t>
    </r>
    <r>
      <rPr>
        <sz val="8"/>
        <color theme="1"/>
        <rFont val="Meiryo UI"/>
        <family val="3"/>
        <charset val="128"/>
      </rPr>
      <t>：現実的な選択肢についてご相談。「MS365OneDrive」手動にはなるがOffice込みなのでアプリ環境がなくてもデータを開くことができる「専用サービス」アプリ環境にダウンロードしないと開けないが必要なものだけ厳選すれば</t>
    </r>
    <r>
      <rPr>
        <sz val="8"/>
        <color rgb="FFC00000"/>
        <rFont val="Meiryo UI"/>
        <family val="3"/>
        <charset val="128"/>
      </rPr>
      <t>作業効率･費用面</t>
    </r>
    <r>
      <rPr>
        <sz val="8"/>
        <color theme="1"/>
        <rFont val="Meiryo UI"/>
        <family val="3"/>
        <charset val="128"/>
      </rPr>
      <t>で候補となる。当課題は</t>
    </r>
    <r>
      <rPr>
        <sz val="8"/>
        <color rgb="FFC00000"/>
        <rFont val="Meiryo UI"/>
        <family val="3"/>
        <charset val="128"/>
      </rPr>
      <t>①③の状況を見ながら追って方向性を決めていく。</t>
    </r>
    <phoneticPr fontId="1"/>
  </si>
  <si>
    <r>
      <t>③</t>
    </r>
    <r>
      <rPr>
        <sz val="8"/>
        <color rgb="FFC00000"/>
        <rFont val="Meiryo UI"/>
        <family val="3"/>
        <charset val="128"/>
      </rPr>
      <t>事務作業自動化(AI化)</t>
    </r>
    <r>
      <rPr>
        <sz val="8"/>
        <color theme="1"/>
        <rFont val="Meiryo UI"/>
        <family val="3"/>
        <charset val="128"/>
      </rPr>
      <t>：本日のメイン課題､具体的な取り組みについてご相談。今は生成AIのみならずAIエージェントも機能性や精度が充実してきており代表的なサービスを説明いただいた。いきなり広範囲･高負荷作業で検討するよりも身近な課題を前向きなメンバーでやりながらテンプレ化して共有する方が定着しやすいとのことで先ず社内ヒアリングで気軽な意見を収集してから具体的な考察に入ることとした。ミーティング終了後参加メンバーでヒアリング項目案を出し今週配布～来週半ばに回収～とりまとめ～次回2/24提出する。</t>
    </r>
    <phoneticPr fontId="1"/>
  </si>
  <si>
    <r>
      <t>インフィニティ様の支援実績では数時間かかるような大きな業務から着手するよりも</t>
    </r>
    <r>
      <rPr>
        <sz val="8"/>
        <color rgb="FFC00000"/>
        <rFont val="Meiryo UI"/>
        <family val="3"/>
        <charset val="128"/>
      </rPr>
      <t>数分程度の業務で日々多数の人が関わるものから実施した方が定着率が良い</t>
    </r>
    <r>
      <rPr>
        <sz val="8"/>
        <color theme="1"/>
        <rFont val="Meiryo UI"/>
        <family val="3"/>
        <charset val="128"/>
      </rPr>
      <t>とのことで</t>
    </r>
    <r>
      <rPr>
        <sz val="8"/>
        <color rgb="FFC00000"/>
        <rFont val="Meiryo UI"/>
        <family val="3"/>
        <charset val="128"/>
      </rPr>
      <t>先ずExcel業務の効率化(収集/転記/集計/作成など定型業務)</t>
    </r>
    <r>
      <rPr>
        <sz val="8"/>
        <color theme="1"/>
        <rFont val="Meiryo UI"/>
        <family val="3"/>
        <charset val="128"/>
      </rPr>
      <t>から着手し</t>
    </r>
    <r>
      <rPr>
        <sz val="8"/>
        <color rgb="FFC00000"/>
        <rFont val="Meiryo UI"/>
        <family val="3"/>
        <charset val="128"/>
      </rPr>
      <t>その状況を見ながら紙帳票の電子化､業務フロー整理､AIツール導入､業務フロー再構築へと進めていく</t>
    </r>
    <r>
      <rPr>
        <sz val="8"/>
        <color theme="1"/>
        <rFont val="Meiryo UI"/>
        <family val="3"/>
        <charset val="128"/>
      </rPr>
      <t>形で検討することとなった。</t>
    </r>
    <phoneticPr fontId="1"/>
  </si>
  <si>
    <r>
      <t>↓</t>
    </r>
    <r>
      <rPr>
        <sz val="8"/>
        <color rgb="FFC00000"/>
        <rFont val="Meiryo UI"/>
        <family val="3"/>
        <charset val="128"/>
      </rPr>
      <t>共有フォルダ運用体制</t>
    </r>
    <r>
      <rPr>
        <sz val="8"/>
        <color theme="1"/>
        <rFont val="Meiryo UI"/>
        <family val="3"/>
        <charset val="128"/>
      </rPr>
      <t>、MS365、</t>
    </r>
    <r>
      <rPr>
        <sz val="8"/>
        <color rgb="FFC00000"/>
        <rFont val="Meiryo UI"/>
        <family val="3"/>
        <charset val="128"/>
      </rPr>
      <t>セキュリティ対策</t>
    </r>
    <r>
      <rPr>
        <sz val="8"/>
        <color theme="1"/>
        <rFont val="Meiryo UI"/>
        <family val="3"/>
        <charset val="128"/>
      </rPr>
      <t xml:space="preserve"> ⇄　</t>
    </r>
    <r>
      <rPr>
        <sz val="8"/>
        <color rgb="FFC00000"/>
        <rFont val="Meiryo UI"/>
        <family val="3"/>
        <charset val="128"/>
      </rPr>
      <t>IT基本勉強会</t>
    </r>
    <r>
      <rPr>
        <sz val="8"/>
        <color theme="1"/>
        <rFont val="Meiryo UI"/>
        <family val="3"/>
        <charset val="128"/>
      </rPr>
      <t>、MS365勉強会 等　実施予定</t>
    </r>
    <phoneticPr fontId="1"/>
  </si>
  <si>
    <t>区分</t>
    <rPh sb="0" eb="2">
      <t>クブン</t>
    </rPh>
    <phoneticPr fontId="10"/>
  </si>
  <si>
    <t>内容</t>
    <rPh sb="0" eb="2">
      <t>ナイヨウ</t>
    </rPh>
    <phoneticPr fontId="10"/>
  </si>
  <si>
    <t>部</t>
    <rPh sb="0" eb="1">
      <t>ブ</t>
    </rPh>
    <phoneticPr fontId="10"/>
  </si>
  <si>
    <t>課</t>
    <rPh sb="0" eb="1">
      <t>カ</t>
    </rPh>
    <phoneticPr fontId="10"/>
  </si>
  <si>
    <t>名前</t>
    <rPh sb="0" eb="2">
      <t>ナマエ</t>
    </rPh>
    <phoneticPr fontId="10"/>
  </si>
  <si>
    <t>共有フォルダ</t>
    <rPh sb="0" eb="2">
      <t>キョウユウ</t>
    </rPh>
    <phoneticPr fontId="10"/>
  </si>
  <si>
    <t>共有フォルダ整理の具体的な手順や進め方のレクチャー</t>
    <rPh sb="0" eb="2">
      <t>キョウユウ</t>
    </rPh>
    <rPh sb="6" eb="8">
      <t>セイリ</t>
    </rPh>
    <rPh sb="9" eb="12">
      <t>グタイテキ</t>
    </rPh>
    <rPh sb="13" eb="15">
      <t>テジュン</t>
    </rPh>
    <rPh sb="16" eb="17">
      <t>スス</t>
    </rPh>
    <rPh sb="18" eb="19">
      <t>カタ</t>
    </rPh>
    <phoneticPr fontId="10"/>
  </si>
  <si>
    <t>技術製造部</t>
    <rPh sb="0" eb="4">
      <t>ギジュツセイゾウ</t>
    </rPh>
    <rPh sb="4" eb="5">
      <t>ブ</t>
    </rPh>
    <phoneticPr fontId="10"/>
  </si>
  <si>
    <t>生産管理課</t>
    <rPh sb="0" eb="5">
      <t>セイサンカンリカ</t>
    </rPh>
    <phoneticPr fontId="10"/>
  </si>
  <si>
    <t>中島・鳥山</t>
    <rPh sb="0" eb="2">
      <t>ナカシマ</t>
    </rPh>
    <rPh sb="3" eb="5">
      <t>トリヤマ</t>
    </rPh>
    <phoneticPr fontId="10"/>
  </si>
  <si>
    <t>適切な共有フォルダ運用ルールの作成についてのレクチャー</t>
    <rPh sb="0" eb="2">
      <t>テキセツ</t>
    </rPh>
    <rPh sb="3" eb="5">
      <t>キョウユウ</t>
    </rPh>
    <rPh sb="9" eb="11">
      <t>ウンヨウ</t>
    </rPh>
    <rPh sb="15" eb="17">
      <t>サクセイ</t>
    </rPh>
    <phoneticPr fontId="10"/>
  </si>
  <si>
    <t>共有フォルダの5Sの具体的な進め方</t>
    <rPh sb="0" eb="2">
      <t>キョウユウ</t>
    </rPh>
    <rPh sb="10" eb="13">
      <t>グタイテキ</t>
    </rPh>
    <rPh sb="14" eb="15">
      <t>スス</t>
    </rPh>
    <rPh sb="16" eb="17">
      <t>カタ</t>
    </rPh>
    <phoneticPr fontId="10"/>
  </si>
  <si>
    <t>鳥山</t>
    <rPh sb="0" eb="2">
      <t>トリヤマ</t>
    </rPh>
    <phoneticPr fontId="10"/>
  </si>
  <si>
    <t>可視化ツール導入における管理について　具体的にどのようなことが可能で、どう管理を行うことができるのか</t>
    <rPh sb="0" eb="3">
      <t>カシカ</t>
    </rPh>
    <rPh sb="6" eb="8">
      <t>ドウニュウ</t>
    </rPh>
    <rPh sb="12" eb="14">
      <t>カンリ</t>
    </rPh>
    <phoneticPr fontId="10"/>
  </si>
  <si>
    <t>製造予定等、関係者が共通の認識を持つ必要があるデータは、メールで周知だと見落としもあるため、指定フォルダや、スプレットシート（ＭＳ版のやつで）みたいに、「各自が見に行く形」を希望です。　「更新しました」連絡だけメールで貰えれば、全員が同じデータを閲覧しながら、話す環境が出来るやすいかなと思います。</t>
  </si>
  <si>
    <t>馬場</t>
    <rPh sb="0" eb="2">
      <t>ババ</t>
    </rPh>
    <phoneticPr fontId="10"/>
  </si>
  <si>
    <t>MS365(基礎)</t>
    <rPh sb="6" eb="8">
      <t>キソ</t>
    </rPh>
    <phoneticPr fontId="10"/>
  </si>
  <si>
    <t>各機能と使い方の基本～応用のレクチャー</t>
    <rPh sb="0" eb="3">
      <t>カクキノウ</t>
    </rPh>
    <rPh sb="4" eb="5">
      <t>ツカ</t>
    </rPh>
    <rPh sb="6" eb="7">
      <t>カタ</t>
    </rPh>
    <rPh sb="8" eb="10">
      <t>キホン</t>
    </rPh>
    <rPh sb="11" eb="13">
      <t>オウヨウ</t>
    </rPh>
    <phoneticPr fontId="10"/>
  </si>
  <si>
    <t>社内コミュニケーションツールとしての活用方法詳細　大畑様が仰られていたところの詳細な内容を教えていただきたい</t>
    <rPh sb="0" eb="2">
      <t>シャナイ</t>
    </rPh>
    <rPh sb="18" eb="20">
      <t>カツヨウ</t>
    </rPh>
    <rPh sb="20" eb="22">
      <t>ホウホウ</t>
    </rPh>
    <rPh sb="22" eb="24">
      <t>ショウサイ</t>
    </rPh>
    <phoneticPr fontId="10"/>
  </si>
  <si>
    <t>基本OJTが欲しいです。マニュアルだけだと、導入しても一部機能しか使わない気がします</t>
  </si>
  <si>
    <t>セキュリティ</t>
    <phoneticPr fontId="10"/>
  </si>
  <si>
    <t>利用者のトレーニング方法詳細　トレーニングの内容や頻度など教えていただきたい</t>
    <rPh sb="0" eb="3">
      <t>リヨウシャ</t>
    </rPh>
    <rPh sb="10" eb="12">
      <t>ホウホウ</t>
    </rPh>
    <rPh sb="12" eb="14">
      <t>ショウサイ</t>
    </rPh>
    <phoneticPr fontId="10"/>
  </si>
  <si>
    <t>各セキュリティの導入範囲のご相談　それぞれのセキュリティの内容教えていただき　弊社にとっての最適なセキュリティの導入をしたい</t>
  </si>
  <si>
    <t>Lanscopeを使った具体的な管理方法</t>
    <rPh sb="9" eb="10">
      <t>ツカ</t>
    </rPh>
    <rPh sb="12" eb="15">
      <t>グタイテキ</t>
    </rPh>
    <rPh sb="16" eb="18">
      <t>カンリ</t>
    </rPh>
    <rPh sb="18" eb="20">
      <t>ホウホウ</t>
    </rPh>
    <phoneticPr fontId="10"/>
  </si>
  <si>
    <t>各ユーザーレベルで必要な知識はマニュアルが欲しいですが、　OJTはお願したいです。特にセキュリティはハードルが高いと感じてます・・・　個人的には、メールは迷惑メールが来てるのと、SPAM認識されてるメールも多く、　何かしら各個人で対応ができるのか等、教えて頂きたいです。　　　　</t>
    <phoneticPr fontId="10"/>
  </si>
  <si>
    <t>商談時や移動時にVPN接続をしなければ共有フォルダなど見られず、よりクイックにスマホやPCから閲覧・操作をしたい。</t>
  </si>
  <si>
    <t>企画営業部</t>
    <rPh sb="0" eb="2">
      <t>キカク</t>
    </rPh>
    <rPh sb="2" eb="4">
      <t>エイギョウ</t>
    </rPh>
    <rPh sb="4" eb="5">
      <t>ブ</t>
    </rPh>
    <phoneticPr fontId="10"/>
  </si>
  <si>
    <t>―</t>
    <phoneticPr fontId="10"/>
  </si>
  <si>
    <t>南</t>
    <rPh sb="0" eb="1">
      <t>ミナミ</t>
    </rPh>
    <phoneticPr fontId="10"/>
  </si>
  <si>
    <t>新幹線移動が多く、電波が悪い時にローカルで作業できそれがサーバーと紐づけると良い。</t>
  </si>
  <si>
    <t>スマホである程度のメールチェックなどしたいが、全て入ると量が多すぎて困る。現在チャットなどは保存機能を活用。</t>
  </si>
  <si>
    <t>メールもアプリで管理できると。。</t>
  </si>
  <si>
    <t>サーバーや回線等による作業待ち時間を減らしたい</t>
    <phoneticPr fontId="10"/>
  </si>
  <si>
    <t>営業課</t>
    <rPh sb="0" eb="2">
      <t>エイギョウ</t>
    </rPh>
    <rPh sb="2" eb="3">
      <t>カ</t>
    </rPh>
    <phoneticPr fontId="10"/>
  </si>
  <si>
    <t>橋本</t>
    <rPh sb="0" eb="2">
      <t>ハシモト</t>
    </rPh>
    <phoneticPr fontId="10"/>
  </si>
  <si>
    <t>スマホから資料を作成、確認、送付できるようにしたい（見積書、発注書、試作概要書、受注フォーマット、裏面原稿、仕様書、製造予定、倉庫在庫、営業資料etc...）</t>
    <phoneticPr fontId="10"/>
  </si>
  <si>
    <t>MS365(活用)</t>
    <rPh sb="6" eb="8">
      <t>カツヨウ</t>
    </rPh>
    <phoneticPr fontId="10"/>
  </si>
  <si>
    <t>売上、粗利、数量などの予実を極力リアルタイムで共有、把握できるようにしたい。</t>
    <phoneticPr fontId="10"/>
  </si>
  <si>
    <t>案件全体の進捗状況を一覧でタスク化（把握、確認）したい。（試作、原価、見積、安定性試験、容器相性試験、受注、契約書締結、校正、資材納期、製造予定、出荷etc...）</t>
    <phoneticPr fontId="10"/>
  </si>
  <si>
    <t>メールやcahtの連絡時間を省略したい（保存や更新をしたら共有者へ自動通知など）</t>
    <phoneticPr fontId="10"/>
  </si>
  <si>
    <t>生成AIなどで試作概要書や提案書を自動作成したい</t>
    <phoneticPr fontId="10"/>
  </si>
  <si>
    <t>必要な情報をすぐに見つけられるようにしたい（例：ワークフローからその資料へアクセスなど）</t>
    <phoneticPr fontId="10"/>
  </si>
  <si>
    <t>ワークフローを誰でもすぐに確認して実行できるようにしたい（ISOの手順書のような紙ベースでは、手順通りの実行が難しいと感じる）</t>
    <phoneticPr fontId="10"/>
  </si>
  <si>
    <t>売上機会損失を減らしたい（納品から一定期間が空いたら担当営業へ自動通知など）</t>
    <phoneticPr fontId="10"/>
  </si>
  <si>
    <t>日報が属人的な内容にならないようメール以外の簡単な方法で見やすくしたい</t>
    <phoneticPr fontId="10"/>
  </si>
  <si>
    <t>気づきや改善要望は日報ではなく別の共有方法にしたい</t>
    <phoneticPr fontId="10"/>
  </si>
  <si>
    <t>IT基礎知識</t>
    <rPh sb="2" eb="4">
      <t>キソ</t>
    </rPh>
    <rPh sb="4" eb="6">
      <t>チシキ</t>
    </rPh>
    <phoneticPr fontId="10"/>
  </si>
  <si>
    <t>IT、セキュリティー、MS365などのリテラシーを高める勉強会</t>
    <phoneticPr fontId="10"/>
  </si>
  <si>
    <t>サーバーやアプリに繋がらないなどの時の簡易トラブル対処マニュアル作成</t>
    <phoneticPr fontId="10"/>
  </si>
  <si>
    <t>PCに負荷がかかる動作についてしっかり理解できていないため、教わりたいです。ゴミ箱を定期的に空にするなど、心がけることや、どういった動作で負荷をかけてしまっているのか、教えていただきたいです。</t>
    <phoneticPr fontId="10"/>
  </si>
  <si>
    <t>堀</t>
    <rPh sb="0" eb="1">
      <t>ホリ</t>
    </rPh>
    <phoneticPr fontId="10"/>
  </si>
  <si>
    <t>ファイルを間違って削除したとき、元に戻せるのか。　→ 自分で復元できるのか、誰かに頼まないといけないのか知りたいです。</t>
    <phoneticPr fontId="10"/>
  </si>
  <si>
    <t>野田</t>
    <rPh sb="0" eb="2">
      <t>ノダ</t>
    </rPh>
    <phoneticPr fontId="10"/>
  </si>
  <si>
    <t>メールやファイルって、どれくらいの期間保存されるのか。　→ 必要な情報が消えてしまわないか不安です。</t>
    <phoneticPr fontId="10"/>
  </si>
  <si>
    <t>誰がどのファイルを編集したのか、あとから確認できる？　→ 使うときに「上書き」が怖いので、履歴の見方を知りたいです。</t>
    <phoneticPr fontId="10"/>
  </si>
  <si>
    <t>ヒアリングの視点</t>
    <rPh sb="6" eb="8">
      <t>シテン</t>
    </rPh>
    <phoneticPr fontId="11"/>
  </si>
  <si>
    <t>初級</t>
    <rPh sb="0" eb="2">
      <t>ショキュウ</t>
    </rPh>
    <phoneticPr fontId="11"/>
  </si>
  <si>
    <t>実は基本を知らない、知識がないから分からない</t>
    <rPh sb="0" eb="1">
      <t>ジツ</t>
    </rPh>
    <rPh sb="2" eb="4">
      <t>キホン</t>
    </rPh>
    <rPh sb="5" eb="6">
      <t>シ</t>
    </rPh>
    <rPh sb="10" eb="12">
      <t>チシキ</t>
    </rPh>
    <rPh sb="17" eb="18">
      <t>ワ</t>
    </rPh>
    <phoneticPr fontId="11"/>
  </si>
  <si>
    <t>↓</t>
    <phoneticPr fontId="11"/>
  </si>
  <si>
    <t>必ず覚えないといけないこと、今管理者に頼り切りにしていること＝自分で理解できていないこと</t>
    <rPh sb="0" eb="1">
      <t>カナラ</t>
    </rPh>
    <rPh sb="2" eb="3">
      <t>オボ</t>
    </rPh>
    <rPh sb="14" eb="15">
      <t>イマ</t>
    </rPh>
    <rPh sb="15" eb="18">
      <t>カンリシャ</t>
    </rPh>
    <rPh sb="19" eb="20">
      <t>タヨ</t>
    </rPh>
    <rPh sb="21" eb="22">
      <t>キ</t>
    </rPh>
    <rPh sb="31" eb="33">
      <t>ジブン</t>
    </rPh>
    <rPh sb="34" eb="36">
      <t>リカイ</t>
    </rPh>
    <phoneticPr fontId="11"/>
  </si>
  <si>
    <t>今の日々の業務で、もっと便利になったら嬉しいこと、変更されると不安なこと</t>
    <rPh sb="0" eb="1">
      <t>イマ</t>
    </rPh>
    <rPh sb="2" eb="4">
      <t>ヒビ</t>
    </rPh>
    <rPh sb="5" eb="7">
      <t>ギョウム</t>
    </rPh>
    <rPh sb="12" eb="14">
      <t>ベンリ</t>
    </rPh>
    <rPh sb="19" eb="20">
      <t>ウレ</t>
    </rPh>
    <rPh sb="25" eb="27">
      <t>ヘンコウ</t>
    </rPh>
    <rPh sb="31" eb="33">
      <t>フアン</t>
    </rPh>
    <phoneticPr fontId="11"/>
  </si>
  <si>
    <t>中級</t>
    <rPh sb="0" eb="2">
      <t>チュウキュウ</t>
    </rPh>
    <phoneticPr fontId="11"/>
  </si>
  <si>
    <t>具体的な機能/ツールに対して、知りたいこと/活用方法</t>
    <rPh sb="0" eb="3">
      <t>グタイテキ</t>
    </rPh>
    <rPh sb="4" eb="6">
      <t>キノウ</t>
    </rPh>
    <rPh sb="11" eb="12">
      <t>タイ</t>
    </rPh>
    <rPh sb="15" eb="16">
      <t>シ</t>
    </rPh>
    <rPh sb="22" eb="24">
      <t>カツヨウ</t>
    </rPh>
    <rPh sb="24" eb="26">
      <t>ホウホウ</t>
    </rPh>
    <phoneticPr fontId="11"/>
  </si>
  <si>
    <t>セキュリティ</t>
  </si>
  <si>
    <t>ヒアリング イメージ：　今 認識していること　→わかりやすい不明点・問題点　→何が起きる？何が必要になる？</t>
    <rPh sb="12" eb="13">
      <t>イマ</t>
    </rPh>
    <rPh sb="14" eb="16">
      <t>ニンシキ</t>
    </rPh>
    <rPh sb="30" eb="33">
      <t>フメイテン</t>
    </rPh>
    <rPh sb="34" eb="37">
      <t>モンダイテン</t>
    </rPh>
    <rPh sb="39" eb="40">
      <t>ナニ</t>
    </rPh>
    <rPh sb="41" eb="42">
      <t>オ</t>
    </rPh>
    <rPh sb="45" eb="46">
      <t>ナニ</t>
    </rPh>
    <rPh sb="47" eb="49">
      <t>ヒツヨウ</t>
    </rPh>
    <phoneticPr fontId="11"/>
  </si>
  <si>
    <t>↓後から区分</t>
    <rPh sb="1" eb="2">
      <t>アト</t>
    </rPh>
    <rPh sb="4" eb="6">
      <t>クブン</t>
    </rPh>
    <phoneticPr fontId="11"/>
  </si>
  <si>
    <t>何も分からないので、何を覚える必要があるのか分からない　サーバが重いのは困る、そうならないように個人で守るルールがある？</t>
    <rPh sb="0" eb="1">
      <t>ナニ</t>
    </rPh>
    <rPh sb="2" eb="3">
      <t>ワ</t>
    </rPh>
    <rPh sb="10" eb="11">
      <t>ナニ</t>
    </rPh>
    <rPh sb="12" eb="13">
      <t>オボ</t>
    </rPh>
    <rPh sb="15" eb="17">
      <t>ヒツヨウ</t>
    </rPh>
    <rPh sb="22" eb="23">
      <t>ワ</t>
    </rPh>
    <rPh sb="32" eb="33">
      <t>オモ</t>
    </rPh>
    <rPh sb="36" eb="37">
      <t>コマ</t>
    </rPh>
    <rPh sb="48" eb="50">
      <t>コジン</t>
    </rPh>
    <rPh sb="51" eb="52">
      <t>マモ</t>
    </rPh>
    <phoneticPr fontId="11"/>
  </si>
  <si>
    <t>先ず、今の環境の基礎用語/基本事項から順々に教えてほしい　ローカル？サーバ？　繋がらない・重くなる理由　良いこと・悪いこと</t>
    <rPh sb="0" eb="1">
      <t>マ</t>
    </rPh>
    <rPh sb="3" eb="4">
      <t>イマ</t>
    </rPh>
    <rPh sb="5" eb="7">
      <t>カンキョウ</t>
    </rPh>
    <rPh sb="8" eb="10">
      <t>キソ</t>
    </rPh>
    <rPh sb="10" eb="12">
      <t>ヨウゴ</t>
    </rPh>
    <rPh sb="13" eb="15">
      <t>キホン</t>
    </rPh>
    <rPh sb="15" eb="17">
      <t>ジコウ</t>
    </rPh>
    <rPh sb="19" eb="21">
      <t>ジュンジュン</t>
    </rPh>
    <rPh sb="22" eb="23">
      <t>オシ</t>
    </rPh>
    <rPh sb="39" eb="40">
      <t>ツナ</t>
    </rPh>
    <rPh sb="45" eb="46">
      <t>オモ</t>
    </rPh>
    <rPh sb="49" eb="51">
      <t>リユウ</t>
    </rPh>
    <rPh sb="52" eb="53">
      <t>ヨ</t>
    </rPh>
    <rPh sb="57" eb="58">
      <t>ワル</t>
    </rPh>
    <phoneticPr fontId="11"/>
  </si>
  <si>
    <t>なぜシンクライアントサーバを使っているのか？　サーバが撤廃されるとどうなるのか？　それぞれの長所・短所</t>
    <rPh sb="14" eb="15">
      <t>ツカ</t>
    </rPh>
    <rPh sb="27" eb="29">
      <t>テッパイ</t>
    </rPh>
    <rPh sb="46" eb="48">
      <t>チョウショ</t>
    </rPh>
    <rPh sb="49" eb="51">
      <t>タンショ</t>
    </rPh>
    <phoneticPr fontId="11"/>
  </si>
  <si>
    <t>共有フォルダの無駄や重複を減らして、保存・管理する方法</t>
    <rPh sb="0" eb="2">
      <t>キョウユウ</t>
    </rPh>
    <rPh sb="7" eb="9">
      <t>ムダ</t>
    </rPh>
    <rPh sb="10" eb="12">
      <t>ジュウフク</t>
    </rPh>
    <rPh sb="13" eb="14">
      <t>ヘ</t>
    </rPh>
    <rPh sb="18" eb="20">
      <t>ホゾン</t>
    </rPh>
    <rPh sb="21" eb="23">
      <t>カンリ</t>
    </rPh>
    <rPh sb="25" eb="27">
      <t>ホウホウ</t>
    </rPh>
    <phoneticPr fontId="11"/>
  </si>
  <si>
    <t>最初は管理できていても、業務体制が変わったり期間が経つとフォルダの規則性が無くなっていく　長期で維持できるようにするには？</t>
    <rPh sb="0" eb="2">
      <t>サイショ</t>
    </rPh>
    <rPh sb="3" eb="5">
      <t>カンリ</t>
    </rPh>
    <rPh sb="12" eb="14">
      <t>ギョウム</t>
    </rPh>
    <rPh sb="14" eb="16">
      <t>タイセイ</t>
    </rPh>
    <rPh sb="17" eb="18">
      <t>カ</t>
    </rPh>
    <rPh sb="22" eb="24">
      <t>キカン</t>
    </rPh>
    <rPh sb="25" eb="26">
      <t>タ</t>
    </rPh>
    <rPh sb="33" eb="36">
      <t>キソクセイ</t>
    </rPh>
    <rPh sb="37" eb="38">
      <t>ナ</t>
    </rPh>
    <rPh sb="45" eb="47">
      <t>チョウキ</t>
    </rPh>
    <rPh sb="48" eb="50">
      <t>イジ</t>
    </rPh>
    <phoneticPr fontId="11"/>
  </si>
  <si>
    <t>全部署/全社員が同じ意識やルールで保存したり管理できるようになる方法　上書き/消去/漏洩の回避　マスタデータの保全</t>
    <rPh sb="0" eb="1">
      <t>ゼン</t>
    </rPh>
    <rPh sb="1" eb="3">
      <t>ブショ</t>
    </rPh>
    <rPh sb="4" eb="7">
      <t>ゼンシャイン</t>
    </rPh>
    <rPh sb="8" eb="9">
      <t>オナ</t>
    </rPh>
    <rPh sb="10" eb="12">
      <t>イシキ</t>
    </rPh>
    <rPh sb="17" eb="19">
      <t>ホゾン</t>
    </rPh>
    <rPh sb="22" eb="24">
      <t>カンリ</t>
    </rPh>
    <rPh sb="32" eb="34">
      <t>ホウホウ</t>
    </rPh>
    <rPh sb="35" eb="37">
      <t>ウワガ</t>
    </rPh>
    <rPh sb="39" eb="41">
      <t>ショウキョ</t>
    </rPh>
    <rPh sb="42" eb="44">
      <t>ロウエイ</t>
    </rPh>
    <rPh sb="45" eb="47">
      <t>カイヒ</t>
    </rPh>
    <rPh sb="55" eb="57">
      <t>ホゼン</t>
    </rPh>
    <phoneticPr fontId="11"/>
  </si>
  <si>
    <t>今のOfficeと何が違うのか？　何が便利になるのか？　使い方も変わるのか？</t>
    <rPh sb="0" eb="1">
      <t>イマ</t>
    </rPh>
    <rPh sb="9" eb="10">
      <t>ナニ</t>
    </rPh>
    <rPh sb="11" eb="12">
      <t>チガ</t>
    </rPh>
    <rPh sb="17" eb="18">
      <t>ナニ</t>
    </rPh>
    <rPh sb="19" eb="21">
      <t>ベンリ</t>
    </rPh>
    <rPh sb="28" eb="29">
      <t>ツカ</t>
    </rPh>
    <rPh sb="30" eb="31">
      <t>カタ</t>
    </rPh>
    <rPh sb="32" eb="33">
      <t>カ</t>
    </rPh>
    <phoneticPr fontId="11"/>
  </si>
  <si>
    <t>クラウドストレージとは？　コミュニティツールとは？　今のファイルはどうなるのか？　サーバとの違い　便利になること、難しいこと　</t>
    <rPh sb="46" eb="47">
      <t>チガ</t>
    </rPh>
    <rPh sb="49" eb="51">
      <t>ベンリ</t>
    </rPh>
    <rPh sb="57" eb="58">
      <t>ムズカ</t>
    </rPh>
    <phoneticPr fontId="11"/>
  </si>
  <si>
    <t>サーバとローカルでどう使う/動作するのか？　ファイル共有・クラウドバックアップとして使う方法</t>
    <rPh sb="11" eb="12">
      <t>ツカ</t>
    </rPh>
    <rPh sb="14" eb="16">
      <t>ドウサ</t>
    </rPh>
    <rPh sb="26" eb="28">
      <t>キョウユウ</t>
    </rPh>
    <rPh sb="42" eb="43">
      <t>ツカ</t>
    </rPh>
    <rPh sb="44" eb="46">
      <t>ホウホウ</t>
    </rPh>
    <phoneticPr fontId="11"/>
  </si>
  <si>
    <t>迷惑メール以外に気をつけること</t>
    <rPh sb="0" eb="2">
      <t>メイワク</t>
    </rPh>
    <rPh sb="5" eb="7">
      <t>イガイ</t>
    </rPh>
    <rPh sb="8" eb="9">
      <t>キ</t>
    </rPh>
    <phoneticPr fontId="11"/>
  </si>
  <si>
    <t>具体的にどんな危険があって、どうやって対策するもの？　やってはいけないことは？</t>
    <rPh sb="0" eb="3">
      <t>グタイテキ</t>
    </rPh>
    <rPh sb="7" eb="9">
      <t>キケン</t>
    </rPh>
    <rPh sb="19" eb="21">
      <t>タイサク</t>
    </rPh>
    <phoneticPr fontId="11"/>
  </si>
  <si>
    <t>今　動いているセキュリティ対策は？　接続できない時はどうすればよいのか？　個人の誤操作で会社全体に及ぶ危険性とは？</t>
    <rPh sb="0" eb="1">
      <t>イマ</t>
    </rPh>
    <rPh sb="2" eb="3">
      <t>ウゴ</t>
    </rPh>
    <rPh sb="13" eb="15">
      <t>タイサク</t>
    </rPh>
    <rPh sb="18" eb="20">
      <t>セツゾク</t>
    </rPh>
    <rPh sb="24" eb="25">
      <t>トキ</t>
    </rPh>
    <phoneticPr fontId="11"/>
  </si>
  <si>
    <t>①データ管理</t>
    <rPh sb="4" eb="6">
      <t>カンリ</t>
    </rPh>
    <phoneticPr fontId="14"/>
  </si>
  <si>
    <t>■ 全体的な課題</t>
  </si>
  <si>
    <t>保存場所がバラバラ・ルールが曖昧</t>
  </si>
  <si>
    <t>各部署・各個人で保存場所やフォルダ構成が統一されておらず、どれが最新版・正確なデータなのか分からない</t>
  </si>
  <si>
    <t>古いデータの整理・削除が進まず、データが増える一方で管理負担が増大</t>
  </si>
  <si>
    <t>検索性・見つけやすさの問題</t>
  </si>
  <si>
    <t>フォルダ階層が深い、命名ルールが曖昧などの理由で検索に時間がかかる</t>
  </si>
  <si>
    <t>不要ファイルや似たようなファイルが多く、必要なデータにたどり着きにくい</t>
  </si>
  <si>
    <t>セキュリティ・データ損失の懸念</t>
  </si>
  <si>
    <t>ウイルス感染や誤操作によるデータ消失の経験があり、ローカル保存やショートカット管理への不安がある</t>
  </si>
  <si>
    <t>USBやメールでの持ち出しの容易さがセキュリティリスクになっている</t>
  </si>
  <si>
    <t>権限管理と共有体制の不備</t>
  </si>
  <si>
    <t>誰でも簡単に編集・削除できる環境であるため、誤操作が起きやすい</t>
  </si>
  <si>
    <t>フォルダ移動や削除に制限をかけたいという要望あり</t>
  </si>
  <si>
    <t>引継ぎが不十分なまま異動・退職があると、重要データが行方不明になる</t>
  </si>
  <si>
    <t>■ 部署別の主な意見</t>
  </si>
  <si>
    <t>管理部</t>
  </si>
  <si>
    <t>フォルダ構成が乱雑で、引継ぎや検索に時間がかかる</t>
  </si>
  <si>
    <t>ローカル保存不可やサーバー障害への不安あり</t>
  </si>
  <si>
    <t>技術製造部</t>
  </si>
  <si>
    <t>保存先が複雑で、検索性が悪くルールもない</t>
  </si>
  <si>
    <t>不要なデータの見極めが困難</t>
  </si>
  <si>
    <t>研究開発部</t>
  </si>
  <si>
    <t>データ持ち出しリスク・誤操作による移動や削除への懸念あり</t>
  </si>
  <si>
    <t>整理の時間がとりにくい</t>
  </si>
  <si>
    <t>生産管理課</t>
  </si>
  <si>
    <t>フォルダ階層が深すぎる、命名・運用ルールが未整備</t>
  </si>
  <si>
    <t>ショートカットの消失経験あり</t>
  </si>
  <si>
    <t>直販事業部</t>
  </si>
  <si>
    <t>個人管理でバラバラ、最新ファイルの判別が困難</t>
  </si>
  <si>
    <t>システムでの一元管理が理想</t>
  </si>
  <si>
    <t>品質保証部</t>
  </si>
  <si>
    <t>旧社名・旧データが混在して検索困難</t>
  </si>
  <si>
    <t>フォルダ構成が無秩序、部署専用フォルダが必要</t>
  </si>
  <si>
    <t>重要データの持ち出しリスクや未使用ファイルの放置が課題</t>
  </si>
  <si>
    <t>企画課</t>
  </si>
  <si>
    <t>管理方法に対する理解が浅く、バックアップの有無も不明</t>
  </si>
  <si>
    <t>過去のデータ消失事例に対する不安あり</t>
  </si>
  <si>
    <t>■ まとめ</t>
  </si>
  <si>
    <t>各部署共通の課題として「保存場所の統一」「フォルダ構成と命名のルール化」「不要データの整理」</t>
    <phoneticPr fontId="14"/>
  </si>
  <si>
    <t>「アクセス権限の設定」などが浮き彫りに</t>
    <phoneticPr fontId="14"/>
  </si>
  <si>
    <t>これらを解決するための全社的なデータ管理ルールの策定と運用体制の整備が急務</t>
    <phoneticPr fontId="14"/>
  </si>
  <si>
    <t>(必要に応じて、データベース化やクラウド型システムへの移行も検討)</t>
    <phoneticPr fontId="14"/>
  </si>
  <si>
    <t>②仕組み・ルール化</t>
    <rPh sb="1" eb="3">
      <t>シク</t>
    </rPh>
    <rPh sb="8" eb="9">
      <t>カ</t>
    </rPh>
    <phoneticPr fontId="14"/>
  </si>
  <si>
    <t>全社的・部署単位でのフォルダ構成や整理ルールの明確化が求められている</t>
  </si>
  <si>
    <t>更新履歴の管理、ファイル名ルールの設定、セキュリティ対策、権限管理の整備なども強く希望されている</t>
  </si>
  <si>
    <t>運用の属人化（個人プレー）を避け、全社員で統一したルールで運用したいという声が多い</t>
  </si>
  <si>
    <t>フォルダの共有ルールの整備が必要</t>
  </si>
  <si>
    <t>削除や上書きミスの防止のため、セキュリティ対策を導入したい</t>
  </si>
  <si>
    <t>部署内での共有ルールの策定を希望</t>
  </si>
  <si>
    <t>整理ルール、フォルダ構成、更新履歴管理の明確化を希望</t>
  </si>
  <si>
    <t>過去の不要なファイルの削除やまとめを希望</t>
  </si>
  <si>
    <t>部署や全社単位でのルール決定を望む</t>
  </si>
  <si>
    <t>共有フォルダは部門長の許可制にしたい</t>
  </si>
  <si>
    <t>他部署からのアクセス制限やフォルダの分別も求められている</t>
  </si>
  <si>
    <t>ISO関連文書の更新管理やファイルの命名規則を希望</t>
  </si>
  <si>
    <t>マニュアルの整備が求められている</t>
  </si>
  <si>
    <t>条件別のフォルダ構成パターン化を提案　　誰と共有するかによる保存場所ルールの明確化が必要</t>
    <phoneticPr fontId="14"/>
  </si>
  <si>
    <t>1年以上更新されていないファイルの整理・移動システムを希望</t>
  </si>
  <si>
    <t>クライアント名・読み方共有などの命名ルールの統一も必要</t>
    <phoneticPr fontId="14"/>
  </si>
  <si>
    <t>部署単位の共通フォルダルールを作りたい</t>
  </si>
  <si>
    <t>上書き防止、編集者の記録が可能な仕組みを導入したい</t>
  </si>
  <si>
    <t>シンプルなフォルダ構成と役職別の権限管理を希望</t>
  </si>
  <si>
    <t>ルール作成の必要性を認識しているが、簡便で手間のない運用を希望</t>
  </si>
  <si>
    <t>似た名前のファイル・フォルダが多く、命名ルールの標準化と整理が必要</t>
  </si>
  <si>
    <t>データの蓄積だけでなく分析活用の仕組みも希望</t>
  </si>
  <si>
    <t>新規ソフト導入手順のルール化も求めている</t>
  </si>
  <si>
    <t>全社的な「フォルダ構成ガイドライン」や「ファイル管理ルールブック」の策定が必要</t>
    <rPh sb="37" eb="39">
      <t>ヒツヨウ</t>
    </rPh>
    <phoneticPr fontId="14"/>
  </si>
  <si>
    <t>③MS365</t>
    <phoneticPr fontId="14"/>
  </si>
  <si>
    <t>MS365に対する理解不足・不安</t>
  </si>
  <si>
    <t>多くの部門でMS365の基本的な使い方が分からず、不安を感じている</t>
  </si>
  <si>
    <t>特に技術製造部・研究開発部・生産管理課などは「何ができるのか分からない」「まずは使ってみたい」との声</t>
  </si>
  <si>
    <t>マニュアルやガイドラインの整備が必要</t>
  </si>
  <si>
    <t>ネット環境の影響</t>
  </si>
  <si>
    <t>オフライン環境下での利用可否、動作不安定への懸念（管理部、研究開発部、企画課など）</t>
  </si>
  <si>
    <t>OneDrive / SharePointの使い分け</t>
  </si>
  <si>
    <t>保存先の基準や使い方の違いが分からず、統一ルールが必要（直販事業部、生産管理課など）</t>
  </si>
  <si>
    <t>ファイル操作・管理に関する疑問</t>
  </si>
  <si>
    <t>削除ファイルの復元可否（営業課）</t>
  </si>
  <si>
    <t>編集履歴の確認方法（営業課）</t>
  </si>
  <si>
    <t>データ保存期間やセキュリティ、共同編集時の権限管理（複数部署）</t>
  </si>
  <si>
    <t>共同編集やリンク共有機能</t>
  </si>
  <si>
    <t>未経験者が多く、基礎的な操作を学ぶ機会が求められている（直販事業部、生産管理課など）</t>
  </si>
  <si>
    <t>Googleスプレッドシートとの違いに関する疑問もあり（品質保証部）</t>
  </si>
  <si>
    <t>サポートとライセンス管理</t>
  </si>
  <si>
    <t>ツールが個人でバラバラに使われることによる混乱や、ライセンスの違いによる支障を懸念（管理部）</t>
  </si>
  <si>
    <t>セキュリティ・権限管理</t>
  </si>
  <si>
    <t>データ持ち出し防止、不要な書き込みの制限などへの関心（研究開発部）</t>
  </si>
  <si>
    <t>教育・支援の必要性</t>
  </si>
  <si>
    <t>「基本操作～応用」「活用例の共有」など、段階的な教育を求める声多数</t>
  </si>
  <si>
    <t>④セキュリティ対策</t>
    <rPh sb="7" eb="9">
      <t>タイサク</t>
    </rPh>
    <phoneticPr fontId="14"/>
  </si>
  <si>
    <t>ウイルス対策（多数の部署が関心あり）</t>
  </si>
  <si>
    <t>情報漏洩の防止（研究開発部、生産管理課、直販事業部など）</t>
  </si>
  <si>
    <t>パスワード管理の強化（企画課、研究開発部、品質保証部など）</t>
  </si>
  <si>
    <t>アクセス権限の制御（企画課、研究開発部、管理部）</t>
  </si>
  <si>
    <t>営業課</t>
  </si>
  <si>
    <t>サーバーやアプリ接続時の簡易トラブルマニュアルの整備</t>
  </si>
  <si>
    <t>ウイルス対策の方向性に不安</t>
  </si>
  <si>
    <t>他部署からのフォルダアクセスを制限したい</t>
  </si>
  <si>
    <t>MS365導入時のパスワード管理ルールが不明で不安</t>
  </si>
  <si>
    <t>デスクトップ保存の是非と、正式なデータ保管ルールの提示希望</t>
  </si>
  <si>
    <t>遠隔ログイン（シンクライアント）利用に関するセキュリティ懸念</t>
  </si>
  <si>
    <t>外部メディアによる情報持ち出しの危険性</t>
  </si>
  <si>
    <t>情報漏洩対策とパスワード・アクセス管理の整備希望</t>
  </si>
  <si>
    <t>NG行為の事例・リスクの明示を求める</t>
  </si>
  <si>
    <t>社内セキュリティ教育・トレーニングの必要性</t>
  </si>
  <si>
    <t>Lanscope等を活用した端末管理の具体策を知りたい</t>
  </si>
  <si>
    <t>不要メールのブロック精度や正当メールの誤認識への懸念</t>
  </si>
  <si>
    <t>情報漏洩による個人へのリスクについての啓発</t>
  </si>
  <si>
    <t>社外アクセス・感染リスクへの防止策を全社で共有すべき</t>
  </si>
  <si>
    <t>パスワード管理・ウイルス対策・情報漏洩に関心</t>
  </si>
  <si>
    <t>⑤ITスキル向上</t>
    <rPh sb="6" eb="8">
      <t>コウジョウ</t>
    </rPh>
    <phoneticPr fontId="14"/>
  </si>
  <si>
    <t>ITスキルの基礎からの向上希望</t>
    <phoneticPr fontId="14"/>
  </si>
  <si>
    <t>Excel、Word、計算式、マクロ、VBAなど基本的な操作スキルの習得希望が多数</t>
  </si>
  <si>
    <t>特にMS365（OneDrive、SharePoint、Teamsなど）の基本操作や実務に即した使い方を学びたいという声が多い</t>
  </si>
  <si>
    <t>パソコンやIT用語が難しいと感じており、初心者にも理解しやすい資料・マニュアルが求められている</t>
  </si>
  <si>
    <t>マニュアルや資料の整備</t>
    <phoneticPr fontId="14"/>
  </si>
  <si>
    <t>多くの部署で「操作マニュアルが欲しい」「いつでも見れる資料があると良い」といった要望あり</t>
  </si>
  <si>
    <t>空き時間での学習を想定しており、手元で確認できる資料のニーズが高い</t>
    <phoneticPr fontId="14"/>
  </si>
  <si>
    <t>実演・勉強会の実施</t>
    <phoneticPr fontId="14"/>
  </si>
  <si>
    <t>研修は実演形式で行ってほしいとの希望が多数</t>
  </si>
  <si>
    <t>部署ごとの業務内容に即したスキル教育を実演ベースで行ってほしいという声あり</t>
  </si>
  <si>
    <t>少人数での勉強会の提案もあり</t>
  </si>
  <si>
    <t>質問しやすい環境の整備</t>
    <phoneticPr fontId="14"/>
  </si>
  <si>
    <t>チャットや電話などで気軽に質問できる体制を望む声が多い</t>
  </si>
  <si>
    <t>窓口や担当者を明確にしてほしいという意見も複数あり</t>
  </si>
  <si>
    <t>中間管理職を介さず、直接サポートを受けたいという意見もあり</t>
  </si>
  <si>
    <t>ITリテラシーやセキュリティ意識の向上</t>
    <phoneticPr fontId="14"/>
  </si>
  <si>
    <t>PCへの負荷やサーバー運用への配慮といった知識を研修してほしいという要望あり</t>
  </si>
  <si>
    <t>メールのマナーやデータの添付・送信についての基礎知識も求められている</t>
  </si>
  <si>
    <t>IT、セキュリティ、MS365などのリテラシー向上のための勉強会を希望</t>
  </si>
  <si>
    <t>PCの負荷がかかる動作を理解して、ゴミ箱の整理など基本的な心がけを学びたい</t>
  </si>
  <si>
    <t>ネットだけではMS365の理解が難しいため、実務ベースの研修を希望</t>
  </si>
  <si>
    <t>パソコン用語が難しいため、初心者向けの資料を用意してほしい</t>
  </si>
  <si>
    <t>チャットや電話でいつでも質問できる環境が欲しい</t>
  </si>
  <si>
    <t>気軽に確認できるコールセンターやチャット相談があるとよい</t>
  </si>
  <si>
    <t>操作マニュアルが欲しい</t>
  </si>
  <si>
    <t>質問しやすい環境を整備してほしい</t>
  </si>
  <si>
    <t>PC操作の基本（表作成、計算式など）を教えてほしい</t>
  </si>
  <si>
    <t>シンコーの業務に必要なITスキルを部署ごとに実演形式で教育してほしい</t>
  </si>
  <si>
    <t>OneDrive、SharePoint、Teamsの活用スキルが必要</t>
  </si>
  <si>
    <t>マニュアルの整備・自習可能な資料を希望</t>
  </si>
  <si>
    <t>IT初心者にも対応した基礎的な研修が必要</t>
  </si>
  <si>
    <t>社内説明会の開催を希望</t>
  </si>
  <si>
    <t>製造新入社員にExcel・Wordスキルがないため、上司以外のサポート体制が必要</t>
  </si>
  <si>
    <t>実演や勉強会など、実際に体験しながら学びたい</t>
  </si>
  <si>
    <t>製造業務が忙しいため、研修日程に配慮してほしい</t>
  </si>
  <si>
    <t>電話ですぐ答えてくれる人がいると助かる</t>
  </si>
  <si>
    <t>メールマナーも教えてほしい</t>
  </si>
  <si>
    <t>Excelのマクロ/VBAの組み方を学びたい（自動で成分表ができる仕組みなど）</t>
  </si>
  <si>
    <t>社内ネットワーク関連を質問できる窓口の明確化を希望</t>
  </si>
  <si>
    <t>MS365の基本操作を実演で学べる研修を希望</t>
  </si>
  <si>
    <t>初心者向けのマニュアルの整備を要望</t>
  </si>
  <si>
    <t>各部署のIT管理範囲と必要なスキルを明確にしてほしい（何を学ぶべきか不明なため）</t>
  </si>
  <si>
    <t>全体的なIT知識の底上げ研修を希望</t>
  </si>
  <si>
    <t>サーバーへの負荷軽減、メールの使い方などの基礎的知識も必要</t>
  </si>
  <si>
    <t>操作マニュアルが多数の声で求められている</t>
  </si>
  <si>
    <t>OneDrive、SharePoint、TeamsなどMS365の実演ベースの研修を希望</t>
  </si>
  <si>
    <t>少人数での勉強会の実施を検討したい</t>
  </si>
  <si>
    <t>IT用語が難しいため、初心者向けのマニュアルが必要</t>
  </si>
  <si>
    <t>中間管理職を通さずに直接サポートを受けたい</t>
  </si>
  <si>
    <t>いつでも確認できる操作マニュアルが欲しい</t>
  </si>
  <si>
    <t>ExcelのVBAスキル習得（独学の限界）を望む</t>
  </si>
  <si>
    <t>実演形式での研修を希望</t>
  </si>
  <si>
    <t>ネットワーク関連の担当者・窓口の明確化を要望</t>
  </si>
  <si>
    <t>⑥その他　意見・要望</t>
    <rPh sb="3" eb="4">
      <t>タ</t>
    </rPh>
    <rPh sb="5" eb="7">
      <t>イケン</t>
    </rPh>
    <rPh sb="8" eb="10">
      <t>ヨウボウ</t>
    </rPh>
    <phoneticPr fontId="14"/>
  </si>
  <si>
    <t>■営業課</t>
  </si>
  <si>
    <t>業務効率化：</t>
  </si>
  <si>
    <t>作業待ち時間削減（サーバー・回線改善）</t>
  </si>
  <si>
    <t>スマホで資料作成・確認・送付を可能に</t>
  </si>
  <si>
    <t>案件の進捗状況をタスク一覧で把握したい</t>
  </si>
  <si>
    <t>試作概要書・提案書の自動生成（生成AI活用）</t>
  </si>
  <si>
    <t>情報共有と通知：</t>
  </si>
  <si>
    <t>リアルタイムで売上・粗利・数量の予実管理</t>
  </si>
  <si>
    <t>データ保存・更新時に自動通知で連携効率化</t>
  </si>
  <si>
    <t>ワークフローを誰でも確認・実行できる形に</t>
  </si>
  <si>
    <t>業務改善：</t>
  </si>
  <si>
    <t>日報の属人化防止と簡易共有手段の要望</t>
  </si>
  <si>
    <t>気づきや改善点の共有は日報と分けて管理</t>
  </si>
  <si>
    <t>売上機会損失を防ぐための自動通知など</t>
  </si>
  <si>
    <t>モバイル対応：</t>
  </si>
  <si>
    <t>スマホからも閲覧・操作希望</t>
    <phoneticPr fontId="14"/>
  </si>
  <si>
    <t>新幹線移動時はVPNなしでのローカル作業と同期対応</t>
    <phoneticPr fontId="14"/>
  </si>
  <si>
    <t>メール量の多さに対応したアプリ管理を希望</t>
  </si>
  <si>
    <t>■管理部</t>
  </si>
  <si>
    <t>リスク対応：</t>
  </si>
  <si>
    <t>ネット不通時にFAX・手書きで対応できるようローカル作業可能に</t>
  </si>
  <si>
    <t>インフラ懸念：</t>
  </si>
  <si>
    <t>電子化によるデータ容量増加への不安</t>
  </si>
  <si>
    <t>別回線の確保などバックアップ体制を希望</t>
  </si>
  <si>
    <t>■技術製造部</t>
  </si>
  <si>
    <t>ITスキル向上：</t>
  </si>
  <si>
    <t>IT知識を学ぶ研修機会の希望</t>
  </si>
  <si>
    <t>機器性能：</t>
  </si>
  <si>
    <t>PCや回線の性能に不満（フリーズ・遅延）</t>
  </si>
  <si>
    <t>製造中の作業時に支障が出ている</t>
  </si>
  <si>
    <t>今後の変化への不安：</t>
  </si>
  <si>
    <t>フォルダ管理の変化に対し不安・不明点がある</t>
  </si>
  <si>
    <t>プレDXによる変化についての説明が欲しい</t>
  </si>
  <si>
    <t>■研究開発部</t>
  </si>
  <si>
    <t>ITスキル底上げ：</t>
  </si>
  <si>
    <t>ITスキルの個人差を埋め、運用をスムーズに</t>
  </si>
  <si>
    <t>操作性への要望：</t>
  </si>
  <si>
    <t>シンプルで複雑化しない操作を希望</t>
  </si>
  <si>
    <t>■生産管理課</t>
  </si>
  <si>
    <t>ルール遵守と組織強化：</t>
  </si>
  <si>
    <t>新ルールが決まったら全員が守る体制を希望</t>
  </si>
  <si>
    <t>将来的な専任IT担当の設置を提案（外部委託含む）</t>
  </si>
  <si>
    <t>システム環境整備：</t>
  </si>
  <si>
    <t>サーバー・インフラの保守管理体制の強化</t>
  </si>
  <si>
    <t>ウイルス対策やメール振り分けの不具合改善</t>
  </si>
  <si>
    <t>操作工程の簡易化・安定化を強く希望</t>
  </si>
  <si>
    <t>■直販事業部</t>
  </si>
  <si>
    <t>チャット統一化：</t>
  </si>
  <si>
    <t>チャットツール（Microsoft 365）への統一希望</t>
  </si>
  <si>
    <t>■品質保証部</t>
  </si>
  <si>
    <t>PCスペック強化：</t>
  </si>
  <si>
    <t>シンクライアントを使わないなら高スペックPCを要望（GPUなど）</t>
  </si>
  <si>
    <t>問い合わせ削減：</t>
  </si>
  <si>
    <t>HPに規格書やSDSを公開して営業負担を軽減</t>
  </si>
  <si>
    <t>売上支援：</t>
  </si>
  <si>
    <t>「調味料製剤のご要望承ります」などのHP表示を希望</t>
  </si>
  <si>
    <r>
      <rPr>
        <b/>
        <sz val="9"/>
        <color rgb="FFC00000"/>
        <rFont val="Meiryo UI"/>
        <family val="3"/>
        <charset val="128"/>
      </rPr>
      <t>0無回答・無関心</t>
    </r>
    <r>
      <rPr>
        <sz val="9"/>
        <color rgb="FF000000"/>
        <rFont val="Meiryo UI"/>
        <family val="3"/>
        <charset val="128"/>
      </rPr>
      <t>　　1気になる　　</t>
    </r>
    <r>
      <rPr>
        <b/>
        <sz val="9"/>
        <color rgb="FF0000CC"/>
        <rFont val="Meiryo UI"/>
        <family val="3"/>
        <charset val="128"/>
      </rPr>
      <t>2前向き</t>
    </r>
    <phoneticPr fontId="14"/>
  </si>
  <si>
    <t>①データ管理</t>
  </si>
  <si>
    <t xml:space="preserve">部署名 </t>
  </si>
  <si>
    <t>データの個数 / ①データ管理</t>
  </si>
  <si>
    <t>②仕組み・ルール</t>
  </si>
  <si>
    <t>データの個数 / ②仕組み・ルール</t>
  </si>
  <si>
    <t>③MS365</t>
  </si>
  <si>
    <t>データの個数 / ③MS365</t>
  </si>
  <si>
    <t>④セキュリティ</t>
  </si>
  <si>
    <t>データの個数 / ④セキュリティ</t>
  </si>
  <si>
    <t>⑤ITスキル向上</t>
  </si>
  <si>
    <t>データの個数 / ⑤ITスキル向上</t>
  </si>
  <si>
    <t>⑥その他</t>
  </si>
  <si>
    <t>データの個数 / ⑥その他</t>
  </si>
  <si>
    <t>2 集計</t>
  </si>
  <si>
    <t>1 集計</t>
  </si>
  <si>
    <t>0 集計</t>
  </si>
  <si>
    <t>総計</t>
  </si>
  <si>
    <t xml:space="preserve">⑥ その他、自由に意見・要望があればご記入ください  
（例：小さいことでも何でもOKです）  </t>
  </si>
  <si>
    <t>サーバーや回線等による作業待ち時間を減らしたい
スマホから資料を作成、確認、送付できるようにしたい（見積書、発注書、試作概要書、受注フォーマット、裏面原稿、仕様書、製造予定、倉庫在庫、営業資料etc...）
売上、粗利、数量などの予実を極力リアルタイムで共有、把握できるようにしたい。
案件全体の進捗状況を一覧でタスク化（把握、確認）したい。（試作、原価、見積、安定性試験、容器相性試験、受注、契約書締結、校正、資材納期、製造予定、出荷etc...）
メールやcahtの連絡時間を省略したい（保存や更新をしたら共有者へ自動通知など）
生成AIなどで試作概要書や提案書を自動作成したい
必要な情報をすぐに見つけられるようにしたい（例：ワークフローからその資料へアクセスなど）
ワークフローを誰でもすぐに確認して実行できるようにしたい（ISOの手順書のような紙ベースでは、手順通りの実行が難しいと感じる）
売上機会損失を減らしたい（納品から一定期間が空いたら担当営業へ自動通知など）
日報が属人的な内容にならないようメール以外の簡単な方法で見やすくしたい
気づきや改善要望は日報ではなく別の共有方法にしたい</t>
  </si>
  <si>
    <t>商談時や移動時にVPN接続をしなければ共有フォルダなど見られず、よりクイックにスマホやPCから閲覧・操作をしたい。
新幹線移動が多く、電波が悪い時にローカルで作業できそれがサーバーと紐づけると良い。
スマホである程度のメールチェックなどしたいが、全て入ると量が多すぎて困る。現在チャットなどは保存機能を活用。
メールもアプリで管理できると。。</t>
  </si>
  <si>
    <t>ネットへアクセスできない時の日々の業務が滞ることが心配なので最悪の場合、電話・ＦＡＸ・手書き伝票で対応出来るようにローカルで作業できる保険があると安心です。</t>
  </si>
  <si>
    <t>電子化が進んでるので今より電子データの容量が増えるのが心配です。ネットが繋がらなかったときに予備の回線というか別回線が使えたらなーと思います。すみません。</t>
  </si>
  <si>
    <t>ＩＴ関係の知識がないのでこれを機に向上出来る機会にしたいので、研修などには
参加していきたい。</t>
  </si>
  <si>
    <t>全体的にITスキルが上がり、個人差が少しでも埋まれば、もう少しスムーズな運用が可能になるのかな、と思ったりすることがあります。</t>
  </si>
  <si>
    <t>ルールなど決まった際はみんながきちんとルール通りにしていけることを希望です</t>
  </si>
  <si>
    <t>専門的な内容多く、とっつきにくい印象をもたれがちではあるものの
サーバーは全員が使用しており、サーバーに接続しないとPC業務が行えないので
全員最低限の知識と、決められた運用守りより良いサーバー環境での業務ができるよう意識をもって取り組んでいきたいと思います</t>
  </si>
  <si>
    <t>チャットワークも人によって有料、無料プランのバラツキがあるので、Microsoft 365で同じチャットツールが使えるのは良いと思います。</t>
  </si>
  <si>
    <t>シンクライアントを使わないなら、PCのスペックを上げて欲しい。
（ラベル屋さん的なアプリを使うことがあるのですが、GPUとかって高い方がいいですか？）
サーバーに付随して思ったことですが、
当社のHPに、規格書やSDSを載せれる物だけ載せれば、問い合わせ対応が減ると思う（営業や付随部署の負担軽減目的）。
調味料製剤のご要望承ります。みたいな物があればいいと思う（売上アップ目的）。</t>
  </si>
  <si>
    <t>パソコン本体が重たい。</t>
  </si>
  <si>
    <t>プレDXによってサーバー内がどのように変わるのか知りたいと思います。</t>
  </si>
  <si>
    <t>回線が遅い（フリーズが多い）気がするので少しでもスムーズになってほしいと思います。</t>
  </si>
  <si>
    <t>管理のリーダーはパソコンが強い人が行った方が良いと思います。</t>
  </si>
  <si>
    <t>軽いフリーズをすることが結構あるので回線がもっといい環境になれば嬉しいです。</t>
  </si>
  <si>
    <t>現場で使用しているパソコンのスペックが良くないので固まったり再接続の回数が多く作業に時間を要している。</t>
  </si>
  <si>
    <t xml:space="preserve">現状問題なのは製造中空いた時間にパソコン作業する際フリーズや動作が遅くなるのが一番不便を感じる。TPIXも動作が鈍い時があるので改善してほしい。
どんなふうに変わるのか分からないので、フォルダやデータ管理を個々で管理していきましょうと言われても、変わることによってどういう事をしていいか分からない。
なので色々と質問されても分からないので、後々こうしたいとかは出てくる。
</t>
  </si>
  <si>
    <t>迷惑メールが増えている。今でもフリーズすることがある。</t>
  </si>
  <si>
    <t>簡易になればうれしいです。</t>
  </si>
  <si>
    <t>操作が複雑にならない、工程が増えないことが希望です。</t>
  </si>
  <si>
    <t>ウイルス騒動以降ずっとメールの振り分けがおかしい(全体の設定？をやりなおすと聞いていたが何も始まらず、振り分けを一から設定しなおすべきか知りたい)。メールタイトルに「～が次の人の代理で送信しました」というのが出ないようにして欲しい。デスクトップのアイコンが頻度は低いがシャッフルされてしまう現象を止めて欲しい。</t>
  </si>
  <si>
    <t>定期的にパソコンのフリーズがあるので安定してほしい。
工程が複雑にならず、ダブった作業は増えないでほしい。
簡易になれば嬉しい。</t>
  </si>
  <si>
    <t>特になし。</t>
  </si>
  <si>
    <t>特にございません。</t>
  </si>
  <si>
    <t>特にはありません。</t>
  </si>
  <si>
    <t>特になし</t>
  </si>
  <si>
    <t>業務が１人作業のため使いづらい等の意見が出ませんでした。何卒よろしくお願いいたします。</t>
  </si>
  <si>
    <t>特にありません</t>
  </si>
  <si>
    <t>No</t>
    <phoneticPr fontId="25"/>
  </si>
  <si>
    <t>拠点</t>
    <phoneticPr fontId="25"/>
  </si>
  <si>
    <t>回答者名</t>
  </si>
  <si>
    <t xml:space="preserve">①  今、部署で「データ管理や保管」で困っていることや不安なことは何ですか？
例：どのファイルが最新かわからない、勝手に消される、保存場所がバラバラなど  </t>
  </si>
  <si>
    <t>①データ管理</t>
    <phoneticPr fontId="25"/>
  </si>
  <si>
    <t xml:space="preserve">② 部署やチームで責任を持って管理するために「こんな仕組み・ルールがほしい」という希望はありますか？
例：整理のルール、フォルダ構成、更新履歴の管理など  </t>
  </si>
  <si>
    <t>②仕組み・ルール</t>
    <phoneticPr fontId="25"/>
  </si>
  <si>
    <t xml:space="preserve">③ MS365を使う上で「よくわからないこと」「不安なこと」「こんなサポートがほしい」ということはありますか？
例：OneDrive/SharePointの使い分け、共同編集、権限管理など  </t>
  </si>
  <si>
    <t>③MS365</t>
    <phoneticPr fontId="25"/>
  </si>
  <si>
    <t>④ セキュリティ面で「心配なこと」「もっと知りたいこと」はありますか？
例：パスワード管理、ウイルス対策、情報漏洩、アクセス権限の設定など</t>
  </si>
  <si>
    <t>④セキュリティ</t>
    <phoneticPr fontId="25"/>
  </si>
  <si>
    <t xml:space="preserve">⑤ 部署でITスキルを上げるために「こういうサポートや研修があればいい」という希望はありますか？
例：操作マニュアルがほしい、実演で教えてほしい、質問しやすい環境など  </t>
  </si>
  <si>
    <t>⑤ITスキル向上</t>
    <phoneticPr fontId="25"/>
  </si>
  <si>
    <t>⑥その他</t>
    <phoneticPr fontId="25"/>
  </si>
  <si>
    <t>CFCL</t>
  </si>
  <si>
    <t>津田宝加</t>
  </si>
  <si>
    <t>特になし（整理のルールなどは開発内のルールで不便を感じたことはありません）</t>
  </si>
  <si>
    <t>どれも使ったことがないので、とりあえず使ってみたいと思っています。</t>
  </si>
  <si>
    <t>操作マニュアルがあればありがたいです。</t>
  </si>
  <si>
    <t>近藤雅人</t>
  </si>
  <si>
    <t>原料資料等、添付ファイルが重いものがアウトルックに残っているがなかなか消せない。共通サーバーにアップするようにルール化しているが、一部守れていない社員がいる。処方や製造指図書のような重要ファイルが持ち出せる状況になっている。</t>
  </si>
  <si>
    <t>ルールは作りたいですが、社員が逸脱することの方が多いので、なるべく手間のない仕組みを希望します。</t>
  </si>
  <si>
    <t>ないです。</t>
  </si>
  <si>
    <t>パスワード管理、ウイルス対策、情報漏洩</t>
  </si>
  <si>
    <t>実演で教えていただきたいです。</t>
  </si>
  <si>
    <t>大前</t>
  </si>
  <si>
    <t>部署内では特にありませんが、受注～製造までをエクセル管理ではなくシステムなどで一元管理になるのが理想だと思っています</t>
  </si>
  <si>
    <t>整理のルール</t>
  </si>
  <si>
    <t>共同編集について詳しく知りたい。スプレッドシートとどう違うか</t>
  </si>
  <si>
    <t>ウイルス対策</t>
  </si>
  <si>
    <t>中土主任を通さずにそれぞれがITサポートを受けられる環境</t>
  </si>
  <si>
    <t>松山丈弘</t>
  </si>
  <si>
    <t>発注書や見積書の保管が個人でバラバラで管理出来ていない。</t>
  </si>
  <si>
    <t>保存場所の統一化や業者毎のフォルダ分け</t>
  </si>
  <si>
    <t>酒井絢音</t>
  </si>
  <si>
    <t>藤本洸平</t>
  </si>
  <si>
    <t>保存場所がバラバラ</t>
  </si>
  <si>
    <t>なし</t>
  </si>
  <si>
    <t>社内、取引先へのメールマナーがわからない。</t>
  </si>
  <si>
    <t>田中裕一</t>
  </si>
  <si>
    <t>何がどこにあって、どれが最新か分からない・分かりづらい。</t>
  </si>
  <si>
    <t>使い方がExcelしか分かりません。</t>
  </si>
  <si>
    <t>東口智一</t>
  </si>
  <si>
    <t>主に06コスメファクトリー(08Ｑ美共有も）フォルダを使用しているが、ファイルの保存場所に明確なルールが無く探すのに時間がかかり、検索しても重く見つからない場合がある。</t>
  </si>
  <si>
    <t>どのようなルールが適しているかわからないのでインフィニティさんにサポートしてもらいたい。過去の使用していないファイル、データなどもまとめるか、削除したい。</t>
  </si>
  <si>
    <t>Microsoft 365 公式サイトを確認したが、いまいちピンとこない。現場に常駐しているのでデスクワークが少ないが、理解して使いこなせられるようにはなりたい。</t>
  </si>
  <si>
    <t>ここ最近AppleやＳＢＩ証券を名乗る迷惑メールがくることがあり、無視しているが
来ないように出来ないか。</t>
  </si>
  <si>
    <t>マニュアルがあれば空き時間や、家でも確認できるので欲しい。
ＩＴ関係の知識が全くないので基礎的な内容から研修して頂きたいです。</t>
  </si>
  <si>
    <t>小田勇雄</t>
  </si>
  <si>
    <t>保存場所が統一されておらず、各自保管しているものもあり皆が共有できていない。不必要なフォルダもあるので削除したい</t>
  </si>
  <si>
    <t>整理のルールがあれば教えて欲しいです。</t>
  </si>
  <si>
    <t>MS365自体がよくわからないです。すみません。</t>
  </si>
  <si>
    <t>PCのデスクトップ上で保管してしまっているので、正式な保管場所や方法を教えて欲しい。</t>
  </si>
  <si>
    <t>PCの操作マニュアル、表作成、計算式など基本的なことを教えてもらえる場があれば助かります。</t>
  </si>
  <si>
    <t>小田晶彦</t>
  </si>
  <si>
    <t>ﾊﾞﾙｸﾒﾝﾊﾞｰだけ使えるフォルダがあればよい。整理などは少しづつしている。</t>
  </si>
  <si>
    <t>MS365自体よく知らない</t>
  </si>
  <si>
    <t>迷惑メールがよく来るので来ないようにしてほしい。削除がめんどくさい。</t>
  </si>
  <si>
    <t>製造中になるので実演や研修は製造日程を考えないといけないので難しい。質問ができすぐに答えてくれる人がいてくれると助かる。</t>
  </si>
  <si>
    <t>阿部俊樹</t>
  </si>
  <si>
    <t>今のところありません。</t>
  </si>
  <si>
    <t>まだ思いつきません。</t>
  </si>
  <si>
    <t>特にありません。</t>
  </si>
  <si>
    <t>操作マニュアルが欲しいです。</t>
  </si>
  <si>
    <t>西村</t>
  </si>
  <si>
    <t>使用していないファイルがたくさんあり、必要なファイルやデータが探しづらい</t>
  </si>
  <si>
    <t>外間裕貴人</t>
  </si>
  <si>
    <t>分かりません</t>
  </si>
  <si>
    <t>最近迷惑メールが来るようになっているので出来ればなくしたいです。</t>
  </si>
  <si>
    <t>矢野恵</t>
  </si>
  <si>
    <t>共有フォルダ内のフォルダの移動・削除に権限を設けてほしい（パソコンの動きが遅かったり、手元が少し狂ったりで自分の意思に反して簡単にフォルダが移動されてしまうため）</t>
  </si>
  <si>
    <t>急な休みを取らなければいけない時などに遠隔でシンクライアントにログイン出来たら便利だと感じるが、セキュリティ上難しいのか。</t>
  </si>
  <si>
    <t>Excelのマクロの組み方?を教えてほしい（処方を組んだら、自動的に全成分表が出来上がる仕組みが欲しい）</t>
  </si>
  <si>
    <t>松井敬視</t>
  </si>
  <si>
    <t>松下賢</t>
  </si>
  <si>
    <t>どこに技術製造部のフォルダがあるのか知らず、まだ活用まで至っていない為、不安点は特にありません。</t>
  </si>
  <si>
    <t>他部署が触れないようにする。</t>
  </si>
  <si>
    <t>使用してから色々要望が生まれるかもわかりませんが現時点ではありません。</t>
  </si>
  <si>
    <t>シンコーでの作業内容で必要なスキルについては、部署ごとに集まって実演で教育してほしいです。
OneDrive（個人用クラウドストレージ）、SharePoint（チーム用共有フォルダ）
Teams（チャット・会議）等</t>
  </si>
  <si>
    <t>寺石歩実</t>
  </si>
  <si>
    <t>お客様が会社名を変更された際、データを探すのに時間がかかります。最新の会社名で登録されているものもあれば昔の会社名のまま保管されているデータもあり、戸惑うことがあります。</t>
  </si>
  <si>
    <t>いつでも見れる操作マニュアルがあればうれしいです。</t>
  </si>
  <si>
    <t>山下基宏</t>
  </si>
  <si>
    <t>データ管理、保管で困ることはございません。エクセルが固まってデータが消えるぐらいです。</t>
  </si>
  <si>
    <t>更新履歴の管理</t>
  </si>
  <si>
    <t>権限管理、セキュリティーの強化（他者による処方などの書き込み、操作をやめる。データ持ち出しさせない。）</t>
  </si>
  <si>
    <t>情報漏洩。処方、指図書をUSB等、外部メディアで持ち出しされる。</t>
  </si>
  <si>
    <t>質問しやすい環境</t>
  </si>
  <si>
    <t>直木美佐子</t>
  </si>
  <si>
    <t>USBやメールでデータの持ち出しが簡単にできてしまうことが不安です。</t>
  </si>
  <si>
    <t>ISOに関わる書類で、REV.が更新された時のファイルの取り扱い（別ファイルにするのかどうか）</t>
  </si>
  <si>
    <t>現段階でMS365がどんなものかがわからないので、特にありません。</t>
  </si>
  <si>
    <t>ウイルス対策、情報漏洩</t>
  </si>
  <si>
    <t>わからなくなった時にすぐに質問できる環境があると嬉しいです。</t>
  </si>
  <si>
    <t>橋口千聖</t>
  </si>
  <si>
    <t>慣れるまでファイルの保管場所が分からなくなることが多かった</t>
  </si>
  <si>
    <t>マニュアルがない</t>
  </si>
  <si>
    <t>宗近倶枝</t>
  </si>
  <si>
    <t>不要なデータを削除するなど仕分けや整理の時間がとりにくいです。</t>
  </si>
  <si>
    <t>書類名の付け方のルールも希望します。</t>
  </si>
  <si>
    <t>クラウド上の操作はネット環境の調子が良くない時も問題ないかどうかは気になります。</t>
  </si>
  <si>
    <t>パスワード管理、アクセス権限</t>
  </si>
  <si>
    <t>質問しやすい環境はほしいです。</t>
  </si>
  <si>
    <t>中土陽介</t>
  </si>
  <si>
    <t>ファイルの保存先や管理方法が人によってバラバラになっている。
どれが最新ファイルか分からなくなることがあり、特に複数人で作業する時に不安を感じる。
また、退職や異動があると引き継ぎ漏れで大事なデータが見つからないケースもある。</t>
  </si>
  <si>
    <t>部署単位での共通フォルダ構成ルールを決めて整理をしたい。
更新履歴や編集者が分かる仕組みを使って、上書きミスや「誰が変えたか分からない問題」を減らしたい。
権限管理を部署ごと・役職ごとに明確にしたいが、シンプルなフォルダ構成と権限にしたい。</t>
  </si>
  <si>
    <t>OneDriveとSharePointの使い分けがまだ曖昧で、どこに何を保存すればいいのか標準ルールがほしい。
共同編集やリンク共有を使ったことがないメンバーが多いため、基本操作を部署内で学べる機会が必要だと思う。</t>
  </si>
  <si>
    <t>外部へのメール送信やデータ共有で情報漏えいしないか不安だが、情報漏えいすると雇用契約上 個人へのリスクがあることを周知したい。
社外からのアクセスやウイルス感染リスクなど、何をどう防げるのか社員全体で意識を高める必要を感じる。</t>
  </si>
  <si>
    <t>MS365の基本操作（OneDrive、SharePoint、Teamsなど）を実演ベースで学ぶ研修がほしい。
部署内で聞けるように少人数での勉強会も検討したい。
また、IT用語が難しいく感じるので、初心者でも理解できる資料やマニュアルを用意してほしい。</t>
  </si>
  <si>
    <t>本社</t>
  </si>
  <si>
    <t>馬場阿弥子</t>
  </si>
  <si>
    <t>保存場所の把握に困るのと、送付側受け取り側でデータを各自データ保存のため、最新版が把握しずらくなる（クライアント様との共有資料等）・エクセル等のデータ開きっぱなしで使用できない　等</t>
    <phoneticPr fontId="25"/>
  </si>
  <si>
    <t>現在も部署や課のフォルダはあるが、使用ルールが不明で、生産管理の名前のフォルダでも、他部署と共有で使用するフォルダだったり、誰と使ってるのかわからないし、似た名前で複数存在したら混乱する
誰と共有すべきデータか（課内？自分だけ？全体？）、共有しないのか等で、保存場所をルール化できたら、少し整理がつくのかなと感じます。</t>
    <phoneticPr fontId="25"/>
  </si>
  <si>
    <t>従来のフォルダ運用と、OneDriveとの使い分けは不安
共同編集、権限管理は誰がどこまで制限できたり、クライアント様との共有なども可能か知りたい</t>
    <phoneticPr fontId="25"/>
  </si>
  <si>
    <t>迷惑メールが一定数あったり、必要なメールがSPAM認定されてるので、エラーとかで届かない等にならないかは気になる</t>
    <phoneticPr fontId="25"/>
  </si>
  <si>
    <t>各部署でどこまでを管理範囲するのか、そのためにどんなITスキルが必要なのかを先ず教えて欲しいです。
範囲が見えたことで、理解不足の度合いが具体的になると思うので、質問もしやすくなると思います。
現時点では求められてることがわかってないので、質問することが難しいです。</t>
    <phoneticPr fontId="25"/>
  </si>
  <si>
    <t>今すぐでなぐの要望ではないですが、会社を大きくしていきたい。していく。という前提の上で、
常駐でなくて外部委託でもいいと思うので、先ず情報システム部の専任が欲しいです。
会社が大きくなれば、インフラやシステム保守は今後重要度は増すので、兼任では厳しいタイミングが来ると思うのと、サーバリプレイスで、クラウド等もうまく利用して仕事しやすい環境を目指す上で、社員や顧客の個人情報や、クライアント様が絡むような情報漏洩（イベント、商品企画・発売やコラボ情報等）を防ぐ環境作りを希望します。</t>
    <phoneticPr fontId="25"/>
  </si>
  <si>
    <t>池田悦彰</t>
  </si>
  <si>
    <t>どこに何が保管されているのか、ツリー図のようなものがあれば良い気がしました。</t>
  </si>
  <si>
    <t>全社としてのルール、部署としてのルール、両方もしくはいずれかを決めればそれに沿えば良いのでわかりやすいです。</t>
  </si>
  <si>
    <t>知識が無いためマニュアルが欲しいです。</t>
  </si>
  <si>
    <t>一度社内説明会のようなものがあれば嬉しい気がしました。後は覚えるためにも極力マニュアルで各個人がやってみて、行きづまってから相談するようにした方が良いと感じます。</t>
  </si>
  <si>
    <t>鳥山一洋</t>
  </si>
  <si>
    <t>不要なファイル、フォルダ、ショートカット等が散見される状態
要不要分からず、誰も手をつけることができていない
似たようなフォルダ、ファイルなども見受けられ、無駄なデータが多い</t>
  </si>
  <si>
    <t>フォルダ作成のルール作り
個々での運用に任せきりになっており、収集がつかないので
全社員統一のルールを設定し、無駄を省く
1年以上更新されていないファイルなど抽出し、不要フォルダへ移すようなシステム</t>
  </si>
  <si>
    <t>全く知見が無いので、基本の使い方～応用まで教えていただきたい
大畑様が仰っていた、社内コミュニケーションツールとしての活用方法をレクチャーいただきたい</t>
  </si>
  <si>
    <t>社内でのセキュリティ意識、知識の維持向上のためのトレーニング方法
弊社にあったセキュリティ導入の範囲を知りたい
Lanscopeを使った具体的な管理方法
PCやAPなどに社内機器ではないものを接続できてしまうため
それをシャットアウトできるようなセキュリティ</t>
  </si>
  <si>
    <t>全体的な知識の底上げの研修
・クライアントPCからサーバーに接続してサーバー内でPC業務を行っているなどの基礎知識
サーバーに負荷をかけない日常業務の進め方の研修
・メールに極力データを添付しない、Excelなど重くならないやり方など</t>
  </si>
  <si>
    <t>徳永彩花</t>
  </si>
  <si>
    <t>同じ案件でも名前がバラバラで複数あったりrejectしきれていない。クライアント名が変わった際変更しきれていなかったり一部だけが変わっていたりする。</t>
  </si>
  <si>
    <t>見積保管などフォルダ作成時クライアント名、製品名の頭文字読み方を入れているが新規は読み方が共有されず字面からの予測でしか作れていないのでローマ字の新規案件は読み方を教えてほしい。</t>
  </si>
  <si>
    <t>やってみないとわからないのでわからないがマニュアルやルールは明確にしてほしい。</t>
  </si>
  <si>
    <t>最近迷惑メールが来る頻度が増えている。</t>
  </si>
  <si>
    <t>マニュアルが欲しい。そのうえで質問しやすい環境がほしい。</t>
  </si>
  <si>
    <t>中島和哉</t>
  </si>
  <si>
    <t>・ファイルの階層が多い為、探しにくい(多くても5階層までが理想)
・ファイル名に対して保管されているデータ名がマッチしないものがある
・フォルダ名に変更が必要となる場合のルールが決まっていない為、例えばクライアントに変更があった場合に、旧フォルダ名を残したままにし新たなフォルダを作成するのか、対象のフォルダの名称を直接変更するのかなど対応方法が明確になっていない
・不要なデータらしきものが結構ある</t>
  </si>
  <si>
    <t>・フォルダ構成のルールがほしい(階層単位での一律ルール化は使いにくい可能性がある為、条件別のフォルダ構成のパターン化)
年月日で区別する必要のない場合、1階層目(部署)、2階層目(業務内容)、3階層目(対象ファイル)など
年度別でのデータがある場合、1階層目(部署)、2階層目(業務内容)、3階層目(年度)、4階層目(対象ファイル)など
月日別でのデータがある場合、1階層目(部署)、2階層目(業務内容)、3階層目(年度)、4～5階層目(月別、日別の対象ファイル)など
クライアント毎のデータがある場合、1階層目(部署)、2階層目(業務内容)、3階層目(クライアントの頭文字)、4階層目(クライアント)、5階層目(対象データ)など</t>
  </si>
  <si>
    <t>・MS365のExcel(クラウド版)の基本操作
・OneDriveやSharePointの基本操作及び使い分け</t>
  </si>
  <si>
    <t>具体的なNG行為とNG行為を行った場合にどのようなリスクがあるのか
事例を用いた詳細が知りたいです。</t>
  </si>
  <si>
    <t>・MS365の基本操作の実演と初心者でもわかりやすいマニュアルがほしいです</t>
  </si>
  <si>
    <t>内藤恭介</t>
  </si>
  <si>
    <t>保存場所がバラバラで整理されていない為、探しにくい。昔のデータは不要か判断できない為、追加する一方で増え続けていることも原因と思われる。整理できれば要領の負担軽減につながると思う。</t>
  </si>
  <si>
    <t xml:space="preserve">今は誰でも新規ファイル、フォルダををつくれるが、共有のフォルダは各長が許可した場合のみ追加できるようにし、その他は個人ファイルにとどめた方が良い。
</t>
  </si>
  <si>
    <t>製造の新入社員はエクセル、ワードのスキルがない人が多い。上司が直接教える以外のサポート環境があれば有難い。</t>
  </si>
  <si>
    <r>
      <rPr>
        <sz val="8"/>
        <color theme="0" tint="-0.499984740745262"/>
        <rFont val="Meiryo UI"/>
        <family val="3"/>
        <charset val="128"/>
      </rPr>
      <t>迷惑メールが増えている。</t>
    </r>
    <r>
      <rPr>
        <sz val="8"/>
        <color theme="1"/>
        <rFont val="Meiryo UI"/>
        <family val="3"/>
        <charset val="128"/>
      </rPr>
      <t>今でもフリーズすることがある。</t>
    </r>
    <phoneticPr fontId="25"/>
  </si>
  <si>
    <t>島田智章</t>
  </si>
  <si>
    <t>部署内では特になし。</t>
  </si>
  <si>
    <t>更新履歴の管理。</t>
  </si>
  <si>
    <t>調べてもピンとこなかったのですが、使ってみたいです。</t>
  </si>
  <si>
    <r>
      <t>ウイルス対策</t>
    </r>
    <r>
      <rPr>
        <sz val="8"/>
        <color theme="0" tint="-0.499984740745262"/>
        <rFont val="Meiryo UI"/>
        <family val="3"/>
        <charset val="128"/>
      </rPr>
      <t>と迷惑メールはなくしてほしい</t>
    </r>
    <phoneticPr fontId="25"/>
  </si>
  <si>
    <t>質問しやすい環境と操作マニュアルは欲しい</t>
  </si>
  <si>
    <t>東香里</t>
  </si>
  <si>
    <t>見積書の保管管理でショートカットを作成し管理を行っていたがウイルス騒動時に全てショートカットが外れてしまった事があった為、また突然消えるのではと不安を感じる。</t>
  </si>
  <si>
    <t>企画で使用していたフォルダを生産管理(一部で)でも使用している為、保管場所の統一を行いたい。</t>
  </si>
  <si>
    <t>社内で使用についてルール化すると思われる為現時点での不安は特になし。</t>
  </si>
  <si>
    <t>毎日迷惑メールが来る。(2～3件)</t>
  </si>
  <si>
    <t>気になる事があればどこの何へ質問をすれば良いか窓口が明確にあると助かる。</t>
  </si>
  <si>
    <t>企画課</t>
    <rPh sb="0" eb="3">
      <t>キカクカ</t>
    </rPh>
    <phoneticPr fontId="25"/>
  </si>
  <si>
    <t>濱西藍伽</t>
  </si>
  <si>
    <t>何をどう管理したらいいか分からない</t>
  </si>
  <si>
    <t>使い分け、使い方</t>
  </si>
  <si>
    <t>アクセス権限、パスワード管理</t>
  </si>
  <si>
    <t>操作マニュアル</t>
  </si>
  <si>
    <t>杉尾瑞樹</t>
  </si>
  <si>
    <t>入社したばかりなので現在は問題なく進めれています。
昔にパソコンが飛びデータが消えたという話を聞いたのでバックアップなどは一応あるのか知っておきたいです。</t>
  </si>
  <si>
    <t>整理のルール、フォルダ構成、更新履歴の管理が明確にあれば助かります。</t>
  </si>
  <si>
    <t>OneDriveの接続環境(前職で使用した際に接続がうまくいかないパソコンがあったため)</t>
  </si>
  <si>
    <t>パスワード管理について(今後MS３６５で使用する場合各自のパスワードになるのか、現在自身のoutlockなどパスワードを知らないため)</t>
  </si>
  <si>
    <t>質問しやすい環境があれば嬉しいです。</t>
  </si>
  <si>
    <t>野村秀太朗</t>
  </si>
  <si>
    <t>ネット発注等の関係で新規ソフトのインストールを行いたいが、現状のシステムでは困難なこと</t>
  </si>
  <si>
    <t>新規ソフトのインストールを行うための手順をルール化し明確にしてほしい</t>
  </si>
  <si>
    <t>迷惑メールが多量に届くためブロックする方法や対策について相談を行いたい</t>
  </si>
  <si>
    <t>社内のネットワーク関連について質問できる、担当者や部署を定めてほしい</t>
  </si>
  <si>
    <t>丸中都</t>
  </si>
  <si>
    <t>フォルダの種類が多く保存場所も統一されてないので、検索するのに時間が要する。
同じようなデータが点在してるので、どれが正しいデータなのか不明である。</t>
  </si>
  <si>
    <t>他部署と共有で使用してるフォルダもあるので、全体的なルールが必要かと思われる。</t>
  </si>
  <si>
    <t>ネット環境次第で動作が左右されるのかが気になる。</t>
  </si>
  <si>
    <t>ウイルス対策が強化されるのか心配。</t>
  </si>
  <si>
    <t xml:space="preserve">MS365をネットで調べるだけでは知識が身につかないので、実務ベースでの研修をしていただきたい。パソコン用語が難しいので理解できるような資料もほしい。
</t>
  </si>
  <si>
    <t>図書杏子</t>
  </si>
  <si>
    <t>管理部内でも個人別で保存場所や保存方法がバラバラなので部署内共有フォルダを整理し誰が見ても分かりやすく引継ぎなどスムーズに行えるようにしたい。しかし誰でも簡単にアクセスできる環境になると不注意で削除や書き換えしてしまう心配もある。</t>
  </si>
  <si>
    <t>部署内の他の人のフォルダを把握したいが削除上書きのミスが心配なので何かセキュリティーあると安心です。現状個人プレーで保管管理しているので部署内でルールを決めて共有したい。</t>
  </si>
  <si>
    <t>MS365はインターネット回線が繋がらなくなった場合仕事がストップしてしうか不安です。必要最小限のファイルをローカルに保管できるとありがたいです。</t>
  </si>
  <si>
    <t>今まで通り管理部のフォルダは他部署からアクセスできない設定にしていただきたいです。</t>
  </si>
  <si>
    <t>ＩＴに疎いので分からない時に気軽に確認できるコールセンターやチャット相談などがあれば嬉しいです。</t>
  </si>
  <si>
    <t>越智絵美子</t>
  </si>
  <si>
    <t>共有フォルダとは別にデスクトップにも保存してますが、前サーバーが感染した時消えました。私のPCはローカルにも保存できないので少し不安です</t>
  </si>
  <si>
    <t>MS365をどう使うか理解できてなく申し訳ないのですが、ツールが増えて各個人が好きなように使いだすと確認作業が増えて見逃しが起こらないか気になります。使用者によって有料・無料の区別があると認識がずれたり、受けれるサポートが違ったりしないかどうか、データの保存に制限があるのかでしょうか。ずれてる話だったらすみません</t>
  </si>
  <si>
    <t>こうした方がよいとかあれば教えてほしいです</t>
  </si>
  <si>
    <t>いつでも質問できる環境があると嬉しいです。Chatなどでもありがたいですが伝わりにくかったり説明に時間がかかるので電話でも繋がるとさらに嬉しいです</t>
  </si>
  <si>
    <t>北村</t>
  </si>
  <si>
    <t>実際に触ってみないと何とも言えない</t>
  </si>
  <si>
    <t>操作マニュアルがあれば非常にありがたいです</t>
  </si>
  <si>
    <t>大川泰弘</t>
  </si>
  <si>
    <t>必要なファイルと不必要なファイルがどれなのか考えるときがあります</t>
  </si>
  <si>
    <t>パソコン自体がくわしくありませんので、どうしたらいいのかがわかりません。</t>
  </si>
  <si>
    <t>まずMS３６５を詳しく理解したいです。</t>
  </si>
  <si>
    <t>例であげていただいてるように実演や勉強会のようなもので教えてほしい。</t>
  </si>
  <si>
    <t>伊澤浩司</t>
  </si>
  <si>
    <t>ファイルの保存先が複雑である。製造で必要な情報が製造用以外にある。</t>
  </si>
  <si>
    <t>パソコンが得意では無いので希望がぱっと浮かびませんが、出来るだけ簡単にして欲しいです。</t>
  </si>
  <si>
    <t>日々製造がメインで事務所にいる人と違いパソコンは夕方にしか使用しません。よってMS365が何かもわかりませんので不安だらけです。</t>
  </si>
  <si>
    <t>迷惑メール(野村證券、アマゾン等)よく来ます。</t>
  </si>
  <si>
    <t>液体製造は人員が不足の為、日々製造で手一杯です。夕方にパソコンを使用するのでわからない事があれば電話ですぐに対応して欲しい。</t>
  </si>
  <si>
    <t>森尾直浩</t>
  </si>
  <si>
    <t>保存場所がバラバラで検索に苦労する</t>
  </si>
  <si>
    <t>井上幸哉</t>
  </si>
  <si>
    <t xml:space="preserve">データがどこにあるか分からない。
たぶん昔と今で作業者や作業部署が違うので、点在していることが原因だと思う。
平たく言うとフォルダ構成が無茶苦茶
品保のフォルダを作って欲しい。
食添とコスメの品保のフォルダを分けて欲しい。
各自が自由に使えるフォルダが欲しい
（スキャンフォルダの感じ）
デバイス（プリンタ―）が多いので、「どれ？」になる。
ない分は削除して欲しい。全部あるならごめんなさい。
記録しているデータの目的と実際（データ加工）に必要としている内容が合ってない
食添の試験成績書の作成関係の基準があいまい過ぎて困っている。
台帳は、商品名⇒出荷先で検索すると見つけやすいが、試験成績書は商品名と出荷先名が並列であるので探すことが難しい（慣れはした）。
</t>
  </si>
  <si>
    <t>似た名称のフォルダやファイルが多く「どれ？」になる。
規格書も「自社FM」と「他社FM」と「食添の購入原料の規格書」「コスメの購入原料の規格書」
のように複数ありそれぞれ点在している。
出来れば、発行した規格書、SDS、試験成績書系と、購入原料の規格書で分けて欲しい
「01食添_規格書_自社FM_250708_第1版.xlsx」のような分けかたをしたい。
品目マスタ的なもの
品目コードと絡めて書類を作る習慣化
食添の製造が在庫管理をどうしているか存じませんが、注文がきた⇒入力⇒製品在庫のチェック⇒予定在庫から引く⇒足りない場合は製造するので、原材料のチェック⇒原材料の発注⇒入荷したら原材料のチェック⇒・・・
人の手をかけすぎているように思う。
入力までしたら、何とかして欲しい。
データを蓄積するのはいいが、分析や解析ができていない。簡単に出来たらいい。</t>
  </si>
  <si>
    <t xml:space="preserve">MSのOneDriveなど使い方を知らない。
昔、Googleのスプレッドシートを使ったことはあるが、いまいちしっくりこなかった記憶がある。
MSがサービスを止めるってなった時、どうします？
</t>
  </si>
  <si>
    <t xml:space="preserve">エクセルのVBAを教えて欲しい（独学の限界を感じてます）。
</t>
  </si>
  <si>
    <t>東京</t>
    <rPh sb="0" eb="2">
      <t>トウキョウ</t>
    </rPh>
    <phoneticPr fontId="25"/>
  </si>
  <si>
    <t>営業課</t>
    <rPh sb="0" eb="2">
      <t>エイギョウ</t>
    </rPh>
    <rPh sb="2" eb="3">
      <t>カ</t>
    </rPh>
    <phoneticPr fontId="25"/>
  </si>
  <si>
    <t>南光彦</t>
    <rPh sb="0" eb="1">
      <t>ミナミ</t>
    </rPh>
    <rPh sb="1" eb="3">
      <t>ミツヒコ</t>
    </rPh>
    <phoneticPr fontId="25"/>
  </si>
  <si>
    <t>橋本悠司</t>
    <rPh sb="0" eb="2">
      <t>ハシモト</t>
    </rPh>
    <rPh sb="2" eb="4">
      <t>ユウジ</t>
    </rPh>
    <phoneticPr fontId="25"/>
  </si>
  <si>
    <t>サーバーやアプリに繋がらないなどの時の簡易トラブル対処マニュアル作成</t>
  </si>
  <si>
    <t>IT、セキュリティー、MS365などのリテラシーを高める勉強会</t>
  </si>
  <si>
    <t>堀真紀</t>
    <rPh sb="0" eb="1">
      <t>ホリ</t>
    </rPh>
    <rPh sb="1" eb="3">
      <t>マキ</t>
    </rPh>
    <phoneticPr fontId="25"/>
  </si>
  <si>
    <t>PCに負荷がかかる動作についてしっかり理解できていないため、教わりたいです。ゴミ箱を定期的に空にするなど、心がけることや、どういった動作で負荷をかけてしまっているのか、教えていただきたいです。</t>
  </si>
  <si>
    <t>野田健治</t>
    <rPh sb="0" eb="2">
      <t>ノダ</t>
    </rPh>
    <rPh sb="2" eb="4">
      <t>ケンジ</t>
    </rPh>
    <phoneticPr fontId="25"/>
  </si>
  <si>
    <t>ファイルを間違って削除したとき、元に戻せるのか。→自分で復元できるのか、誰かに頼まないといけないのか知りたいです。
メールやファイルって、どれくらいの期間保存されるのか。→必要な情報が消えてしまわないか不安です。
誰がどのファイルを編集したのか、あとから確認できる？→使うときに「上書き」が怖いので、履歴の見方を知りたいです。</t>
    <phoneticPr fontId="25"/>
  </si>
  <si>
    <t>①</t>
    <phoneticPr fontId="25"/>
  </si>
  <si>
    <t>データ管理</t>
    <rPh sb="3" eb="5">
      <t>カンリ</t>
    </rPh>
    <phoneticPr fontId="25"/>
  </si>
  <si>
    <t>無回答・無関心</t>
    <rPh sb="0" eb="3">
      <t>ムカイトウ</t>
    </rPh>
    <rPh sb="4" eb="7">
      <t>ムカンシン</t>
    </rPh>
    <phoneticPr fontId="25"/>
  </si>
  <si>
    <t>②</t>
    <phoneticPr fontId="25"/>
  </si>
  <si>
    <t>仕組み・ルール</t>
    <rPh sb="0" eb="2">
      <t>シク</t>
    </rPh>
    <phoneticPr fontId="25"/>
  </si>
  <si>
    <t>気になる</t>
    <rPh sb="0" eb="1">
      <t>キ</t>
    </rPh>
    <phoneticPr fontId="25"/>
  </si>
  <si>
    <t>③</t>
    <phoneticPr fontId="25"/>
  </si>
  <si>
    <t>MS365</t>
    <phoneticPr fontId="25"/>
  </si>
  <si>
    <t>前向き</t>
    <rPh sb="0" eb="2">
      <t>マエム</t>
    </rPh>
    <phoneticPr fontId="25"/>
  </si>
  <si>
    <t>④</t>
    <phoneticPr fontId="25"/>
  </si>
  <si>
    <t>セキュリティ</t>
    <phoneticPr fontId="25"/>
  </si>
  <si>
    <t>⑤</t>
    <phoneticPr fontId="25"/>
  </si>
  <si>
    <t>ITスキル向上</t>
    <rPh sb="5" eb="7">
      <t>コウジョウ</t>
    </rPh>
    <phoneticPr fontId="25"/>
  </si>
  <si>
    <t xml:space="preserve">⑥ </t>
    <phoneticPr fontId="25"/>
  </si>
  <si>
    <t>その他</t>
    <rPh sb="2" eb="3">
      <t>タ</t>
    </rPh>
    <phoneticPr fontId="25"/>
  </si>
  <si>
    <t>・Excelへの手入力や転記、集計などの手作業が多い</t>
  </si>
  <si>
    <t>・紙帳票での運用が残っており、作成・保管・検索に工数がかかっている</t>
  </si>
  <si>
    <t>・定型業務が自動化されておらず、日常業務に時間を要している</t>
  </si>
  <si>
    <t>・業務フローが属人化しており、確認や照合作業に時間がかかっている</t>
  </si>
  <si>
    <t>上記課題を踏まえ、インフィニティ様へは主に以下の内容を相談予定です。</t>
  </si>
  <si>
    <t>　AIを活用可能な業務領域の整理および、社内での安全な活用環境の構築方法</t>
  </si>
  <si>
    <t>タイムスタンプ</t>
  </si>
  <si>
    <t>部署</t>
  </si>
  <si>
    <t>氏名</t>
  </si>
  <si>
    <t xml:space="preserve">Q1.毎回「ちょっと面倒だな…」と感じる作業はありますか？
  具体的な業務内容やファイル名があれば教えてください
（例：毎週の集計作業、同じ内容の繰り返し入力 など）  </t>
  </si>
  <si>
    <t xml:space="preserve">Q2.ミスが起こりやすい、またはチェックに時間がかかる作業はありますか？
  具体的な業務内容やファイル名があれば教えてください
（例：転記作業、数値の照合、複数ファイルの突合 など）  </t>
  </si>
  <si>
    <t xml:space="preserve">Q3.  工数がかかりすぎている、改善したいと感じる作業はありますか？ 
  具体的な業務内容やファイル名があれば教えてください
（例：手順が多い業務、データ集め、資料作成 など）  </t>
  </si>
  <si>
    <t xml:space="preserve">Q4. 紙や手書きでやっているが、PC化できたら楽になりそうな作業はありますか？ 
  （例：手書き帳票、紙の申請書、メモからの転記 など）  </t>
  </si>
  <si>
    <t>Q5-2.使用している(使ったことがある)AIがあれば、名称と用途を教えてください。</t>
  </si>
  <si>
    <t>Q6. 業務改善のアイデアや要望があれば自由に記入してください</t>
  </si>
  <si>
    <t>技術製造部 製造課（化粧品）</t>
  </si>
  <si>
    <t>森山　貴史</t>
  </si>
  <si>
    <t>パートさんの給与時間計算、社員同様にKING OF TIME化できれば負担軽減できる。</t>
  </si>
  <si>
    <t>ISO22716取得後の書類作成が多すぎる。特に製造指図書</t>
  </si>
  <si>
    <t>製造指図書、製造記録表等々 包装工程は係長が常にPC入力しており作業負担のため間略化希望する。</t>
  </si>
  <si>
    <t>溶融充填機設備仕様 冷却設備仕様について</t>
  </si>
  <si>
    <t>技術製造部 生産管理課</t>
  </si>
  <si>
    <t>鳥山　一洋</t>
  </si>
  <si>
    <t>・日/週ルーティンのデータベースからの抽出/加工作業
　手動作業が多く、日々時間がかかってしまうため、AIを用いて改善中
・電話での原料の在庫/入荷/使用予定の問い合わせへの対応
　ヒアリングの上、ツールを作成し改善を計画している</t>
  </si>
  <si>
    <t>・入荷資材検品
　支給資材などで、事前連絡なく微細な改版があるものなど
　目視検査では見落としてしまうリスクがある</t>
  </si>
  <si>
    <t>・日/週のルーティン作業
　Q1の内容と同じです</t>
  </si>
  <si>
    <t>自身の作業の中で、手書き業務で負荷の高いものはないため
ここに該当する作業はございません</t>
  </si>
  <si>
    <t>・Genspark、ChatGPT
　どのようなことができるのか、試しに使った程度
・Claude
　VBA、SQL、スクリプトなどの作成と修正に日常的に使用</t>
  </si>
  <si>
    <t>全員がAIに興味・関心を持ち、使用するような環境には恐らくならないと思われるが
社内で1名でも多くAIの使い方を知り、活用することで日常業務の細かなことでも
日々改善できるような環境ができれば良いと感じる</t>
  </si>
  <si>
    <t>企画営業部 営業課</t>
  </si>
  <si>
    <t>南　光彦</t>
  </si>
  <si>
    <t>クライアント毎のスケジュール表作成・概算コストの試算</t>
  </si>
  <si>
    <t>バルク・充填製造予定表の更新、定例会議の議事録</t>
  </si>
  <si>
    <t>充填製造予定表で島田主任に作成いただき、そのあと、変更箇所・資材納期状況確認し色付けするなどは、意外に時間をとるため少し手間です。
バルク製造予定表は、バルクの昔からの予定表で確認・転記して、充填日・検査合格日の記載とチェックは大切ですが手間ではあります。</t>
  </si>
  <si>
    <t>・製品の出荷依頼済の内容を、日付順で受注番号別の一覧化で見れたらなと思います
製造が立て込んだ際やトラブルなどで、出荷依頼が出てるか現場から聞かれたり、
直近の予定変更の対応の場合でも、自分のタイミングで確認ができれば問い合わせも減り、
確認自体も手間が減るので助かります。
また、担当者も出荷依頼したかどうかの確認もしやすいと思います。
・各製品の入数やパレット積載、納品時のルール、商品または得意先様毎の特記事項などを共有・管理できて、各自のタイミングで見れる場所があれば、担当者変更やトラブルがあっても、基本情報は確認しやすく周囲もフォローしやすいと思います。
新規の取引先・商品、納品先などの場合は、必要情報の登録などは発生しますが、それだけしておけば、毎回受注フォーマット記載も不要にできるのではと思います。
TPICSでできることもあると思いますが、各自のタイミングで確認できるのがポイントで、ログイン権限など気にせず、理想は社外にいてもできるといいなと思います。</t>
  </si>
  <si>
    <t>アンファー資材の入荷日ごとの入荷記録と入出庫記録用紙の作成・ファイリング→生産管理課が出来る前からの作業。システムで大体把握できる気がするのでデータで管理したい</t>
  </si>
  <si>
    <t>アンファー製造予定変更時の化粧箱納期間に合っているかの確認</t>
  </si>
  <si>
    <t>ChatGPTでちょっとした疑問やエクセル操作など</t>
  </si>
  <si>
    <t>中村剛</t>
  </si>
  <si>
    <t>定期的な集計作業や、複数のExcel・CSVを扱う作業。
特に、同じ内容を複数ファイルへ入力・転記する工程が当てはまると思います。</t>
  </si>
  <si>
    <t>数値の転記や、複数ファイル間の数値照合作業。
手作業でのチェックが多く、集中力を要するため、負荷がかかっていると思います。</t>
  </si>
  <si>
    <t>定型フォーマットの報告資料作成や、データ収集から集計までの一連の作業。
手順が多く、改善余地があると感じます。</t>
  </si>
  <si>
    <t>経費申請</t>
  </si>
  <si>
    <t>ChatGPT
・画像生成
・WEBやPythonのコードの改善
Ollama
・ローカル環境でのLLM実行</t>
  </si>
  <si>
    <t>小さな改善を積み重ねることで、現場の負担軽減と品質向上の両立ができると思います。
「少し楽になった」と実感できる事例が増えると、DXも自然に浸透していくと感じます。</t>
  </si>
  <si>
    <t>技術製造部 製造課（食品添加物）</t>
  </si>
  <si>
    <t>経済産業省アルコール使用簿作成、グリセリンドレー手配作業、パソコン等電化製品処分、毎日のグリセリン在庫調べ、アルタン在庫報告、裏の駐輪場他の掃除、製造中の入出荷作業</t>
  </si>
  <si>
    <t>液体製品で別名が複数ある商品</t>
  </si>
  <si>
    <t>橋本悠司</t>
  </si>
  <si>
    <t>案件依頼書の作成、案件見込共有、出荷判定取次、出荷連絡、契約書チェック</t>
  </si>
  <si>
    <t>案件依頼書、案件見込管理、出荷判定取次フロー、出荷連絡フロー、契約書チェック</t>
  </si>
  <si>
    <t>Copilot、Gemini、Canva、ChatGPT</t>
  </si>
  <si>
    <t>外出や離席が多い業務は極力作業をスマホなどで出来るようにして業務効率を上げたい。
出荷連絡や出荷判定など営業を介さずに直接CLへ連絡する形にして、営業工数や連絡のタイムラグを少なくしたい。
クライアントに提出等が必要な書類関係はスマホからでも閲覧やダウンロードなど出来るようにしたい。
案件を一覧管理（受注、契約書、取り決め書、安定性試験、容器相性試験、支給原料依頼書など）して抜けや漏れを防げるようにしたい。</t>
  </si>
  <si>
    <t>品質保証部 品質管理課</t>
  </si>
  <si>
    <t>井上　幸哉</t>
  </si>
  <si>
    <t>毎月の社員の体温を記録する用紙の作成
（ファイル名：健康管理①就業前検温測定記録 (00000003)　　内容：基本的な色付けや社員名は自動化できているが、参照が上手く出来ない部分は手で行っている）
毎週、食添（粉体）の包材の個数をチェックし、必要な物は発注を行う。
（ファイル名：包材在庫管理表　　内容：包材（ダンボール、袋、ラベル）の個数をチェックし、必要な物は発注を行う。）</t>
  </si>
  <si>
    <t>ミス：試験成績書の作成。数値の照合
チェックに時間がかかる：ロート製薬の出荷判定書の作成。転記作業</t>
  </si>
  <si>
    <t>包材管理。在庫がなければ製造ができないのに、在庫管理が全て人力に依存している。
管理品目の多さ。通年を通してマンパワー不足。管理名称と包材などの商品名がイコールではないことが、時間を削っている（工数がかかりすぎている）。</t>
  </si>
  <si>
    <t>包材に限らず、在庫管理にPC化が必要と思う。
できれば、エクセルで引き落としをして、在庫量を印刷　⇒
人がチェックして、実数と合わせる　⇒　不足分は発注する。みたいな流れが取れるといいと思う。
メモからの転記はロートでよくしている。予定がわかっている分は、先に書類を出して欲しい。</t>
  </si>
  <si>
    <t>ない（携帯電話のSiriとか言葉での文字入力は含まれます？）</t>
  </si>
  <si>
    <t xml:space="preserve">AIを利用したことがないので、AIが分析をできるのかわからないですが、
食添は、分析値を残せば、安定・不安定な製剤が数値から見えてくる分野だと思います。
下記のエクセルファイルのようなことをしたくても、とっつきにくいようで、理解が得られないのが現状です。
（ファイル名：容器のキャビナンバーごとの重量測定と開栓トルク値の結果）
何とかしたいけど、お金もかけたくないし、情報が流出するリスクは避けたいです。
</t>
  </si>
  <si>
    <t>内藤　恭介</t>
  </si>
  <si>
    <t>「月産製造結果表　2026年粉体」日毎と週間の毎月範囲指定する必要がある 　</t>
  </si>
  <si>
    <t>受注商品（在庫品）のロット管理　同一商品を複数の客先に出し、受注順と納期順も異なる</t>
  </si>
  <si>
    <t>特に思いつきません。</t>
  </si>
  <si>
    <t>打ち合わせのメモをジャンル毎で整理できれば便利かも。（衛生管理委員、製造会議等）</t>
  </si>
  <si>
    <t>ｃｈａｔＧＰＴ</t>
  </si>
  <si>
    <t>原料や資材の納期日が一覧で管理できれば便利かも。</t>
  </si>
  <si>
    <t>企画営業部 企画課</t>
  </si>
  <si>
    <t>杉尾　瑞樹</t>
  </si>
  <si>
    <t>現状特にありません</t>
  </si>
  <si>
    <t>chat GPT:調べた情報を文言をまとめるために使用、画像作成等</t>
  </si>
  <si>
    <t>特に今のところ問題なく業務に取り掛かれているかと思います。宜しくお願い致します。</t>
  </si>
  <si>
    <t>メールを送る際にどういったメーリスが存在し、どなたに配信されるのかいまだに不明です。メールアドレス一覧やメーリス配信先など閲覧しやすくなるとメールを送る際の時短になり送り漏れがなくなると感じます。
メールを送る際に送り先に悩む時間が発生する事がある為まずは一覧が欲しいです。</t>
  </si>
  <si>
    <t>武内製薬様など製品数が多い種類の在庫表の作業を行う際どうしても見落としが出てしまいます。
単純にファイルの問題というよりは製品全てが同じ在庫表の為(笑栄様などは案件毎に在庫表があります)、チェック項目が多くありミス自体は個人的な問題かと思います。ただ、在庫表の中で一番作業時間がかかる業務です。</t>
  </si>
  <si>
    <t>ChatGPT。無理なお願いをする際などメールの文章に困った際に参考にしていますが仕事上ではほぼ使わずほぼプライベートで使用しています。</t>
  </si>
  <si>
    <t>どの部署にどなたがいるのか入れ替わりもありよくわからない為、所属部署・名前・メールアドレスなどが一覧で確認できるようになると助かるなと思います。他部署からこの人どなたですかと聞かれる事もある為、社員一覧(役職)もあると新しい人にも説明しやすいです。もしすでに存在するのであれば公に告知して欲しいです。</t>
  </si>
  <si>
    <t>研究開発部 研究開発課</t>
  </si>
  <si>
    <t>バルク製造指図書の新規発行、原料在庫表と識別表の一元化できていない、バルクの概算原価（原料発注を開発でしなくなったため、生産管理に聞かないと解決できない場合がある）</t>
  </si>
  <si>
    <t>案件依頼書は他案件からのコピペで作成していること等があり、案件を取り組む前に指図があっているかのやりとりをする工程が時々ある。案件依頼書は実務する方がやりやすいように改善検討してはどうかと考えます。</t>
  </si>
  <si>
    <t>議事録作成</t>
  </si>
  <si>
    <t>化粧品用資材における検品用サンプルの抜取作業が、本社から第一倉庫まで移動せねばならず不便に感じています。</t>
  </si>
  <si>
    <t>納品予定資材と納品書の照合、資材ケースからの検品用サンプルの抜き取り作業</t>
  </si>
  <si>
    <t>予定資材の照合の際、急な予定変更が行われていると、その正否が確認できない。第一倉庫で抜き取りを行うが作業場が衛生的でないため汚れの混入が心配。</t>
  </si>
  <si>
    <t>納品予定資材と納品書の照合の際の予定表カレンダー。資材抜取の際には端末を使い最新データを確認できるようにしたい。</t>
  </si>
  <si>
    <t>化粧品の検品用資材の抜取作業について、区画分けしたエリアで行ったほうがよいと思われます。開封した資材ケースにゴミが混入する可能性があります。そして物流担当者の事務作業スペースとあわせてフォークリフトの通り道にあるため接触事故が起こる危険があります。</t>
  </si>
  <si>
    <t>外間　裕貴人</t>
  </si>
  <si>
    <t>〇グリセリンを使用するとき、ドラム原料のためエアーで充填できる治具を使用しているのですが、古くなっているせいか出てくる量があまりにも遅いです。多く量を使用するときなどとても時間がかかります。新しいものを購入するなどして改善したいです。
〇常温や冬などに気温が低い状態で保管していると固まる原料があります。使用するときに加温をして溶かさないといけないのですが、加温機に入れるか湯煎をするかで対応しています。現在使用している加温機が一斗缶を最大4缶までしか入れられず、それ以上溶かさないといけない原料がある場合に困っています。大きい加温機を購入するなど改善をしたいです。
〇原料を保管する冷蔵庫もいっぱいになってきており、新しい冷蔵庫を購入するなどして改善したいです。</t>
  </si>
  <si>
    <t>製造したバルクの現品票にメッシュの種類や香料の有無等の記載をするのですが、手書きで書いているものもあり10枚ほど現品票があるときは時間がかかりめんどくさく感じます。それぞれの製品ごとにデータ上で記入し保存したたうえで印刷出来ると楽になると思います。</t>
  </si>
  <si>
    <t>ない</t>
  </si>
  <si>
    <t>指図書等の書類の確認。</t>
  </si>
  <si>
    <t>無い</t>
  </si>
  <si>
    <t>奉行クラウド使用者が生産管理内で4人いるがアカウント数が2しかない。後者が乗っ取り出来るので使用と終了の共有をしているが手間であり、急ぎ発注の時や他人の使用を妨げそうで不便</t>
  </si>
  <si>
    <t>原料発注において堂島実業様納品分を記録する直送予定一覧エクセルの更新漏れが起きやすい。
週1～2回TPiCSとエクセルを参照して変更漏れがないか確認はしているが発注済みの納期変更や数量変更が多くTPiCSの変更のみになっていることがたまにある</t>
  </si>
  <si>
    <t>毎週行っている1か月分の危険物保管量の計算。計算自体は足し引きだが使用日とその数量を調べるのに時間がかかる</t>
  </si>
  <si>
    <t>配合時に指示書と照らし合わせての数量、数字の確認</t>
  </si>
  <si>
    <t>手書きの仮伝票申請</t>
  </si>
  <si>
    <t>現在使用しているAIはありません</t>
  </si>
  <si>
    <t>松井　敬視</t>
  </si>
  <si>
    <t>大川　泰弘</t>
  </si>
  <si>
    <t>ファイル名：週末在庫(伊澤入力分)（会長と善鐘取締役に毎週末報告しています）</t>
  </si>
  <si>
    <t>特に思い当たりません。</t>
  </si>
  <si>
    <t>現場での手順の多い配合などはこれまで改善もしてきており、今現在工程の多いものは今のところ仕方ないかなと思います。事務仕事では別にありません。</t>
  </si>
  <si>
    <t>どちらかというとＰＣは苦手ですので、紙で書いているほうがかえって楽です。</t>
  </si>
  <si>
    <t>使用したことがありません。</t>
  </si>
  <si>
    <t>今のところ、人員増加ができればと思います。</t>
  </si>
  <si>
    <t>中島　和哉</t>
  </si>
  <si>
    <t>業務内容：翌週の分までの包装指図書の進捗状況のリスト更新
理由：各包装指図書について、ひとつずつ状況を確認しているため、手間となっています。
ファイル名：包装製造指図書の進捗状況.xlsx</t>
  </si>
  <si>
    <t>業務内容：包装指図書の作成(システムデータ及びExcelやpdfからのデータ転記・確認)
理由：確認する資料が複数あり、入力を間違えていても気付く仕組みができていない為
ファイル名：例 　製造指図書／包装 (Rev.03)　mamacharmママクリーム＜柑橘＞Amazon仕様300g.xlsx</t>
  </si>
  <si>
    <t>業務内容：バルク製造量の計算用データ作成
理由：バルク製造量の計算に必要な情報(最大充填規格値、充填予定数、危険物を考慮した最大バルク製造量、開発担当者、製造予定設備等)を集めるのに時間が掛かる
ファイル名：バルク製造量確認依頼(生産管理用).xlsx</t>
  </si>
  <si>
    <t>ありません</t>
  </si>
  <si>
    <t>使用AI及びAIエージェント：ChatGPT、Genspark
用途：情報収集や図解などの画像生成</t>
  </si>
  <si>
    <t>生産管理システムの実績入力などのNG数や資材ロットの選択などの入力作業。
エラーの頻度が多く都度生産管理の方へ一報いれているが、エラーが出ないように
出来るのであればありがたいです。</t>
  </si>
  <si>
    <t xml:space="preserve">製造の加工賃を比較する時に、誰が作業していたかを確認するために
毎日撮影しているホワイトボードの人員割り振りの画像と各工程の加工賃を照らし合わせているので、加工賃のページで各工程と作業者がリンクしていれば捗ります。
あと、製造日を記載しといて欲しいです。
</t>
  </si>
  <si>
    <t>ありません。</t>
  </si>
  <si>
    <t>いまのところありません。</t>
  </si>
  <si>
    <t>現場作業の物理的な問題になりますが、半製品置き場の収容ドラムのピッキング（有香、無香）</t>
  </si>
  <si>
    <t>色々なチェックシート</t>
  </si>
  <si>
    <t>島田　智章</t>
  </si>
  <si>
    <t>ほぼルーティン業務はないので、特にありません。</t>
  </si>
  <si>
    <t>概算見積もりの作成、確認に多少時間はかかっています。資材メーカーの見積もりをエクセルに詳細打ち込むのと内容あっているかの確認が面倒です。</t>
  </si>
  <si>
    <t>Q2と同じ。</t>
  </si>
  <si>
    <t>ちょっと違うかもですが議事録関係の作成は、メモして入力するのが手間です。
音声の書き出しをしていくつもりではいます。</t>
  </si>
  <si>
    <t>コパイロット、チャットジーピーティー</t>
  </si>
  <si>
    <t>管理部 管理課</t>
  </si>
  <si>
    <t>越智</t>
  </si>
  <si>
    <t>取引先からの書類を電子保存するとき、個別にアクセスしたり保存法に合わせた名前に変えるときに思います</t>
  </si>
  <si>
    <t>・食添の納品書チェック
納品日・仕入先・商品名・数量・金額のリストがあればいいなと思ってます
・経費の請求書チェック
一部は請求書が届いてから発注者を探して内容確認してもらってるのでなんか良い方法ないかなとは思ってます</t>
  </si>
  <si>
    <t>ＰＤＦや画像をエクセルで加工できたらなと思ったことあります。
特に表などＰＤＦの変換機能やＷｏｒｄ，メモを経由してみましたが画像になってしまい加工できなかったので諦めてました
そのときの環境や状況でどうしても手書きになることもあるのでそういう機能があれば教えてほしいです</t>
  </si>
  <si>
    <t>ないです</t>
  </si>
  <si>
    <t>今回の趣旨とは外れるかもしれませんがすべての現場に放送が届くようになれば良いなと思います
急ぎの電話や用件を伝えられるようにしたいです
（携帯などは持込規制がありそうなので）</t>
  </si>
  <si>
    <t>丸中　都</t>
  </si>
  <si>
    <t>・包装工程作業日報のメール配信。
毎日ファックスで来たものをスキャンしてpdf化しているため、手間に感じることがあります。
・無料の本での企業調査
95年版のためデータが古く、該当企業が載ってないことが多い。</t>
  </si>
  <si>
    <t>請求金額と入金額の照合。
ネットバンキングで抽出したデータを奉行クラウド内で自動照合できればミスも手間も省けるのではないかと思います。（既に方法があって、自分が知らないだけかもしれませんが）</t>
  </si>
  <si>
    <t>BeGardenの原価計上
（良い方法がないか現在、思案中です）</t>
  </si>
  <si>
    <t>図書　杏子</t>
  </si>
  <si>
    <t>「資材入荷状況一覧」を時々使用しますが生産管理部と管理部で共有で使用するファイルのため、どなたかが使用中ですと入力できません。入力できるタイミングをお互いに確認しあわないといけないため少し面倒だなと思います。あと使用していない時にその人が使用している表示が出ることがあります。</t>
  </si>
  <si>
    <t>「コスメファクトリー包装工程作業日報」を出荷送り状のチェックの際にロットナンバーや数量の確認に使用しています。現在コスメから本社へＦＡＸで受信し丸中さんがＰＤＦにしてメールでお送りいただいていますがときどき文字が見えにくい場合がありますのでエクセルなどになれば見やすくなり検索もできるかと思いますが、製造現場での作業の都合もあるかと思いますのでお互いに負担にならない感じで何かいい方法があればいいと思います。</t>
  </si>
  <si>
    <t>特に無いです。</t>
  </si>
  <si>
    <t>使用したことがないです。</t>
  </si>
  <si>
    <t>先日実施した業務改善ヒアリング（回答数：27名）の結果を踏まえ、DX推進に関してインフィニティ様へ相談したい内容を整理しましたので共有いたします。今回のヒアリングでは、主に以下の課題が確認されました。</t>
    <phoneticPr fontId="1"/>
  </si>
  <si>
    <t>① 紙帳票の電子化の進め方：製造記録や各種帳票の電子化にあたり、最適な手法・ツール・導入方法について相談</t>
    <phoneticPr fontId="1"/>
  </si>
  <si>
    <t>② Excel業務の効率化・自動化：集計・転記・資料作成などの定型業務について、自動化の進め方および優先順位の整理</t>
    <phoneticPr fontId="1"/>
  </si>
  <si>
    <t>③ 業務フローの整理およびDX推進の進め方：現状業務の可視化、DX推進の優先順位、段階的な導入ロードマップの策定</t>
    <phoneticPr fontId="1"/>
  </si>
  <si>
    <t>④ AIツールの業務活用に関する導入方針：AIを活用可能な業務領域の整理および、社内での安全な活用環境の構築方法</t>
    <phoneticPr fontId="1"/>
  </si>
  <si>
    <t>今回の相談では、いきなりシステム導入を決定するのではなく、「どの業務からDXを進めるべきか」「どのような進め方が現実的か」といった全体方針を整理することを目的としています。</t>
    <phoneticPr fontId="1"/>
  </si>
  <si>
    <t>∟初動はここから着手し、小さな範囲で小さな成果を出し、社内に「前向きな空気」を広げていく。</t>
  </si>
  <si>
    <t>　∟先ず、ヒアリング内容の中で、初動計画で着手したら良さそうな候補を共有したいです。</t>
  </si>
  <si>
    <t>　　∟その後、具体的にどんなツール/業務フローで実行していけそうか、草案を共有したいです。</t>
  </si>
  <si>
    <t>∟ペーパーレス化/DX推進の本旨に基づいて、②の進捗を圧迫しない範囲で並行して検討を進める。</t>
  </si>
  <si>
    <t>　∟作成内容/業務フローを鑑みて、ヒアリング内容の中から社内で相談しやすそうな候補を共有したいです。</t>
  </si>
  <si>
    <t>∟②①を実施していく中で社内の実情や温度感も踏まえて考察を深めていき、中盤以降に具体化する。</t>
  </si>
  <si>
    <t>Ⓐ MS365</t>
  </si>
  <si>
    <t>Ⓑ Claude、Genspark　他</t>
  </si>
  <si>
    <t>　　∟その後、具体的にどんなツール/業務フローで実行していけそうか、草案を共有したいです。　▶具体的な日程を相談したいです。</t>
    <phoneticPr fontId="1"/>
  </si>
  <si>
    <t>∟②①Ⓐを踏まえ、インフィニティ様おすすめツールの活用方法、それ以外でも検討したいツールなど、率直な意見を共有したいです。▶具体的な日程を相談したいです。</t>
    <phoneticPr fontId="1"/>
  </si>
  <si>
    <t>∟奉行クラウドユーザー･TPiCSヘビーユーザーは 既に導入必須の状況にあるため、その該当者を中心に、テスト的にでも良いので、Excelファイルを中心に 更新作業/情報共有の効率化を実施したいです。 ▶具体的な日程を相談したいです。</t>
    <phoneticPr fontId="1"/>
  </si>
  <si>
    <t>徳永さん</t>
    <rPh sb="0" eb="2">
      <t>トクナガ</t>
    </rPh>
    <phoneticPr fontId="25"/>
  </si>
  <si>
    <t>・サーバーのフリーズが多い、ローカルのSkype立ち上がりなど少し遅い印象</t>
    <rPh sb="24" eb="25">
      <t>タ</t>
    </rPh>
    <rPh sb="26" eb="27">
      <t>ア</t>
    </rPh>
    <rPh sb="31" eb="32">
      <t>スコ</t>
    </rPh>
    <rPh sb="33" eb="34">
      <t>オソ</t>
    </rPh>
    <rPh sb="35" eb="37">
      <t>インショウ</t>
    </rPh>
    <phoneticPr fontId="25"/>
  </si>
  <si>
    <t>・定期的にハイパーリンクがリンクしなくなる。</t>
    <phoneticPr fontId="25"/>
  </si>
  <si>
    <t>・定期的にデスクトップのアイコン位置シャッフルされる</t>
    <phoneticPr fontId="25"/>
  </si>
  <si>
    <t>東さん</t>
    <rPh sb="0" eb="1">
      <t>アズマ</t>
    </rPh>
    <phoneticPr fontId="25"/>
  </si>
  <si>
    <t>・たまにハイパーリンクが死亡する(どういった場合かは不明。突然発生する)</t>
  </si>
  <si>
    <t>・PDFの文字化け(最近落ち着いた気がしますが…)</t>
  </si>
  <si>
    <t>・概ねPDFが重い気がします</t>
  </si>
  <si>
    <t>・天気が悪いとPCの動きが鈍い</t>
  </si>
  <si>
    <t>東さん＆徳永さん</t>
    <rPh sb="0" eb="1">
      <t>アズマ</t>
    </rPh>
    <rPh sb="4" eb="6">
      <t>トクナガ</t>
    </rPh>
    <phoneticPr fontId="25"/>
  </si>
  <si>
    <t>・受注時に「クライアント名」「製品名」に読み仮名をつけるようにして欲しい。</t>
    <phoneticPr fontId="25"/>
  </si>
  <si>
    <t>　様々の物をフォルダ分けする際に名前が不明な事が多く困る為。</t>
    <phoneticPr fontId="25"/>
  </si>
  <si>
    <t>中島くん</t>
    <rPh sb="0" eb="2">
      <t>ナカシマ</t>
    </rPh>
    <phoneticPr fontId="25"/>
  </si>
  <si>
    <t>・ローカル、サーバー共にフリーズが多い</t>
    <rPh sb="10" eb="11">
      <t>トモ</t>
    </rPh>
    <phoneticPr fontId="25"/>
  </si>
  <si>
    <t>・パソコンの起動が遅く、シンクラの接続にも時間が掛かる</t>
    <phoneticPr fontId="25"/>
  </si>
  <si>
    <t>　電源入～デスクトップの画面表示まで約3分30秒</t>
    <rPh sb="1" eb="3">
      <t>デンゲン</t>
    </rPh>
    <rPh sb="3" eb="4">
      <t>イ</t>
    </rPh>
    <rPh sb="12" eb="14">
      <t>ガメン</t>
    </rPh>
    <rPh sb="14" eb="16">
      <t>ヒョウジ</t>
    </rPh>
    <rPh sb="18" eb="19">
      <t>ヤク</t>
    </rPh>
    <rPh sb="20" eb="21">
      <t>フン</t>
    </rPh>
    <rPh sb="23" eb="24">
      <t>ビョウ</t>
    </rPh>
    <phoneticPr fontId="25"/>
  </si>
  <si>
    <t>　Aサーバー接続アイコン選択～シンクラ画面まで約2分30秒</t>
    <rPh sb="6" eb="8">
      <t>セツゾク</t>
    </rPh>
    <rPh sb="12" eb="14">
      <t>センタク</t>
    </rPh>
    <rPh sb="19" eb="21">
      <t>ガメン</t>
    </rPh>
    <rPh sb="23" eb="24">
      <t>ヤク</t>
    </rPh>
    <rPh sb="25" eb="26">
      <t>フン</t>
    </rPh>
    <rPh sb="28" eb="29">
      <t>ビョウ</t>
    </rPh>
    <phoneticPr fontId="25"/>
  </si>
  <si>
    <t>・ローカルのブラウザやSkypeの起動が遅い(1～3分くらい掛かる)</t>
  </si>
  <si>
    <t>・複数のデータを見ながら処理を進めることが多いので、デュアルモニターだと作業効率が上がりそうです</t>
  </si>
  <si>
    <t>池田くん</t>
    <rPh sb="0" eb="2">
      <t>イケダ</t>
    </rPh>
    <phoneticPr fontId="25"/>
  </si>
  <si>
    <t>・Bサーバー基本的に重い</t>
    <phoneticPr fontId="25"/>
  </si>
  <si>
    <t>・ハンディの動作反応が年々遅くなっている</t>
  </si>
  <si>
    <t>　→データ蓄積されているため？</t>
  </si>
  <si>
    <t>馬場さん</t>
    <rPh sb="0" eb="2">
      <t>ババ</t>
    </rPh>
    <phoneticPr fontId="25"/>
  </si>
  <si>
    <t>・メールの検索がしにくく困ってます</t>
  </si>
  <si>
    <t>　これはOutlookだからなのか、Gmailだと変わるのはわかりません</t>
  </si>
  <si>
    <t>・エクセルのハイパーリンクはバグりやすいです</t>
    <phoneticPr fontId="25"/>
  </si>
  <si>
    <t>・デュアルモニターの対応ができてデータを並べられたら、効率は上がる可能性あります。</t>
  </si>
  <si>
    <t>　例えば、製造予定とTPCIS等を並べて確認や、充填バルクの製造予定並べて見れたら、</t>
  </si>
  <si>
    <t>　画面が広分確認はしやすいです。</t>
    <phoneticPr fontId="25"/>
  </si>
  <si>
    <t>・サーバーのフリーズが多い</t>
    <phoneticPr fontId="25"/>
  </si>
  <si>
    <t>・Rグループが重いのとSkypeも終わるタイミングで、チャットやweb会議、スケジュール管理を、</t>
  </si>
  <si>
    <t>　Microsoft系かGoogle系にまとめられたら、各自予定の登録や確認がしやすいかなと思います。</t>
  </si>
  <si>
    <t>島田主任</t>
    <rPh sb="0" eb="2">
      <t>シマダ</t>
    </rPh>
    <rPh sb="2" eb="4">
      <t>シュニン</t>
    </rPh>
    <phoneticPr fontId="25"/>
  </si>
  <si>
    <t>・メールの検索がしにくく困る。</t>
    <phoneticPr fontId="25"/>
  </si>
  <si>
    <t>・パソコンの起動が遅く、シンクラの接続にも時間が掛かる(中島くんと同等の所要時間)</t>
    <rPh sb="28" eb="30">
      <t>ナカシマ</t>
    </rPh>
    <rPh sb="33" eb="35">
      <t>ドウトウ</t>
    </rPh>
    <rPh sb="36" eb="38">
      <t>ショヨウ</t>
    </rPh>
    <rPh sb="38" eb="40">
      <t>ジカン</t>
    </rPh>
    <phoneticPr fontId="25"/>
  </si>
  <si>
    <t>　※島田主任と中島くんのPCスペックは同等です</t>
    <rPh sb="2" eb="4">
      <t>シマダ</t>
    </rPh>
    <rPh sb="4" eb="6">
      <t>シュニン</t>
    </rPh>
    <rPh sb="7" eb="9">
      <t>ナカシマ</t>
    </rPh>
    <rPh sb="19" eb="21">
      <t>ドウトウ</t>
    </rPh>
    <phoneticPr fontId="25"/>
  </si>
  <si>
    <t>・メーリングリストで受信したbouncesのせい？でメールの振り分けが僕には対応できなくなってます。</t>
    <rPh sb="10" eb="12">
      <t>ジュシン</t>
    </rPh>
    <phoneticPr fontId="25"/>
  </si>
  <si>
    <t>北村リーダー</t>
    <rPh sb="0" eb="2">
      <t>キタムラ</t>
    </rPh>
    <phoneticPr fontId="25"/>
  </si>
  <si>
    <t>・シンクラサーバーの動作が全体的に重い。（シンクラが原因なのか、PC自体が古いからなのかは分からないです）</t>
    <phoneticPr fontId="25"/>
  </si>
  <si>
    <t>・フリーズが頻発する。</t>
  </si>
  <si>
    <t>　↑社員のパソコン使用が集中する時間帯（主に9時頃、18時頃）は特に多く、長くフリーズする。</t>
  </si>
  <si>
    <t>小田係長</t>
    <rPh sb="0" eb="2">
      <t>オダ</t>
    </rPh>
    <rPh sb="2" eb="4">
      <t>カカリチョウ</t>
    </rPh>
    <phoneticPr fontId="25"/>
  </si>
  <si>
    <t>・サーバーにつながりにくい（特に朝９時ぐらい）</t>
    <phoneticPr fontId="25"/>
  </si>
  <si>
    <t>・ネットの環境か分からないが、現品票の発行（印刷）に</t>
    <phoneticPr fontId="25"/>
  </si>
  <si>
    <t>　時間がかかる。</t>
    <phoneticPr fontId="25"/>
  </si>
  <si>
    <t>・朝の９時以外でもメールやTPiCS・PI-naviが遅い時がある。</t>
    <phoneticPr fontId="25"/>
  </si>
  <si>
    <t>　時間は見てないです。あきらめて製造に戻る時もあります。</t>
  </si>
  <si>
    <t>・要望はパソコンはスムーズに使いたい。</t>
    <phoneticPr fontId="25"/>
  </si>
  <si>
    <t>　製造してる合間に打ち込んだりメール見ることが</t>
    <phoneticPr fontId="25"/>
  </si>
  <si>
    <t>　あるので、ネットがつながらないとかあると、作業効率が悪いです。</t>
    <rPh sb="22" eb="24">
      <t>サギョウ</t>
    </rPh>
    <rPh sb="24" eb="26">
      <t>コウリツ</t>
    </rPh>
    <rPh sb="27" eb="28">
      <t>ワル</t>
    </rPh>
    <phoneticPr fontId="25"/>
  </si>
  <si>
    <t>内藤主任</t>
    <rPh sb="0" eb="2">
      <t>ナイトウ</t>
    </rPh>
    <rPh sb="2" eb="4">
      <t>シュニン</t>
    </rPh>
    <phoneticPr fontId="25"/>
  </si>
  <si>
    <t>私的には以前に容量削減の対策をやってからフリーズすることがかなり改善したように思います。</t>
    <phoneticPr fontId="25"/>
  </si>
  <si>
    <t>ただ大川リーダー、伊澤Ｌは今でも動作が重たくなる時はあるとのことです。</t>
  </si>
  <si>
    <t>あと製造フォルダの中はかなりフォルダ数多く複雑です。</t>
    <phoneticPr fontId="25"/>
  </si>
  <si>
    <t>「製造用」とか「元製造」とか「製造用１」がありあまり分別もできていないと思います。</t>
    <phoneticPr fontId="25"/>
  </si>
  <si>
    <t>探すのが大変なので自分の必要なものはショートカットを作成しまとめていますが</t>
    <phoneticPr fontId="25"/>
  </si>
  <si>
    <t>大昔のデータも多く処分していいかわからないので皆さん放置状態になっているのかと思います。</t>
    <phoneticPr fontId="25"/>
  </si>
  <si>
    <t>小田主任</t>
    <rPh sb="0" eb="2">
      <t>オダ</t>
    </rPh>
    <rPh sb="2" eb="4">
      <t>シュニン</t>
    </rPh>
    <phoneticPr fontId="25"/>
  </si>
  <si>
    <t>サーバーの動作が遅く、すぐ切断される</t>
    <rPh sb="5" eb="7">
      <t>ドウサ</t>
    </rPh>
    <rPh sb="8" eb="9">
      <t>オソ</t>
    </rPh>
    <rPh sb="13" eb="15">
      <t>セツダン</t>
    </rPh>
    <phoneticPr fontId="25"/>
  </si>
  <si>
    <t>移動していないのにWi-fiが途切れ、他のWi-fiにつながってしまう</t>
    <rPh sb="0" eb="2">
      <t>イドウ</t>
    </rPh>
    <rPh sb="15" eb="17">
      <t>トギ</t>
    </rPh>
    <rPh sb="19" eb="20">
      <t>ホカ</t>
    </rPh>
    <phoneticPr fontId="25"/>
  </si>
  <si>
    <t>開発、BeGardenの出勤時刻9時頃が最もサーバーにつながりにくい</t>
    <rPh sb="0" eb="2">
      <t>カイハツ</t>
    </rPh>
    <rPh sb="12" eb="14">
      <t>シュッキン</t>
    </rPh>
    <rPh sb="14" eb="16">
      <t>ジコク</t>
    </rPh>
    <rPh sb="17" eb="18">
      <t>ジ</t>
    </rPh>
    <rPh sb="18" eb="19">
      <t>コロ</t>
    </rPh>
    <rPh sb="20" eb="21">
      <t>モット</t>
    </rPh>
    <phoneticPr fontId="25"/>
  </si>
  <si>
    <t>東口リーダー</t>
    <rPh sb="0" eb="2">
      <t>ヒガシグチ</t>
    </rPh>
    <phoneticPr fontId="25"/>
  </si>
  <si>
    <t>サーバーの動作が遅く、切断されがち</t>
    <rPh sb="5" eb="7">
      <t>ドウサ</t>
    </rPh>
    <rPh sb="8" eb="9">
      <t>オソ</t>
    </rPh>
    <rPh sb="11" eb="13">
      <t>セツダン</t>
    </rPh>
    <phoneticPr fontId="25"/>
  </si>
  <si>
    <t>ネット環境が関係あるか分かりませんが以前からタブレットの動作は</t>
  </si>
  <si>
    <t>常に重いのでそちらも改善できればと思います。</t>
  </si>
  <si>
    <t>図書</t>
    <rPh sb="0" eb="2">
      <t>トショ</t>
    </rPh>
    <phoneticPr fontId="36"/>
  </si>
  <si>
    <t>・サーバーのファンの音が激しい時と静かな時があり、激しい時は重くなっている気がする</t>
    <rPh sb="10" eb="11">
      <t>オト</t>
    </rPh>
    <rPh sb="12" eb="13">
      <t>ハゲ</t>
    </rPh>
    <rPh sb="15" eb="16">
      <t>トキ</t>
    </rPh>
    <rPh sb="17" eb="18">
      <t>シズ</t>
    </rPh>
    <rPh sb="20" eb="21">
      <t>トキ</t>
    </rPh>
    <rPh sb="25" eb="26">
      <t>ハゲ</t>
    </rPh>
    <rPh sb="28" eb="29">
      <t>トキ</t>
    </rPh>
    <rPh sb="30" eb="31">
      <t>オモ</t>
    </rPh>
    <rPh sb="37" eb="38">
      <t>キ</t>
    </rPh>
    <phoneticPr fontId="36"/>
  </si>
  <si>
    <t>・一定期間作業していない時（昼休みなど）ログイン画面が表示され入るとプリンター指定が解除されて毎回ＰＤＦ指定になる</t>
    <rPh sb="1" eb="3">
      <t>イッテイ</t>
    </rPh>
    <rPh sb="3" eb="5">
      <t>キカン</t>
    </rPh>
    <rPh sb="5" eb="7">
      <t>サギョウ</t>
    </rPh>
    <rPh sb="12" eb="13">
      <t>トキ</t>
    </rPh>
    <rPh sb="14" eb="16">
      <t>ヒルヤス</t>
    </rPh>
    <rPh sb="24" eb="26">
      <t>ガメン</t>
    </rPh>
    <rPh sb="27" eb="29">
      <t>ヒョウジ</t>
    </rPh>
    <rPh sb="31" eb="32">
      <t>ハイ</t>
    </rPh>
    <rPh sb="39" eb="41">
      <t>シテイ</t>
    </rPh>
    <rPh sb="42" eb="44">
      <t>カイジョ</t>
    </rPh>
    <rPh sb="47" eb="49">
      <t>マイカイ</t>
    </rPh>
    <rPh sb="52" eb="54">
      <t>シテイ</t>
    </rPh>
    <phoneticPr fontId="36"/>
  </si>
  <si>
    <t>・会計処理をする際、管理部用のノートＰＣでサーバー接続しCSVデータを取り込んでいますが</t>
    <rPh sb="1" eb="3">
      <t>カイケイ</t>
    </rPh>
    <rPh sb="3" eb="5">
      <t>ショリ</t>
    </rPh>
    <rPh sb="8" eb="9">
      <t>サイ</t>
    </rPh>
    <rPh sb="10" eb="12">
      <t>カンリ</t>
    </rPh>
    <rPh sb="12" eb="13">
      <t>ブ</t>
    </rPh>
    <rPh sb="13" eb="14">
      <t>ヨウ</t>
    </rPh>
    <rPh sb="25" eb="27">
      <t>セツゾク</t>
    </rPh>
    <rPh sb="35" eb="36">
      <t>ト</t>
    </rPh>
    <rPh sb="37" eb="38">
      <t>コ</t>
    </rPh>
    <phoneticPr fontId="36"/>
  </si>
  <si>
    <t>　デスクトップPCに戻りログインするとデスクトップ上のアイコンの配列がバラバラになり少しストレスです</t>
    <rPh sb="10" eb="11">
      <t>モド</t>
    </rPh>
    <rPh sb="25" eb="26">
      <t>ジョウ</t>
    </rPh>
    <rPh sb="32" eb="34">
      <t>ハイレツ</t>
    </rPh>
    <rPh sb="42" eb="43">
      <t>スコ</t>
    </rPh>
    <phoneticPr fontId="36"/>
  </si>
  <si>
    <t>･サーバーの置いてある場所が暖房の風が直接あたっていて熱くなっているのではないかと思います。</t>
    <rPh sb="6" eb="7">
      <t>オ</t>
    </rPh>
    <rPh sb="11" eb="13">
      <t>バショ</t>
    </rPh>
    <rPh sb="14" eb="16">
      <t>ダンボウ</t>
    </rPh>
    <rPh sb="17" eb="18">
      <t>カゼ</t>
    </rPh>
    <rPh sb="19" eb="21">
      <t>チョクセツ</t>
    </rPh>
    <rPh sb="27" eb="28">
      <t>アツ</t>
    </rPh>
    <rPh sb="41" eb="42">
      <t>オモ</t>
    </rPh>
    <phoneticPr fontId="36"/>
  </si>
  <si>
    <t>越智リーダー</t>
    <rPh sb="0" eb="2">
      <t>オチ</t>
    </rPh>
    <phoneticPr fontId="36"/>
  </si>
  <si>
    <t>・毎日最初の一回共有フォルダにはじかれる</t>
  </si>
  <si>
    <t>・毎日プリンターを選択する必要がある</t>
  </si>
  <si>
    <t>　　→既定にできるのは毎日設定</t>
  </si>
  <si>
    <t>　　→既定にできないのは都度プリンター選択</t>
  </si>
  <si>
    <t>・印刷するとき用紙設定がカスタムになってるか毎回確認しないといけない</t>
  </si>
  <si>
    <t>・テプラの印刷がサーバーでできない</t>
  </si>
  <si>
    <t>　　ローカルでアプリ？いれても次の日には消える</t>
  </si>
  <si>
    <t>・昔よりは改善されてますがPCが固まったり遅かったりする</t>
  </si>
  <si>
    <t>・事務長がサーバーになかなか入れないときがある</t>
  </si>
  <si>
    <t>丸中さん</t>
    <rPh sb="0" eb="2">
      <t>マルナカ</t>
    </rPh>
    <phoneticPr fontId="36"/>
  </si>
  <si>
    <t>･アマゾンサイトなどへ接続している時、サイト内の動きがとても遅いです。</t>
    <rPh sb="11" eb="13">
      <t>セツゾク</t>
    </rPh>
    <rPh sb="17" eb="18">
      <t>トキ</t>
    </rPh>
    <rPh sb="22" eb="23">
      <t>ナイ</t>
    </rPh>
    <rPh sb="24" eb="25">
      <t>ウゴ</t>
    </rPh>
    <rPh sb="30" eb="31">
      <t>オソ</t>
    </rPh>
    <phoneticPr fontId="36"/>
  </si>
  <si>
    <t>･突然サーバーからはじき出される。ログインしなおすと作業途中の画面には戻れます。</t>
    <rPh sb="1" eb="3">
      <t>トツゼン</t>
    </rPh>
    <rPh sb="12" eb="13">
      <t>ダ</t>
    </rPh>
    <rPh sb="26" eb="28">
      <t>サギョウ</t>
    </rPh>
    <rPh sb="28" eb="30">
      <t>トチュウ</t>
    </rPh>
    <rPh sb="31" eb="33">
      <t>ガメン</t>
    </rPh>
    <rPh sb="35" eb="36">
      <t>モド</t>
    </rPh>
    <phoneticPr fontId="36"/>
  </si>
  <si>
    <t>中土</t>
  </si>
  <si>
    <t>サーバ本体の設置環境の改善。電圧・換気・空調の効いた鍵付き個室へ設置したい。</t>
  </si>
  <si>
    <t>ブラウザ処理の負荷に耐えれていない</t>
  </si>
  <si>
    <t>接続・描写遅延</t>
  </si>
  <si>
    <t>共有フォルダが複雑</t>
  </si>
  <si>
    <t>各部署ローカルバックアップ強化</t>
  </si>
  <si>
    <t>ストレージの最適化 データアクセスの高速化</t>
  </si>
  <si>
    <t>昼頃・夕方に遅延がする</t>
  </si>
  <si>
    <t>受注が多い日に受注管理システム（ブラウザ）からデータをDLすると重たい</t>
  </si>
  <si>
    <t>エクセルの操作が固まりやすい</t>
  </si>
  <si>
    <t>酒井</t>
  </si>
  <si>
    <t>ブラウザ上の業務が多い中、固まることで遅延してしまう。</t>
  </si>
  <si>
    <t>近藤</t>
    <rPh sb="0" eb="2">
      <t>コンドウ</t>
    </rPh>
    <phoneticPr fontId="36"/>
  </si>
  <si>
    <t>・朝立ち上げ時、アウトルックの起動に5分程かかる</t>
    <rPh sb="1" eb="2">
      <t>アサ</t>
    </rPh>
    <rPh sb="2" eb="3">
      <t>タ</t>
    </rPh>
    <rPh sb="4" eb="5">
      <t>ア</t>
    </rPh>
    <rPh sb="6" eb="7">
      <t>ジ</t>
    </rPh>
    <rPh sb="15" eb="17">
      <t>キドウ</t>
    </rPh>
    <rPh sb="19" eb="20">
      <t>フン</t>
    </rPh>
    <rPh sb="20" eb="21">
      <t>ホド</t>
    </rPh>
    <phoneticPr fontId="36"/>
  </si>
  <si>
    <t>・エクセル・ワードにて、タイピングした内容が反映されるまでのタイムラグがかなりある時がある。</t>
    <rPh sb="19" eb="21">
      <t>ナイヨウ</t>
    </rPh>
    <rPh sb="22" eb="24">
      <t>ハンエイ</t>
    </rPh>
    <rPh sb="41" eb="42">
      <t>トキ</t>
    </rPh>
    <phoneticPr fontId="36"/>
  </si>
  <si>
    <t>・重すぎて、文字が明瞭ではない時がある。ボケてる。</t>
    <rPh sb="1" eb="2">
      <t>オモ</t>
    </rPh>
    <rPh sb="6" eb="8">
      <t>モジ</t>
    </rPh>
    <rPh sb="9" eb="11">
      <t>メイリョウ</t>
    </rPh>
    <rPh sb="15" eb="16">
      <t>トキ</t>
    </rPh>
    <phoneticPr fontId="36"/>
  </si>
  <si>
    <t>・一定の手順で必ずエクセルとワードが落ちることがある。</t>
    <rPh sb="1" eb="3">
      <t>イッテイ</t>
    </rPh>
    <rPh sb="4" eb="6">
      <t>テジュン</t>
    </rPh>
    <rPh sb="7" eb="8">
      <t>カナラ</t>
    </rPh>
    <rPh sb="18" eb="19">
      <t>オ</t>
    </rPh>
    <phoneticPr fontId="36"/>
  </si>
  <si>
    <t>・アウトルックの検索が遅い</t>
    <rPh sb="8" eb="10">
      <t>ケンサク</t>
    </rPh>
    <rPh sb="11" eb="12">
      <t>オソ</t>
    </rPh>
    <phoneticPr fontId="36"/>
  </si>
  <si>
    <t>宗近</t>
    <rPh sb="0" eb="2">
      <t>ムネチカ</t>
    </rPh>
    <phoneticPr fontId="36"/>
  </si>
  <si>
    <t>・慢性的に動作が遅くてフリーズします。</t>
  </si>
  <si>
    <t>　書類（処方、提案書、報告書、成績書、指図書など）作成、メール対応、調査など</t>
  </si>
  <si>
    <t>本社で作業していた時と比べ、完了するまでの時間が長くなっています。</t>
  </si>
  <si>
    <t>・コスメは本社に比べ不具合の時間が多いです。</t>
  </si>
  <si>
    <t>山下</t>
    <rPh sb="0" eb="2">
      <t>ヤマシタ</t>
    </rPh>
    <phoneticPr fontId="36"/>
  </si>
  <si>
    <t>・急に切れる。</t>
  </si>
  <si>
    <t>・Outlook使用時に急に落ちる。</t>
  </si>
  <si>
    <t>・Word、EXcel使用時に急に落ちる。</t>
  </si>
  <si>
    <t>・急に止まる。</t>
  </si>
  <si>
    <t>・タイピングが遅れて反応。</t>
  </si>
  <si>
    <t>・ログインできない。</t>
  </si>
  <si>
    <t>直木</t>
    <rPh sb="0" eb="2">
      <t>ナオキ</t>
    </rPh>
    <phoneticPr fontId="36"/>
  </si>
  <si>
    <t>・サーバーが重い、遅い。毎日午前9時と午後6時前後は必ず発生。その他の時間帯も突発的に発生。</t>
    <rPh sb="6" eb="7">
      <t>オモ</t>
    </rPh>
    <rPh sb="9" eb="10">
      <t>オソ</t>
    </rPh>
    <rPh sb="12" eb="14">
      <t>マイニチ</t>
    </rPh>
    <rPh sb="14" eb="16">
      <t>ゴゼン</t>
    </rPh>
    <rPh sb="17" eb="18">
      <t>ジ</t>
    </rPh>
    <rPh sb="19" eb="21">
      <t>ゴゴ</t>
    </rPh>
    <rPh sb="22" eb="23">
      <t>ジ</t>
    </rPh>
    <rPh sb="23" eb="25">
      <t>ゼンゴ</t>
    </rPh>
    <rPh sb="26" eb="27">
      <t>カナラ</t>
    </rPh>
    <rPh sb="28" eb="30">
      <t>ハッセイ</t>
    </rPh>
    <rPh sb="33" eb="34">
      <t>タ</t>
    </rPh>
    <rPh sb="35" eb="38">
      <t>ジカンタイ</t>
    </rPh>
    <rPh sb="39" eb="42">
      <t>トッパツテキ</t>
    </rPh>
    <rPh sb="43" eb="45">
      <t>ハッセイ</t>
    </rPh>
    <phoneticPr fontId="36"/>
  </si>
  <si>
    <t>・エクセル、PDF使用時は遅くなりやすい。</t>
    <rPh sb="9" eb="11">
      <t>シヨウ</t>
    </rPh>
    <rPh sb="11" eb="12">
      <t>ジ</t>
    </rPh>
    <rPh sb="13" eb="14">
      <t>オソ</t>
    </rPh>
    <phoneticPr fontId="36"/>
  </si>
  <si>
    <t>・サーバーが止まることで打ち損じや誤入力が発生しやすくなっている。電子管理が増える中で、この現象は致命的だと思う。</t>
    <rPh sb="6" eb="7">
      <t>ト</t>
    </rPh>
    <rPh sb="12" eb="13">
      <t>ウ</t>
    </rPh>
    <rPh sb="14" eb="15">
      <t>ソン</t>
    </rPh>
    <rPh sb="17" eb="18">
      <t>ゴ</t>
    </rPh>
    <rPh sb="18" eb="20">
      <t>ニュウリョク</t>
    </rPh>
    <rPh sb="21" eb="23">
      <t>ハッセイ</t>
    </rPh>
    <phoneticPr fontId="36"/>
  </si>
  <si>
    <t>・パソコンが止まることで、進行中の作業が一旦止まる。再開時に誤入力していないか確認することからスタートするので、作業効率が低下。</t>
    <rPh sb="6" eb="7">
      <t>ト</t>
    </rPh>
    <rPh sb="13" eb="16">
      <t>シンコウチュウ</t>
    </rPh>
    <rPh sb="17" eb="19">
      <t>サギョウ</t>
    </rPh>
    <rPh sb="20" eb="22">
      <t>イッタン</t>
    </rPh>
    <rPh sb="22" eb="23">
      <t>ト</t>
    </rPh>
    <rPh sb="26" eb="28">
      <t>サイカイ</t>
    </rPh>
    <rPh sb="28" eb="29">
      <t>ジ</t>
    </rPh>
    <rPh sb="30" eb="33">
      <t>ゴニュウリョク</t>
    </rPh>
    <rPh sb="39" eb="41">
      <t>カクニン</t>
    </rPh>
    <rPh sb="56" eb="58">
      <t>サギョウ</t>
    </rPh>
    <rPh sb="58" eb="60">
      <t>コウリツ</t>
    </rPh>
    <rPh sb="61" eb="63">
      <t>テイカ</t>
    </rPh>
    <phoneticPr fontId="36"/>
  </si>
  <si>
    <t>・グループメールが振り分けられないのが困る。</t>
    <rPh sb="9" eb="10">
      <t>フ</t>
    </rPh>
    <rPh sb="11" eb="12">
      <t>ワ</t>
    </rPh>
    <rPh sb="19" eb="20">
      <t>コマ</t>
    </rPh>
    <phoneticPr fontId="36"/>
  </si>
  <si>
    <t>津田</t>
    <rPh sb="0" eb="2">
      <t>ツダ</t>
    </rPh>
    <phoneticPr fontId="36"/>
  </si>
  <si>
    <t>・サーバーの動作が重い。</t>
  </si>
  <si>
    <t>・Ｂサーバーから突然はじき出される。ログインしなおすと作業途中の画面には戻れる。</t>
  </si>
  <si>
    <t>矢野</t>
    <rPh sb="0" eb="2">
      <t>ヤノ</t>
    </rPh>
    <phoneticPr fontId="36"/>
  </si>
  <si>
    <t>・シンクライアントサーバーの動きが悪く、何度もフリーズする日がある</t>
  </si>
  <si>
    <t>・動きが悪い日はその状態が一日中続くことが多く、仕事の作業効率が悪くなる</t>
  </si>
  <si>
    <t>（以前に比べると頻度は落ち着いているように感じます…）</t>
  </si>
  <si>
    <t>・シンクライアントからはじき出されることが数日おきにある</t>
  </si>
  <si>
    <t>・最近PDFの立ち上がりが遅い</t>
  </si>
  <si>
    <t>・outlookのメールの検索が遅い</t>
  </si>
  <si>
    <t>西村</t>
    <rPh sb="0" eb="2">
      <t>ニシムラ</t>
    </rPh>
    <phoneticPr fontId="36"/>
  </si>
  <si>
    <t>・サーバーが重く、フリーズが多い</t>
  </si>
  <si>
    <t>・ログイン情報が合っているのにサーバーに入れない。</t>
  </si>
  <si>
    <t>（4,5回ログインし直すと入れる）</t>
  </si>
  <si>
    <t>・サーバーに関係あるか分かりませんが、開いている全てのエクスプローラーが勝手に閉じる</t>
  </si>
  <si>
    <t>橋口</t>
  </si>
  <si>
    <t>・サーバーへ入るのに時間がかかる</t>
  </si>
  <si>
    <t>・サーバー内で作業中、画面が真っ暗になり強制終了せざるを得ない</t>
  </si>
  <si>
    <t>・Outlookの動きが遅い、フリーズする</t>
  </si>
  <si>
    <t>・Excelの動きが遅い、フリーズして消えることがある</t>
  </si>
  <si>
    <t>・インターネット検索に時間がかかる、サーバー外でも時間がかかる</t>
  </si>
  <si>
    <t>接続/動作</t>
    <rPh sb="0" eb="2">
      <t>セツゾク</t>
    </rPh>
    <rPh sb="3" eb="5">
      <t>ドウサ</t>
    </rPh>
    <phoneticPr fontId="1"/>
  </si>
  <si>
    <t>小田勇雄</t>
    <rPh sb="0" eb="2">
      <t>オダ</t>
    </rPh>
    <rPh sb="2" eb="4">
      <t>イサオ</t>
    </rPh>
    <phoneticPr fontId="25"/>
  </si>
  <si>
    <t>回答時期</t>
    <rPh sb="0" eb="2">
      <t>カイトウ</t>
    </rPh>
    <rPh sb="2" eb="4">
      <t>ジキ</t>
    </rPh>
    <phoneticPr fontId="1"/>
  </si>
  <si>
    <t>氏名</t>
    <rPh sb="0" eb="2">
      <t>シメイ</t>
    </rPh>
    <phoneticPr fontId="1"/>
  </si>
  <si>
    <t>原文</t>
    <rPh sb="0" eb="2">
      <t>ゲンブン</t>
    </rPh>
    <phoneticPr fontId="1"/>
  </si>
  <si>
    <t>・受注時に「クライアント名」「製品名」に読み仮名をつけるようにして欲しい。様々の物をフォルダ分けする際に名前が不明な事が多く困る為。</t>
    <phoneticPr fontId="25"/>
  </si>
  <si>
    <t>・パソコンの起動が遅く、シンクラの接続にも時間が掛かる、電源入～デスクトップの画面表示まで約3分30秒、Aサーバー接続アイコン選択～シンクラ画面まで約2分30秒</t>
    <phoneticPr fontId="25"/>
  </si>
  <si>
    <t>・ハンディの動作反応が年々遅くなっている→データ蓄積されているため？</t>
    <phoneticPr fontId="1"/>
  </si>
  <si>
    <t>・メールの検索がしにくく困ってます。これはOutlookだからなのか、Gmailだと変わるのはわかりません。</t>
    <phoneticPr fontId="1"/>
  </si>
  <si>
    <t>・Rグループが重いのとSkypeも終わるタイミングで、チャットやweb会議、スケジュール管理を、　Microsoft系かGoogle系にまとめられたら、各自予定の登録や確認がしやすいかなと思います。</t>
  </si>
  <si>
    <t>・パソコンの起動が遅く、シンクラの接続にも時間が掛かる(中島くんと同等の所要時間)　※島田主任と中島くんのPCスペックは同等です</t>
    <rPh sb="28" eb="30">
      <t>ナカシマ</t>
    </rPh>
    <rPh sb="33" eb="35">
      <t>ドウトウ</t>
    </rPh>
    <rPh sb="36" eb="38">
      <t>ショヨウ</t>
    </rPh>
    <rPh sb="38" eb="40">
      <t>ジカン</t>
    </rPh>
    <phoneticPr fontId="25"/>
  </si>
  <si>
    <t>・ネットの環境か分からないが、現品票の発行（印刷）に時間がかかる。</t>
    <phoneticPr fontId="25"/>
  </si>
  <si>
    <t>・朝の９時以外でもメールやTPiCS・PI-naviが遅い時がある。時間は見てないです。あきらめて製造に戻る時もあります。</t>
    <phoneticPr fontId="25"/>
  </si>
  <si>
    <t>製造フォルダの中はかなりフォルダ数多く複雑です。「製造用」とか「元製造」とか「製造用１」がありあまり分別もできていないと思います。探すのが大変なので自分の必要なものはショートカットを作成しまとめていますが大昔のデータも多く処分していいかわからないので皆さん放置状態になっているのかと思います。</t>
    <phoneticPr fontId="1"/>
  </si>
  <si>
    <t>私的には以前に容量削減の対策をやってからフリーズすることがかなり改善したように思います。ただ大川リーダー、伊澤Ｌは今でも動作が重たくなる時はあるとのことです。</t>
    <phoneticPr fontId="25"/>
  </si>
  <si>
    <t>移動していないのにWi-fiが途切れ、他のWi-fiにつながってしまう。</t>
    <rPh sb="0" eb="2">
      <t>イドウ</t>
    </rPh>
    <rPh sb="15" eb="17">
      <t>トギ</t>
    </rPh>
    <rPh sb="19" eb="20">
      <t>ホカ</t>
    </rPh>
    <phoneticPr fontId="25"/>
  </si>
  <si>
    <t>サーバーの動作が遅く、すぐ切断される。開発、BeGardenの出勤時刻9時頃が最もサーバーにつながりにくい。</t>
    <phoneticPr fontId="1"/>
  </si>
  <si>
    <t>ネット環境が関係あるか分かりませんが以前からタブレットの動作は常に重いのでそちらも改善できればと思います。</t>
    <phoneticPr fontId="1"/>
  </si>
  <si>
    <t>・会計処理をする際、管理部用のノートＰＣでサーバー接続しCSVデータを取り込んでいますが、デスクトップPCに戻りログインするとデスクトップ上のアイコンの配列がバラバラになり少しストレスです</t>
    <rPh sb="1" eb="3">
      <t>カイケイ</t>
    </rPh>
    <rPh sb="3" eb="5">
      <t>ショリ</t>
    </rPh>
    <rPh sb="8" eb="9">
      <t>サイ</t>
    </rPh>
    <rPh sb="10" eb="12">
      <t>カンリ</t>
    </rPh>
    <rPh sb="12" eb="13">
      <t>ブ</t>
    </rPh>
    <rPh sb="13" eb="14">
      <t>ヨウ</t>
    </rPh>
    <rPh sb="25" eb="27">
      <t>セツゾク</t>
    </rPh>
    <rPh sb="35" eb="36">
      <t>ト</t>
    </rPh>
    <rPh sb="37" eb="38">
      <t>コ</t>
    </rPh>
    <phoneticPr fontId="36"/>
  </si>
  <si>
    <t>・毎日プリンターを選択する必要がある　→既定にできるのは毎日設定　→既定にできないのは都度プリンター選択</t>
    <phoneticPr fontId="1"/>
  </si>
  <si>
    <t>・テプラの印刷がサーバーでできない　ローカルでアプリ？いれても次の日には消える</t>
    <phoneticPr fontId="1"/>
  </si>
  <si>
    <t>・動きが悪い日はその状態が一日中続くことが多く、仕事の作業効率が悪くなる（以前に比べると頻度は落ち着いているように感じます…）</t>
    <phoneticPr fontId="1"/>
  </si>
  <si>
    <t>・ログイン情報が合っているのにサーバーに入れない。（4,5回ログインし直すと入れる）</t>
    <phoneticPr fontId="1"/>
  </si>
  <si>
    <t>殆ど使わない</t>
    <rPh sb="0" eb="1">
      <t>ホトン</t>
    </rPh>
    <rPh sb="2" eb="3">
      <t>ツカ</t>
    </rPh>
    <phoneticPr fontId="12"/>
  </si>
  <si>
    <t>週に1～2日は重い時がある</t>
    <rPh sb="0" eb="1">
      <t>シュウ</t>
    </rPh>
    <rPh sb="5" eb="6">
      <t>ニチ</t>
    </rPh>
    <rPh sb="7" eb="8">
      <t>オモ</t>
    </rPh>
    <rPh sb="9" eb="10">
      <t>トキ</t>
    </rPh>
    <phoneticPr fontId="12"/>
  </si>
  <si>
    <t>1～2個</t>
    <rPh sb="3" eb="4">
      <t>コ</t>
    </rPh>
    <phoneticPr fontId="12"/>
  </si>
  <si>
    <t>履歴を自動で削除している</t>
    <rPh sb="0" eb="2">
      <t>リレキ</t>
    </rPh>
    <rPh sb="3" eb="5">
      <t>ジドウ</t>
    </rPh>
    <rPh sb="6" eb="8">
      <t>サクジョ</t>
    </rPh>
    <phoneticPr fontId="12"/>
  </si>
  <si>
    <t>ID・パスワードを保存していない</t>
    <rPh sb="9" eb="11">
      <t>ホゾン</t>
    </rPh>
    <phoneticPr fontId="12"/>
  </si>
  <si>
    <t>シンコーのみ使う</t>
    <rPh sb="6" eb="7">
      <t>ツカ</t>
    </rPh>
    <phoneticPr fontId="12"/>
  </si>
  <si>
    <t>-</t>
  </si>
  <si>
    <t>データ入力・SUM関数がメイン</t>
    <rPh sb="3" eb="5">
      <t>ニュウリョク</t>
    </rPh>
    <rPh sb="9" eb="11">
      <t>カンスウ</t>
    </rPh>
    <phoneticPr fontId="12"/>
  </si>
  <si>
    <t>PDFを閲覧する</t>
    <rPh sb="4" eb="6">
      <t>エツラン</t>
    </rPh>
    <phoneticPr fontId="12"/>
  </si>
  <si>
    <t>アカウントを持っていない</t>
    <rPh sb="6" eb="7">
      <t>モ</t>
    </rPh>
    <phoneticPr fontId="12"/>
  </si>
  <si>
    <t>使わない</t>
    <rPh sb="0" eb="1">
      <t>ツカ</t>
    </rPh>
    <phoneticPr fontId="12"/>
  </si>
  <si>
    <t>ブラウザで使う</t>
    <rPh sb="5" eb="6">
      <t>ツカ</t>
    </rPh>
    <phoneticPr fontId="12"/>
  </si>
  <si>
    <t>打刻・スケジュール申請のみ</t>
    <rPh sb="0" eb="2">
      <t>ダコク</t>
    </rPh>
    <rPh sb="9" eb="11">
      <t>シンセイ</t>
    </rPh>
    <phoneticPr fontId="12"/>
  </si>
  <si>
    <t>個人専用PCを使う</t>
    <rPh sb="0" eb="2">
      <t>コジン</t>
    </rPh>
    <rPh sb="2" eb="4">
      <t>センヨウ</t>
    </rPh>
    <rPh sb="7" eb="8">
      <t>ツカ</t>
    </rPh>
    <phoneticPr fontId="12"/>
  </si>
  <si>
    <t>主に有線LANで接続する</t>
    <rPh sb="0" eb="1">
      <t>オモ</t>
    </rPh>
    <rPh sb="2" eb="4">
      <t>ユウセン</t>
    </rPh>
    <rPh sb="8" eb="10">
      <t>セツゾク</t>
    </rPh>
    <phoneticPr fontId="12"/>
  </si>
  <si>
    <t>OSが3分以内に起動する</t>
    <rPh sb="4" eb="5">
      <t>フン</t>
    </rPh>
    <rPh sb="5" eb="7">
      <t>イナイ</t>
    </rPh>
    <rPh sb="8" eb="10">
      <t>キドウ</t>
    </rPh>
    <phoneticPr fontId="12"/>
  </si>
  <si>
    <t>アクセス権限なし</t>
    <rPh sb="4" eb="6">
      <t>ケンゲン</t>
    </rPh>
    <phoneticPr fontId="12"/>
  </si>
  <si>
    <t>継続使用</t>
    <rPh sb="0" eb="2">
      <t>ケイゾク</t>
    </rPh>
    <rPh sb="2" eb="4">
      <t>シヨウ</t>
    </rPh>
    <phoneticPr fontId="37"/>
  </si>
  <si>
    <t>無</t>
    <rPh sb="0" eb="1">
      <t>ナ</t>
    </rPh>
    <phoneticPr fontId="12"/>
  </si>
  <si>
    <t>標準/低稼働</t>
    <rPh sb="0" eb="2">
      <t>ヒョウジュン</t>
    </rPh>
    <rPh sb="3" eb="6">
      <t>テイカドウ</t>
    </rPh>
    <phoneticPr fontId="8"/>
  </si>
  <si>
    <t>共用</t>
    <rPh sb="0" eb="2">
      <t>キョウヨウ</t>
    </rPh>
    <phoneticPr fontId="12"/>
  </si>
  <si>
    <t>1次</t>
    <rPh sb="1" eb="2">
      <t>ジ</t>
    </rPh>
    <phoneticPr fontId="12"/>
  </si>
  <si>
    <t>0 現場作業が主要業務</t>
    <rPh sb="2" eb="4">
      <t>ゲンバ</t>
    </rPh>
    <rPh sb="4" eb="6">
      <t>サギョウ</t>
    </rPh>
    <phoneticPr fontId="12"/>
  </si>
  <si>
    <t>1週間で1～2日は使う</t>
    <rPh sb="1" eb="3">
      <t>シュウカン</t>
    </rPh>
    <rPh sb="7" eb="8">
      <t>ニチ</t>
    </rPh>
    <rPh sb="9" eb="10">
      <t>ツカ</t>
    </rPh>
    <phoneticPr fontId="12"/>
  </si>
  <si>
    <t>主に出勤直後・退勤前に使う</t>
    <rPh sb="0" eb="1">
      <t>オモ</t>
    </rPh>
    <rPh sb="2" eb="4">
      <t>シュッキン</t>
    </rPh>
    <rPh sb="4" eb="6">
      <t>チョクゴ</t>
    </rPh>
    <rPh sb="7" eb="9">
      <t>タイキン</t>
    </rPh>
    <rPh sb="9" eb="10">
      <t>マエ</t>
    </rPh>
    <rPh sb="11" eb="12">
      <t>ツカ</t>
    </rPh>
    <phoneticPr fontId="12"/>
  </si>
  <si>
    <t>社内・固定の拠点で接続する</t>
    <rPh sb="0" eb="2">
      <t>シャナイ</t>
    </rPh>
    <rPh sb="3" eb="5">
      <t>コテイ</t>
    </rPh>
    <rPh sb="6" eb="8">
      <t>キョテン</t>
    </rPh>
    <rPh sb="9" eb="11">
      <t>セツゾク</t>
    </rPh>
    <phoneticPr fontId="12"/>
  </si>
  <si>
    <t>+フリーズする時がある</t>
    <rPh sb="6" eb="7">
      <t>トキ</t>
    </rPh>
    <phoneticPr fontId="12"/>
  </si>
  <si>
    <t>3～5個</t>
    <rPh sb="3" eb="4">
      <t>コ</t>
    </rPh>
    <phoneticPr fontId="12"/>
  </si>
  <si>
    <t>履歴を手動で削除している</t>
    <rPh sb="0" eb="2">
      <t>リレキ</t>
    </rPh>
    <rPh sb="3" eb="5">
      <t>シュドウ</t>
    </rPh>
    <rPh sb="6" eb="8">
      <t>サクジョ</t>
    </rPh>
    <phoneticPr fontId="12"/>
  </si>
  <si>
    <t>ID・パスワードをブラウザで保存している</t>
    <rPh sb="14" eb="16">
      <t>ホゾン</t>
    </rPh>
    <phoneticPr fontId="12"/>
  </si>
  <si>
    <t>メーリングリストの送受信がメイン</t>
    <rPh sb="9" eb="12">
      <t>ソウジュシン</t>
    </rPh>
    <phoneticPr fontId="12"/>
  </si>
  <si>
    <t>文章メイン</t>
    <rPh sb="0" eb="2">
      <t>ブンショウ</t>
    </rPh>
    <phoneticPr fontId="12"/>
  </si>
  <si>
    <t>シンコー・Q美どちらも使う</t>
    <rPh sb="6" eb="7">
      <t>ビ</t>
    </rPh>
    <rPh sb="11" eb="12">
      <t>ツカ</t>
    </rPh>
    <phoneticPr fontId="12"/>
  </si>
  <si>
    <t>+グラフ・SUM以外の関数を使う</t>
    <rPh sb="7" eb="9">
      <t>イガイ</t>
    </rPh>
    <rPh sb="10" eb="12">
      <t>カンスウ</t>
    </rPh>
    <rPh sb="13" eb="14">
      <t>ツカ</t>
    </rPh>
    <rPh sb="14" eb="15">
      <t>ツカ</t>
    </rPh>
    <phoneticPr fontId="12"/>
  </si>
  <si>
    <t>月に数回使う</t>
    <rPh sb="0" eb="1">
      <t>ツキ</t>
    </rPh>
    <rPh sb="2" eb="4">
      <t>スウカイ</t>
    </rPh>
    <rPh sb="4" eb="5">
      <t>ツカ</t>
    </rPh>
    <phoneticPr fontId="12"/>
  </si>
  <si>
    <t>+コメント・ハイライト・ページ整理を使う</t>
    <rPh sb="14" eb="16">
      <t>セイリ</t>
    </rPh>
    <rPh sb="17" eb="18">
      <t>ツカ</t>
    </rPh>
    <phoneticPr fontId="12"/>
  </si>
  <si>
    <t>スマホで使う</t>
    <rPh sb="2" eb="3">
      <t>ツカ</t>
    </rPh>
    <phoneticPr fontId="12"/>
  </si>
  <si>
    <t>閲覧のみ</t>
    <rPh sb="0" eb="2">
      <t>エツラン</t>
    </rPh>
    <phoneticPr fontId="12"/>
  </si>
  <si>
    <t>仕入を入力する/発注書を作成する</t>
    <rPh sb="0" eb="2">
      <t>シイレ</t>
    </rPh>
    <rPh sb="3" eb="5">
      <t>ニュウリョク</t>
    </rPh>
    <rPh sb="8" eb="11">
      <t>ハッチュウショ</t>
    </rPh>
    <rPh sb="12" eb="14">
      <t>サクセイ</t>
    </rPh>
    <phoneticPr fontId="12"/>
  </si>
  <si>
    <t>サブ担当者として使う</t>
    <rPh sb="2" eb="4">
      <t>タントウ</t>
    </rPh>
    <rPh sb="4" eb="5">
      <t>シャ</t>
    </rPh>
    <rPh sb="8" eb="9">
      <t>ツカ</t>
    </rPh>
    <phoneticPr fontId="12"/>
  </si>
  <si>
    <t>ブラウザ・スマホどちらも使う</t>
    <rPh sb="12" eb="13">
      <t>ツカ</t>
    </rPh>
    <phoneticPr fontId="12"/>
  </si>
  <si>
    <t>管理者として使う</t>
    <rPh sb="0" eb="3">
      <t>カンリシャ</t>
    </rPh>
    <rPh sb="6" eb="7">
      <t>ツカ</t>
    </rPh>
    <phoneticPr fontId="12"/>
  </si>
  <si>
    <t>使う</t>
    <rPh sb="0" eb="1">
      <t>ツカ</t>
    </rPh>
    <phoneticPr fontId="12"/>
  </si>
  <si>
    <t>共用PCを使う</t>
    <rPh sb="0" eb="2">
      <t>キョウヨウ</t>
    </rPh>
    <rPh sb="5" eb="6">
      <t>ツカ</t>
    </rPh>
    <phoneticPr fontId="12"/>
  </si>
  <si>
    <t>主に無線LANで接続する</t>
    <rPh sb="0" eb="1">
      <t>オモ</t>
    </rPh>
    <rPh sb="2" eb="4">
      <t>ムセン</t>
    </rPh>
    <rPh sb="8" eb="10">
      <t>セツゾク</t>
    </rPh>
    <phoneticPr fontId="12"/>
  </si>
  <si>
    <t>メインの接続先のみ自動で接続する</t>
    <rPh sb="4" eb="6">
      <t>セツゾク</t>
    </rPh>
    <rPh sb="6" eb="7">
      <t>サキ</t>
    </rPh>
    <rPh sb="9" eb="11">
      <t>ジドウ</t>
    </rPh>
    <rPh sb="12" eb="14">
      <t>セツゾク</t>
    </rPh>
    <phoneticPr fontId="12"/>
  </si>
  <si>
    <t>OSが5分以内に起動する</t>
    <rPh sb="4" eb="5">
      <t>フン</t>
    </rPh>
    <rPh sb="5" eb="7">
      <t>イナイ</t>
    </rPh>
    <rPh sb="8" eb="10">
      <t>キドウ</t>
    </rPh>
    <phoneticPr fontId="12"/>
  </si>
  <si>
    <t>買替</t>
    <rPh sb="0" eb="2">
      <t>カイカエ</t>
    </rPh>
    <phoneticPr fontId="37"/>
  </si>
  <si>
    <t>有</t>
    <rPh sb="0" eb="1">
      <t>ア</t>
    </rPh>
    <phoneticPr fontId="12"/>
  </si>
  <si>
    <t>標準/高稼働</t>
    <rPh sb="0" eb="2">
      <t>ヒョウジュン</t>
    </rPh>
    <rPh sb="3" eb="6">
      <t>コウカドウ</t>
    </rPh>
    <phoneticPr fontId="8"/>
  </si>
  <si>
    <t>専用</t>
    <rPh sb="0" eb="2">
      <t>センヨウ</t>
    </rPh>
    <phoneticPr fontId="12"/>
  </si>
  <si>
    <t>2次</t>
    <rPh sb="1" eb="2">
      <t>ジ</t>
    </rPh>
    <phoneticPr fontId="12"/>
  </si>
  <si>
    <t>0.5 サーバ外の作業可</t>
    <rPh sb="7" eb="8">
      <t>ソト</t>
    </rPh>
    <rPh sb="9" eb="11">
      <t>サギョウ</t>
    </rPh>
    <rPh sb="11" eb="12">
      <t>カ</t>
    </rPh>
    <phoneticPr fontId="12"/>
  </si>
  <si>
    <t>保留</t>
    <rPh sb="0" eb="2">
      <t>ホリュウ</t>
    </rPh>
    <phoneticPr fontId="12"/>
  </si>
  <si>
    <t>1週間の半分は使う</t>
    <rPh sb="1" eb="3">
      <t>シュウカン</t>
    </rPh>
    <rPh sb="4" eb="6">
      <t>ハンブン</t>
    </rPh>
    <rPh sb="7" eb="8">
      <t>ツカ</t>
    </rPh>
    <phoneticPr fontId="12"/>
  </si>
  <si>
    <t>特定の時間に集中して使う</t>
    <rPh sb="0" eb="2">
      <t>トクテイ</t>
    </rPh>
    <rPh sb="3" eb="5">
      <t>ジカン</t>
    </rPh>
    <rPh sb="6" eb="8">
      <t>シュウチュウ</t>
    </rPh>
    <rPh sb="10" eb="11">
      <t>ツカ</t>
    </rPh>
    <phoneticPr fontId="12"/>
  </si>
  <si>
    <t>+強制終了する時がある</t>
    <rPh sb="0" eb="2">
      <t>キョウセイ</t>
    </rPh>
    <rPh sb="2" eb="4">
      <t>シュウリョウ</t>
    </rPh>
    <rPh sb="6" eb="7">
      <t>トキ</t>
    </rPh>
    <phoneticPr fontId="12"/>
  </si>
  <si>
    <t>Google Chrome</t>
  </si>
  <si>
    <t>6～9個</t>
    <rPh sb="3" eb="4">
      <t>コ</t>
    </rPh>
    <phoneticPr fontId="12"/>
  </si>
  <si>
    <t>履歴管理をしていない</t>
    <rPh sb="0" eb="2">
      <t>リレキ</t>
    </rPh>
    <rPh sb="2" eb="4">
      <t>カンリ</t>
    </rPh>
    <phoneticPr fontId="12"/>
  </si>
  <si>
    <t>ID・パスワードをサイト上で保存している</t>
    <rPh sb="12" eb="13">
      <t>ジョウ</t>
    </rPh>
    <rPh sb="14" eb="16">
      <t>ホゾン</t>
    </rPh>
    <phoneticPr fontId="12"/>
  </si>
  <si>
    <t>+社内でのやり取りが多い</t>
    <rPh sb="6" eb="7">
      <t>ト</t>
    </rPh>
    <rPh sb="9" eb="10">
      <t>オオ</t>
    </rPh>
    <phoneticPr fontId="12"/>
  </si>
  <si>
    <t>添付(1MB未満)が多い</t>
    <rPh sb="0" eb="2">
      <t>テンプ</t>
    </rPh>
    <rPh sb="6" eb="8">
      <t>ミマン</t>
    </rPh>
    <rPh sb="10" eb="11">
      <t>オオ</t>
    </rPh>
    <phoneticPr fontId="12"/>
  </si>
  <si>
    <t>シンコー・Q美以外も使う</t>
    <rPh sb="6" eb="7">
      <t>ビ</t>
    </rPh>
    <rPh sb="7" eb="9">
      <t>イガイ</t>
    </rPh>
    <rPh sb="10" eb="11">
      <t>ツカ</t>
    </rPh>
    <phoneticPr fontId="12"/>
  </si>
  <si>
    <t>+IF・VLOOKUP系の関数もよく使う</t>
    <rPh sb="10" eb="11">
      <t>ケイ</t>
    </rPh>
    <rPh sb="12" eb="14">
      <t>カンスウ</t>
    </rPh>
    <rPh sb="17" eb="18">
      <t>ツカ</t>
    </rPh>
    <rPh sb="18" eb="19">
      <t>ツカ</t>
    </rPh>
    <phoneticPr fontId="12"/>
  </si>
  <si>
    <t>週に数回使う</t>
    <rPh sb="0" eb="1">
      <t>シュウ</t>
    </rPh>
    <rPh sb="2" eb="4">
      <t>スウカイ</t>
    </rPh>
    <rPh sb="4" eb="5">
      <t>ツカ</t>
    </rPh>
    <phoneticPr fontId="12"/>
  </si>
  <si>
    <t>+それ以外の編集ツールも使う</t>
    <rPh sb="2" eb="4">
      <t>イガイ</t>
    </rPh>
    <rPh sb="6" eb="8">
      <t>ヘンシュウ</t>
    </rPh>
    <rPh sb="11" eb="12">
      <t>ツカ</t>
    </rPh>
    <phoneticPr fontId="12"/>
  </si>
  <si>
    <t>データ入力担当者として使う</t>
    <rPh sb="3" eb="5">
      <t>ニュウリョク</t>
    </rPh>
    <rPh sb="5" eb="8">
      <t>タントウシャ</t>
    </rPh>
    <rPh sb="11" eb="12">
      <t>ツカ</t>
    </rPh>
    <phoneticPr fontId="12"/>
  </si>
  <si>
    <t>売上を入力する/請求書を作成する</t>
    <rPh sb="0" eb="2">
      <t>ウリアゲ</t>
    </rPh>
    <rPh sb="3" eb="5">
      <t>ニュウリョク</t>
    </rPh>
    <rPh sb="8" eb="11">
      <t>セイキュウショ</t>
    </rPh>
    <rPh sb="12" eb="14">
      <t>サクセイ</t>
    </rPh>
    <phoneticPr fontId="12"/>
  </si>
  <si>
    <t>メイン担当者として使う</t>
    <rPh sb="3" eb="6">
      <t>タントウシャ</t>
    </rPh>
    <rPh sb="9" eb="10">
      <t>ツカ</t>
    </rPh>
    <phoneticPr fontId="12"/>
  </si>
  <si>
    <t>未登録</t>
    <rPh sb="0" eb="3">
      <t>ミトウロク</t>
    </rPh>
    <phoneticPr fontId="12"/>
  </si>
  <si>
    <t>+特定業務専用のPCを使う</t>
    <rPh sb="0" eb="2">
      <t>トクテイ</t>
    </rPh>
    <rPh sb="2" eb="4">
      <t>ギョウム</t>
    </rPh>
    <rPh sb="3" eb="5">
      <t>ギョウム</t>
    </rPh>
    <rPh sb="5" eb="7">
      <t>センヨウ</t>
    </rPh>
    <rPh sb="11" eb="12">
      <t>ツカ</t>
    </rPh>
    <phoneticPr fontId="12"/>
  </si>
  <si>
    <t>接続場所によって変える</t>
    <rPh sb="0" eb="2">
      <t>セツゾク</t>
    </rPh>
    <rPh sb="2" eb="4">
      <t>バショ</t>
    </rPh>
    <rPh sb="8" eb="9">
      <t>カ</t>
    </rPh>
    <phoneticPr fontId="12"/>
  </si>
  <si>
    <t>全て自動で接続する</t>
    <rPh sb="0" eb="1">
      <t>スベ</t>
    </rPh>
    <rPh sb="2" eb="4">
      <t>ジドウ</t>
    </rPh>
    <rPh sb="5" eb="7">
      <t>セツゾク</t>
    </rPh>
    <phoneticPr fontId="12"/>
  </si>
  <si>
    <t>OSが10分以内に起動する</t>
    <rPh sb="5" eb="6">
      <t>フン</t>
    </rPh>
    <rPh sb="6" eb="8">
      <t>イナイ</t>
    </rPh>
    <rPh sb="9" eb="11">
      <t>キドウ</t>
    </rPh>
    <phoneticPr fontId="12"/>
  </si>
  <si>
    <t>定期的に使う</t>
    <rPh sb="0" eb="2">
      <t>テイキ</t>
    </rPh>
    <rPh sb="2" eb="3">
      <t>テキ</t>
    </rPh>
    <rPh sb="4" eb="5">
      <t>ツカ</t>
    </rPh>
    <phoneticPr fontId="12"/>
  </si>
  <si>
    <t>▲端末不調</t>
  </si>
  <si>
    <t>高性能</t>
    <rPh sb="0" eb="3">
      <t>コウセイノウ</t>
    </rPh>
    <phoneticPr fontId="8"/>
  </si>
  <si>
    <t>1 サーバ停止=主要業務停止</t>
    <rPh sb="5" eb="7">
      <t>テイシ</t>
    </rPh>
    <rPh sb="8" eb="10">
      <t>シュヨウ</t>
    </rPh>
    <rPh sb="10" eb="12">
      <t>ギョウム</t>
    </rPh>
    <rPh sb="12" eb="14">
      <t>テイシ</t>
    </rPh>
    <phoneticPr fontId="12"/>
  </si>
  <si>
    <t>毎日使う</t>
    <rPh sb="0" eb="2">
      <t>マイニチ</t>
    </rPh>
    <rPh sb="2" eb="3">
      <t>ツカ</t>
    </rPh>
    <phoneticPr fontId="12"/>
  </si>
  <si>
    <t>終日使う</t>
    <rPh sb="0" eb="2">
      <t>シュウジツ</t>
    </rPh>
    <rPh sb="2" eb="3">
      <t>ツカ</t>
    </rPh>
    <phoneticPr fontId="12"/>
  </si>
  <si>
    <t>+社外の拠点からも接続する</t>
    <rPh sb="0" eb="2">
      <t>シャガイ</t>
    </rPh>
    <phoneticPr fontId="12"/>
  </si>
  <si>
    <t>毎日不具合があり支障を来たしている</t>
    <rPh sb="0" eb="2">
      <t>マイニチ</t>
    </rPh>
    <rPh sb="2" eb="5">
      <t>フグアイ</t>
    </rPh>
    <rPh sb="8" eb="10">
      <t>シショウ</t>
    </rPh>
    <rPh sb="11" eb="12">
      <t>キ</t>
    </rPh>
    <phoneticPr fontId="12"/>
  </si>
  <si>
    <t>10個以上</t>
    <rPh sb="2" eb="3">
      <t>コ</t>
    </rPh>
    <rPh sb="3" eb="5">
      <t>イジョウ</t>
    </rPh>
    <phoneticPr fontId="12"/>
  </si>
  <si>
    <t>分からない</t>
    <rPh sb="0" eb="1">
      <t>ワ</t>
    </rPh>
    <phoneticPr fontId="12"/>
  </si>
  <si>
    <t>+社外でのやり取りも多い</t>
    <rPh sb="6" eb="7">
      <t>ト</t>
    </rPh>
    <rPh sb="9" eb="10">
      <t>オオ</t>
    </rPh>
    <phoneticPr fontId="12"/>
  </si>
  <si>
    <t>添付(1MB以上)が多い</t>
    <rPh sb="0" eb="2">
      <t>テンプ</t>
    </rPh>
    <rPh sb="6" eb="8">
      <t>イジョウ</t>
    </rPh>
    <rPh sb="10" eb="11">
      <t>オオ</t>
    </rPh>
    <phoneticPr fontId="12"/>
  </si>
  <si>
    <t>+マクロ・ピボットテーブルも使う</t>
    <rPh sb="14" eb="15">
      <t>ツカ</t>
    </rPh>
    <phoneticPr fontId="12"/>
  </si>
  <si>
    <t>ほぼ毎日使う</t>
    <rPh sb="2" eb="4">
      <t>マイニチ</t>
    </rPh>
    <rPh sb="4" eb="5">
      <t>ツカ</t>
    </rPh>
    <phoneticPr fontId="12"/>
  </si>
  <si>
    <t>管理者/責任者として使う</t>
    <rPh sb="0" eb="2">
      <t>カンリ</t>
    </rPh>
    <rPh sb="2" eb="3">
      <t>シャ</t>
    </rPh>
    <rPh sb="4" eb="7">
      <t>セキニンシャ</t>
    </rPh>
    <rPh sb="10" eb="11">
      <t>ツカ</t>
    </rPh>
    <phoneticPr fontId="12"/>
  </si>
  <si>
    <t>入出金まで管理する</t>
    <rPh sb="0" eb="3">
      <t>ニュウシュッキン</t>
    </rPh>
    <rPh sb="5" eb="7">
      <t>カンリ</t>
    </rPh>
    <phoneticPr fontId="12"/>
  </si>
  <si>
    <t>OSの起動に10分以上かかる</t>
    <rPh sb="3" eb="5">
      <t>キドウ</t>
    </rPh>
    <rPh sb="8" eb="9">
      <t>フン</t>
    </rPh>
    <rPh sb="9" eb="11">
      <t>イジョウ</t>
    </rPh>
    <phoneticPr fontId="12"/>
  </si>
  <si>
    <t>▲廃棄</t>
    <rPh sb="1" eb="3">
      <t>ハイキ</t>
    </rPh>
    <phoneticPr fontId="37"/>
  </si>
  <si>
    <t>サーバ</t>
  </si>
  <si>
    <t>アプリ</t>
  </si>
  <si>
    <t>環境</t>
    <rPh sb="0" eb="2">
      <t>カンキョウ</t>
    </rPh>
    <phoneticPr fontId="12"/>
  </si>
  <si>
    <t>回答日</t>
    <rPh sb="0" eb="3">
      <t>カイトウビ</t>
    </rPh>
    <phoneticPr fontId="12"/>
  </si>
  <si>
    <t>氏名</t>
    <rPh sb="0" eb="2">
      <t>シメイ</t>
    </rPh>
    <phoneticPr fontId="12"/>
  </si>
  <si>
    <t>使用者補足</t>
    <rPh sb="0" eb="2">
      <t>シヨウ</t>
    </rPh>
    <rPh sb="2" eb="3">
      <t>シャ</t>
    </rPh>
    <rPh sb="3" eb="5">
      <t>ホソク</t>
    </rPh>
    <phoneticPr fontId="12"/>
  </si>
  <si>
    <t>部</t>
    <rPh sb="0" eb="1">
      <t>ブ</t>
    </rPh>
    <phoneticPr fontId="12"/>
  </si>
  <si>
    <t>課</t>
    <rPh sb="0" eb="1">
      <t>カ</t>
    </rPh>
    <phoneticPr fontId="12"/>
  </si>
  <si>
    <t>係</t>
    <rPh sb="0" eb="1">
      <t>カカリ</t>
    </rPh>
    <phoneticPr fontId="12"/>
  </si>
  <si>
    <t>No</t>
  </si>
  <si>
    <t>ユーザー名</t>
    <rPh sb="4" eb="5">
      <t>ナ</t>
    </rPh>
    <phoneticPr fontId="12"/>
  </si>
  <si>
    <t>仮想</t>
    <rPh sb="0" eb="2">
      <t>カソウ</t>
    </rPh>
    <phoneticPr fontId="12"/>
  </si>
  <si>
    <t>シンクライアント (日数)</t>
    <rPh sb="10" eb="12">
      <t>ニッスウ</t>
    </rPh>
    <phoneticPr fontId="12"/>
  </si>
  <si>
    <t>シンクライアント (時間)</t>
    <rPh sb="10" eb="12">
      <t>ジカン</t>
    </rPh>
    <phoneticPr fontId="12"/>
  </si>
  <si>
    <t>シンクライアント (拠点)</t>
    <rPh sb="10" eb="12">
      <t>キョテン</t>
    </rPh>
    <phoneticPr fontId="12"/>
  </si>
  <si>
    <t>シンクライアント (動作)</t>
    <rPh sb="10" eb="12">
      <t>ドウサ</t>
    </rPh>
    <phoneticPr fontId="12"/>
  </si>
  <si>
    <t>WEBブラウザ (種類)</t>
    <rPh sb="9" eb="11">
      <t>シュルイ</t>
    </rPh>
    <phoneticPr fontId="12"/>
  </si>
  <si>
    <t>WEBブラウザ (同時に開くタブ)</t>
    <rPh sb="9" eb="11">
      <t>ドウジ</t>
    </rPh>
    <rPh sb="12" eb="13">
      <t>ヒラ</t>
    </rPh>
    <phoneticPr fontId="12"/>
  </si>
  <si>
    <t>WEBブラウザ (履歴)</t>
    <rPh sb="9" eb="11">
      <t>リレキ</t>
    </rPh>
    <phoneticPr fontId="12"/>
  </si>
  <si>
    <t>WEBブラウザ (動作)</t>
    <rPh sb="9" eb="11">
      <t>ドウサ</t>
    </rPh>
    <phoneticPr fontId="12"/>
  </si>
  <si>
    <t>Outlook (時間)</t>
    <rPh sb="9" eb="11">
      <t>ジカン</t>
    </rPh>
    <phoneticPr fontId="12"/>
  </si>
  <si>
    <t>Outlook (宛先)</t>
    <rPh sb="9" eb="11">
      <t>アテサキ</t>
    </rPh>
    <phoneticPr fontId="12"/>
  </si>
  <si>
    <t>Outlook (用途)</t>
    <rPh sb="9" eb="11">
      <t>ヨウト</t>
    </rPh>
    <phoneticPr fontId="12"/>
  </si>
  <si>
    <t>Outlook (動作)</t>
    <rPh sb="9" eb="11">
      <t>ドウサ</t>
    </rPh>
    <phoneticPr fontId="12"/>
  </si>
  <si>
    <t>Outlook　pstファイル【KB】</t>
  </si>
  <si>
    <t>Excel (時間)</t>
    <rPh sb="7" eb="9">
      <t>ジカン</t>
    </rPh>
    <phoneticPr fontId="12"/>
  </si>
  <si>
    <t>Excel (用途)</t>
    <rPh sb="7" eb="9">
      <t>ヨウト</t>
    </rPh>
    <phoneticPr fontId="12"/>
  </si>
  <si>
    <t>Excel (動作)</t>
    <rPh sb="7" eb="9">
      <t>ドウサ</t>
    </rPh>
    <phoneticPr fontId="12"/>
  </si>
  <si>
    <t>Word</t>
  </si>
  <si>
    <t>PowerPoint</t>
  </si>
  <si>
    <t>Access</t>
  </si>
  <si>
    <t>AdobeAcrobat (時間)</t>
    <rPh sb="14" eb="16">
      <t>ジカン</t>
    </rPh>
    <phoneticPr fontId="12"/>
  </si>
  <si>
    <t>AdobeAcrobat (用途)</t>
    <rPh sb="14" eb="16">
      <t>ヨウト</t>
    </rPh>
    <phoneticPr fontId="12"/>
  </si>
  <si>
    <t>AdobeAcrobat (動作)</t>
    <rPh sb="14" eb="16">
      <t>ドウサ</t>
    </rPh>
    <phoneticPr fontId="12"/>
  </si>
  <si>
    <t>Chatwork</t>
  </si>
  <si>
    <t>TPiCS</t>
  </si>
  <si>
    <t>PI-navi</t>
  </si>
  <si>
    <t>商蔵奉行</t>
    <rPh sb="0" eb="1">
      <t>アキナ</t>
    </rPh>
    <rPh sb="1" eb="2">
      <t>クラ</t>
    </rPh>
    <rPh sb="2" eb="4">
      <t>ブギョウ</t>
    </rPh>
    <phoneticPr fontId="8"/>
  </si>
  <si>
    <t>FD申請</t>
    <rPh sb="2" eb="4">
      <t>シンセイ</t>
    </rPh>
    <phoneticPr fontId="8"/>
  </si>
  <si>
    <t>ラベル印刷</t>
    <rPh sb="3" eb="5">
      <t>インサツ</t>
    </rPh>
    <phoneticPr fontId="12"/>
  </si>
  <si>
    <t>送り状印刷</t>
    <rPh sb="0" eb="1">
      <t>オク</t>
    </rPh>
    <rPh sb="2" eb="3">
      <t>ジョウ</t>
    </rPh>
    <rPh sb="3" eb="5">
      <t>インサツ</t>
    </rPh>
    <phoneticPr fontId="12"/>
  </si>
  <si>
    <t>Sansan</t>
  </si>
  <si>
    <t>KING OF TIME</t>
  </si>
  <si>
    <t>TeamViewer</t>
  </si>
  <si>
    <t>JDL</t>
  </si>
  <si>
    <t>◆デスクトップ容量</t>
    <rPh sb="7" eb="9">
      <t>ヨウリョウ</t>
    </rPh>
    <phoneticPr fontId="8"/>
  </si>
  <si>
    <t>ディスク上のサイズ【GB】</t>
    <rPh sb="4" eb="5">
      <t>ジョウ</t>
    </rPh>
    <phoneticPr fontId="8"/>
  </si>
  <si>
    <t>ファイル数</t>
    <rPh sb="4" eb="5">
      <t>スウ</t>
    </rPh>
    <phoneticPr fontId="8"/>
  </si>
  <si>
    <t>フォルダ数</t>
    <rPh sb="4" eb="5">
      <t>スウ</t>
    </rPh>
    <phoneticPr fontId="8"/>
  </si>
  <si>
    <t>SCAN ディスク上のサイズ【GB】</t>
    <rPh sb="9" eb="10">
      <t>ジョウ</t>
    </rPh>
    <phoneticPr fontId="8"/>
  </si>
  <si>
    <t>SCAN ファイル数</t>
    <rPh sb="9" eb="10">
      <t>スウ</t>
    </rPh>
    <phoneticPr fontId="8"/>
  </si>
  <si>
    <t>SCAN フォルダ数</t>
    <rPh sb="9" eb="10">
      <t>スウ</t>
    </rPh>
    <phoneticPr fontId="8"/>
  </si>
  <si>
    <t>個人データサイズ【GB】</t>
    <rPh sb="0" eb="2">
      <t>コジン</t>
    </rPh>
    <phoneticPr fontId="12"/>
  </si>
  <si>
    <t>個人ファイル数</t>
    <rPh sb="0" eb="2">
      <t>コジン</t>
    </rPh>
    <rPh sb="6" eb="7">
      <t>スウ</t>
    </rPh>
    <phoneticPr fontId="8"/>
  </si>
  <si>
    <t>個人フォルダ数</t>
    <rPh sb="0" eb="2">
      <t>コジン</t>
    </rPh>
    <rPh sb="6" eb="7">
      <t>スウ</t>
    </rPh>
    <phoneticPr fontId="8"/>
  </si>
  <si>
    <t>◆ローカル側</t>
    <rPh sb="5" eb="6">
      <t>ガワ</t>
    </rPh>
    <phoneticPr fontId="8"/>
  </si>
  <si>
    <t>パソコン (割当)</t>
    <rPh sb="6" eb="8">
      <t>ワリアテ</t>
    </rPh>
    <phoneticPr fontId="12"/>
  </si>
  <si>
    <t>パソコン (種類)</t>
    <rPh sb="6" eb="8">
      <t>シュルイ</t>
    </rPh>
    <phoneticPr fontId="12"/>
  </si>
  <si>
    <t>パソコン (通信)</t>
    <rPh sb="6" eb="8">
      <t>ツウシン</t>
    </rPh>
    <phoneticPr fontId="12"/>
  </si>
  <si>
    <t>接続拠点</t>
    <rPh sb="0" eb="2">
      <t>セツゾク</t>
    </rPh>
    <rPh sb="2" eb="4">
      <t>キョテン</t>
    </rPh>
    <phoneticPr fontId="12"/>
  </si>
  <si>
    <t>接続エリア</t>
    <rPh sb="0" eb="2">
      <t>セツゾク</t>
    </rPh>
    <phoneticPr fontId="12"/>
  </si>
  <si>
    <t>SSID (サブ2)</t>
  </si>
  <si>
    <t>SSID (サブ3)</t>
  </si>
  <si>
    <t>SSID (サブ4)</t>
  </si>
  <si>
    <t>パソコン (起動)</t>
    <rPh sb="6" eb="8">
      <t>キドウ</t>
    </rPh>
    <phoneticPr fontId="12"/>
  </si>
  <si>
    <t>◆デバイスの仕様</t>
    <rPh sb="6" eb="8">
      <t>シヨウ</t>
    </rPh>
    <phoneticPr fontId="8"/>
  </si>
  <si>
    <t>デバイス名</t>
  </si>
  <si>
    <t>プロセッサ</t>
  </si>
  <si>
    <t>実装 RAM</t>
  </si>
  <si>
    <t>デバイス ID</t>
  </si>
  <si>
    <t>プロダクト ID</t>
  </si>
  <si>
    <t>システムの種類</t>
  </si>
  <si>
    <t>ペンとタッチ</t>
  </si>
  <si>
    <t>◆OSの仕様</t>
    <rPh sb="4" eb="6">
      <t>シヨウ</t>
    </rPh>
    <phoneticPr fontId="8"/>
  </si>
  <si>
    <t>エディション</t>
  </si>
  <si>
    <t>バージョン</t>
  </si>
  <si>
    <t>インストール日</t>
  </si>
  <si>
    <t>OS ビルド</t>
  </si>
  <si>
    <t>シリアル番号</t>
  </si>
  <si>
    <t>エクスペリエンス</t>
  </si>
  <si>
    <t>社用スマートフォン</t>
    <rPh sb="0" eb="1">
      <t>シャ</t>
    </rPh>
    <rPh sb="1" eb="2">
      <t>ヨウ</t>
    </rPh>
    <phoneticPr fontId="12"/>
  </si>
  <si>
    <t>社用タブレット</t>
    <rPh sb="0" eb="1">
      <t>シャ</t>
    </rPh>
    <rPh sb="1" eb="2">
      <t>ヨウ</t>
    </rPh>
    <phoneticPr fontId="12"/>
  </si>
  <si>
    <t>01営業部</t>
  </si>
  <si>
    <t>02製造部</t>
    <rPh sb="2" eb="4">
      <t>セイゾウ</t>
    </rPh>
    <rPh sb="4" eb="5">
      <t>ブ</t>
    </rPh>
    <phoneticPr fontId="8"/>
  </si>
  <si>
    <t>03総務部</t>
    <rPh sb="2" eb="4">
      <t>ソウム</t>
    </rPh>
    <rPh sb="4" eb="5">
      <t>ブ</t>
    </rPh>
    <phoneticPr fontId="8"/>
  </si>
  <si>
    <t>04開発部</t>
    <rPh sb="2" eb="4">
      <t>カイハツ</t>
    </rPh>
    <rPh sb="4" eb="5">
      <t>ブ</t>
    </rPh>
    <phoneticPr fontId="8"/>
  </si>
  <si>
    <t>05企画部</t>
    <rPh sb="2" eb="4">
      <t>キカク</t>
    </rPh>
    <rPh sb="4" eb="5">
      <t>ブ</t>
    </rPh>
    <phoneticPr fontId="8"/>
  </si>
  <si>
    <t>06コスメファクトリー</t>
  </si>
  <si>
    <t>07SHINKO共有</t>
    <rPh sb="8" eb="10">
      <t>キョウユウ</t>
    </rPh>
    <phoneticPr fontId="8"/>
  </si>
  <si>
    <t>08Q美共有</t>
    <rPh sb="3" eb="4">
      <t>ビ</t>
    </rPh>
    <rPh sb="4" eb="6">
      <t>キョウユウ</t>
    </rPh>
    <phoneticPr fontId="8"/>
  </si>
  <si>
    <t>10デリバリー</t>
  </si>
  <si>
    <t>11製造部（報告用）</t>
    <rPh sb="2" eb="4">
      <t>セイゾウ</t>
    </rPh>
    <rPh sb="4" eb="5">
      <t>ブ</t>
    </rPh>
    <rPh sb="6" eb="9">
      <t>ホウコクヨウ</t>
    </rPh>
    <phoneticPr fontId="8"/>
  </si>
  <si>
    <t>12BeGarden</t>
  </si>
  <si>
    <t>90過去未整理</t>
    <rPh sb="2" eb="4">
      <t>カコ</t>
    </rPh>
    <rPh sb="4" eb="7">
      <t>ミセイリ</t>
    </rPh>
    <phoneticPr fontId="8"/>
  </si>
  <si>
    <t>98在庫管理</t>
    <rPh sb="2" eb="4">
      <t>ザイコ</t>
    </rPh>
    <rPh sb="4" eb="6">
      <t>カンリ</t>
    </rPh>
    <phoneticPr fontId="8"/>
  </si>
  <si>
    <t>99管理</t>
    <rPh sb="2" eb="4">
      <t>カンリ</t>
    </rPh>
    <phoneticPr fontId="8"/>
  </si>
  <si>
    <t>Infinity_一時利用</t>
    <rPh sb="9" eb="11">
      <t>イチジ</t>
    </rPh>
    <rPh sb="11" eb="13">
      <t>リヨウ</t>
    </rPh>
    <phoneticPr fontId="8"/>
  </si>
  <si>
    <t>Q美ワールド</t>
    <rPh sb="1" eb="2">
      <t>ビ</t>
    </rPh>
    <phoneticPr fontId="8"/>
  </si>
  <si>
    <t>SCAN</t>
  </si>
  <si>
    <t>シンコーサイエンス</t>
  </si>
  <si>
    <t>移動用一時フォルダ</t>
    <rPh sb="0" eb="3">
      <t>イドウヨウ</t>
    </rPh>
    <rPh sb="3" eb="5">
      <t>イチジ</t>
    </rPh>
    <phoneticPr fontId="8"/>
  </si>
  <si>
    <t>共有ファイル</t>
    <rPh sb="0" eb="2">
      <t>キョウユウ</t>
    </rPh>
    <phoneticPr fontId="8"/>
  </si>
  <si>
    <t>復元データ</t>
    <rPh sb="0" eb="2">
      <t>フクゲン</t>
    </rPh>
    <phoneticPr fontId="8"/>
  </si>
  <si>
    <t>予算管理</t>
    <rPh sb="0" eb="2">
      <t>ヨサン</t>
    </rPh>
    <rPh sb="2" eb="4">
      <t>カンリ</t>
    </rPh>
    <phoneticPr fontId="8"/>
  </si>
  <si>
    <t>PC 買替/継続使用</t>
    <rPh sb="3" eb="5">
      <t>カイカエ</t>
    </rPh>
    <rPh sb="6" eb="8">
      <t>ケイゾク</t>
    </rPh>
    <rPh sb="8" eb="10">
      <t>シヨウ</t>
    </rPh>
    <phoneticPr fontId="37"/>
  </si>
  <si>
    <t>買替時期</t>
    <rPh sb="0" eb="2">
      <t>カイカエ</t>
    </rPh>
    <rPh sb="2" eb="4">
      <t>ジキ</t>
    </rPh>
    <phoneticPr fontId="12"/>
  </si>
  <si>
    <t>配置換え有無</t>
    <rPh sb="0" eb="2">
      <t>ハイチ</t>
    </rPh>
    <rPh sb="2" eb="3">
      <t>ガ</t>
    </rPh>
    <rPh sb="4" eb="6">
      <t>ウム</t>
    </rPh>
    <phoneticPr fontId="37"/>
  </si>
  <si>
    <t>配置換え先</t>
    <rPh sb="0" eb="2">
      <t>ハイチ</t>
    </rPh>
    <rPh sb="2" eb="3">
      <t>ガ</t>
    </rPh>
    <rPh sb="4" eb="5">
      <t>サキ</t>
    </rPh>
    <phoneticPr fontId="37"/>
  </si>
  <si>
    <t>ノート/デスクトップ</t>
  </si>
  <si>
    <t>標準性能/高性能</t>
    <rPh sb="0" eb="2">
      <t>ヒョウジュン</t>
    </rPh>
    <rPh sb="2" eb="4">
      <t>セイノウ</t>
    </rPh>
    <rPh sb="5" eb="8">
      <t>コウセイノウ</t>
    </rPh>
    <phoneticPr fontId="37"/>
  </si>
  <si>
    <t>M365共用グループ</t>
    <rPh sb="4" eb="6">
      <t>キョウヨウ</t>
    </rPh>
    <phoneticPr fontId="12"/>
  </si>
  <si>
    <t>導入時期</t>
    <rPh sb="0" eb="2">
      <t>ドウニュウ</t>
    </rPh>
    <rPh sb="2" eb="4">
      <t>ジキ</t>
    </rPh>
    <phoneticPr fontId="12"/>
  </si>
  <si>
    <t>仮想2本</t>
    <rPh sb="0" eb="2">
      <t>カソウ</t>
    </rPh>
    <rPh sb="3" eb="4">
      <t>ホン</t>
    </rPh>
    <phoneticPr fontId="12"/>
  </si>
  <si>
    <t>仮想3本</t>
    <rPh sb="0" eb="2">
      <t>カソウ</t>
    </rPh>
    <rPh sb="3" eb="4">
      <t>ホン</t>
    </rPh>
    <phoneticPr fontId="12"/>
  </si>
  <si>
    <t>サーバ依存度</t>
    <rPh sb="3" eb="5">
      <t>イゾン</t>
    </rPh>
    <rPh sb="5" eb="6">
      <t>ド</t>
    </rPh>
    <phoneticPr fontId="12"/>
  </si>
  <si>
    <t>対象</t>
    <rPh sb="0" eb="2">
      <t>タイショウ</t>
    </rPh>
    <phoneticPr fontId="12"/>
  </si>
  <si>
    <t>意見/要望/備考</t>
    <rPh sb="0" eb="2">
      <t>イケン</t>
    </rPh>
    <rPh sb="3" eb="5">
      <t>ヨウボウ</t>
    </rPh>
    <rPh sb="6" eb="8">
      <t>ビコウ</t>
    </rPh>
    <phoneticPr fontId="12"/>
  </si>
  <si>
    <t>吉村善成</t>
    <rPh sb="0" eb="2">
      <t>ヨシムラ</t>
    </rPh>
    <rPh sb="2" eb="4">
      <t>ヨシナリ</t>
    </rPh>
    <phoneticPr fontId="12"/>
  </si>
  <si>
    <t>取締役</t>
    <rPh sb="0" eb="3">
      <t>トリシマリヤク</t>
    </rPh>
    <phoneticPr fontId="12"/>
  </si>
  <si>
    <t>DESKTOP-GUC6N5D</t>
  </si>
  <si>
    <t>Intel(R) Core(TM) i5-7200U CPU @ 2.50GHz   2.71 GHz</t>
  </si>
  <si>
    <t>8.00 GB</t>
  </si>
  <si>
    <t>63001086-D342-4D85-89AC-C12D3CB23535</t>
  </si>
  <si>
    <t>00330-50691-32915-AAOEM</t>
  </si>
  <si>
    <t>64 ビット オペレーティング システム、x64 ベース プロセッサ</t>
  </si>
  <si>
    <t>10 タッチ ポイントでのペンとタッチのサポート</t>
  </si>
  <si>
    <t>Windows 10 Pro</t>
  </si>
  <si>
    <t>22H2</t>
  </si>
  <si>
    <t>‎2020/‎12/‎20</t>
  </si>
  <si>
    <t>7IKSA19021</t>
  </si>
  <si>
    <t>Windows Feature Experience Pack 1000.19061.1000.0</t>
  </si>
  <si>
    <t>無</t>
    <rPh sb="0" eb="1">
      <t>ム</t>
    </rPh>
    <phoneticPr fontId="37"/>
  </si>
  <si>
    <t>ノート</t>
  </si>
  <si>
    <t>要確認</t>
    <rPh sb="0" eb="1">
      <t>ヨウ</t>
    </rPh>
    <rPh sb="1" eb="3">
      <t>カクニン</t>
    </rPh>
    <phoneticPr fontId="12"/>
  </si>
  <si>
    <t>営業/EC</t>
    <rPh sb="0" eb="2">
      <t>エイギョウ</t>
    </rPh>
    <phoneticPr fontId="12"/>
  </si>
  <si>
    <t>A</t>
  </si>
  <si>
    <t>吉村善鐘</t>
    <rPh sb="0" eb="2">
      <t>ヨシムラ</t>
    </rPh>
    <rPh sb="2" eb="3">
      <t>ヨ</t>
    </rPh>
    <rPh sb="3" eb="4">
      <t>カネ</t>
    </rPh>
    <phoneticPr fontId="12"/>
  </si>
  <si>
    <t>DESKTOP-CVP38V5</t>
  </si>
  <si>
    <t>C1DA6129-D204-4306-83CC-1E76D139B129</t>
  </si>
  <si>
    <t>00330-50535-81745-AAOEM</t>
  </si>
  <si>
    <t>‎2021/‎02/‎02</t>
  </si>
  <si>
    <t>7EKSA10284</t>
  </si>
  <si>
    <t>仕様書</t>
    <rPh sb="0" eb="3">
      <t>シヨウショ</t>
    </rPh>
    <phoneticPr fontId="12"/>
  </si>
  <si>
    <t>吉村善濚</t>
    <rPh sb="0" eb="2">
      <t>ヨシムラ</t>
    </rPh>
    <rPh sb="2" eb="3">
      <t>ゼン</t>
    </rPh>
    <rPh sb="3" eb="4">
      <t>エイ</t>
    </rPh>
    <phoneticPr fontId="12"/>
  </si>
  <si>
    <t>SSC-5-4F-01</t>
  </si>
  <si>
    <t>開発/品管</t>
    <rPh sb="0" eb="2">
      <t>カイハツ</t>
    </rPh>
    <rPh sb="3" eb="5">
      <t>ヒンカン</t>
    </rPh>
    <phoneticPr fontId="12"/>
  </si>
  <si>
    <t>近藤雅人</t>
    <rPh sb="0" eb="2">
      <t>コンドウ</t>
    </rPh>
    <rPh sb="2" eb="4">
      <t>マサト</t>
    </rPh>
    <phoneticPr fontId="12"/>
  </si>
  <si>
    <t>研究開発部</t>
    <rPh sb="0" eb="2">
      <t>ケンキュウ</t>
    </rPh>
    <rPh sb="2" eb="4">
      <t>カイハツ</t>
    </rPh>
    <rPh sb="4" eb="5">
      <t>ブ</t>
    </rPh>
    <phoneticPr fontId="12"/>
  </si>
  <si>
    <t>研究開発課</t>
    <rPh sb="0" eb="4">
      <t>ケンキュウカイハツ</t>
    </rPh>
    <rPh sb="4" eb="5">
      <t>カ</t>
    </rPh>
    <phoneticPr fontId="12"/>
  </si>
  <si>
    <t>DESKTOP-8FJR97J</t>
  </si>
  <si>
    <t>Intel(R) Core(TM) i5-6500 CPU @ 3.20GHz   3.19 GHz</t>
  </si>
  <si>
    <t>8.00 GB (7.89 GB 使用可能)</t>
  </si>
  <si>
    <t>BA6887F7-F4DB-43ED-9B72-6BB468C5874B</t>
  </si>
  <si>
    <t>00330-50563-14772-AAOEM</t>
  </si>
  <si>
    <t>このディスプレイでは、ペン入力とタッチ入力は利用できません</t>
  </si>
  <si>
    <t>Windows 11 Pro</t>
  </si>
  <si>
    <t>23H2</t>
  </si>
  <si>
    <t>‎2024/‎07/‎09</t>
  </si>
  <si>
    <t>表記なし</t>
    <rPh sb="0" eb="2">
      <t>ヒョウキ</t>
    </rPh>
    <phoneticPr fontId="12"/>
  </si>
  <si>
    <t>Windows 機能エクスペリエンス パック 1000.22700.1077.0</t>
  </si>
  <si>
    <t>デスクトップ</t>
  </si>
  <si>
    <t>標準性能</t>
    <rPh sb="0" eb="2">
      <t>ヒョウジュン</t>
    </rPh>
    <rPh sb="2" eb="4">
      <t>セイノウ</t>
    </rPh>
    <phoneticPr fontId="37"/>
  </si>
  <si>
    <t>共有フォルダの権限を把握しておらず、アクセス権限があるかもしれないですが、使用しないものは「１」とさせていただいています。</t>
    <rPh sb="0" eb="2">
      <t>キョウユウ</t>
    </rPh>
    <rPh sb="7" eb="9">
      <t>ケンゲン</t>
    </rPh>
    <rPh sb="10" eb="12">
      <t>ハアク</t>
    </rPh>
    <rPh sb="22" eb="24">
      <t>ケンゲン</t>
    </rPh>
    <rPh sb="37" eb="39">
      <t>シヨウ</t>
    </rPh>
    <phoneticPr fontId="12"/>
  </si>
  <si>
    <t>宗近倶枝</t>
    <rPh sb="0" eb="2">
      <t>ムネチカ</t>
    </rPh>
    <rPh sb="2" eb="3">
      <t>ク</t>
    </rPh>
    <rPh sb="3" eb="4">
      <t>エ</t>
    </rPh>
    <phoneticPr fontId="12"/>
  </si>
  <si>
    <t>shinko</t>
  </si>
  <si>
    <t>11th Gen Intel(R) Core(TM) i5-1135G7 @ 2.40GHz   2.42 GHz</t>
  </si>
  <si>
    <t>8.00 GB (7.80 GB 使用可能)</t>
  </si>
  <si>
    <t>EFDECAF8-D59F-4D5B-AE77-730C72783F3C</t>
  </si>
  <si>
    <t>00342-20880-39352-AAOEM</t>
  </si>
  <si>
    <t>↓(ローカル側からコピペしてください。)</t>
  </si>
  <si>
    <t>Windows 11 Home</t>
  </si>
  <si>
    <t>24H2</t>
  </si>
  <si>
    <t>‎2025/‎01/‎28</t>
  </si>
  <si>
    <t>PF3J6F1M</t>
  </si>
  <si>
    <t>Windows 機能エクスペリエンス パック 1000.26100.48.0</t>
  </si>
  <si>
    <t>山下基宏</t>
    <rPh sb="0" eb="2">
      <t>ヤマシタ</t>
    </rPh>
    <rPh sb="2" eb="3">
      <t>モトイ</t>
    </rPh>
    <rPh sb="3" eb="4">
      <t>ヒロ</t>
    </rPh>
    <phoneticPr fontId="12"/>
  </si>
  <si>
    <t>一日も早いネット環境の復興をお祈りしております。</t>
    <rPh sb="8" eb="10">
      <t>カンキョウ</t>
    </rPh>
    <phoneticPr fontId="12"/>
  </si>
  <si>
    <t>直木美佐子</t>
    <rPh sb="0" eb="2">
      <t>ナオキ</t>
    </rPh>
    <rPh sb="2" eb="5">
      <t>ミサコ</t>
    </rPh>
    <phoneticPr fontId="12"/>
  </si>
  <si>
    <t>津田宝加</t>
    <rPh sb="0" eb="2">
      <t>ツダ</t>
    </rPh>
    <rPh sb="2" eb="3">
      <t>タカラ</t>
    </rPh>
    <rPh sb="3" eb="4">
      <t>カ</t>
    </rPh>
    <phoneticPr fontId="12"/>
  </si>
  <si>
    <t>SSC-CL-5-3F-02</t>
  </si>
  <si>
    <t>矢野恵</t>
    <rPh sb="0" eb="2">
      <t>ヤノ</t>
    </rPh>
    <rPh sb="2" eb="3">
      <t>メグミ</t>
    </rPh>
    <phoneticPr fontId="12"/>
  </si>
  <si>
    <t>DESKTOP-HLEJEO5</t>
  </si>
  <si>
    <t>8950DB7C-476F-42D0-95DD-132C4A9F6F91</t>
  </si>
  <si>
    <t>00330-51273-09376-AAOEM</t>
  </si>
  <si>
    <t>‎2024/‎10/‎04</t>
  </si>
  <si>
    <t>Windows 機能エクスペリエンス パック 1000.26100.54.0</t>
  </si>
  <si>
    <t>橋口千聖</t>
    <rPh sb="0" eb="2">
      <t>ハシグチ</t>
    </rPh>
    <rPh sb="2" eb="4">
      <t>チサト</t>
    </rPh>
    <phoneticPr fontId="12"/>
  </si>
  <si>
    <t>SSC-CL-5-3F-03</t>
  </si>
  <si>
    <t>西村穂乃果</t>
    <rPh sb="0" eb="2">
      <t>ニシムラ</t>
    </rPh>
    <rPh sb="2" eb="5">
      <t>ホノカ</t>
    </rPh>
    <phoneticPr fontId="12"/>
  </si>
  <si>
    <t>品質保証部</t>
    <rPh sb="0" eb="4">
      <t>ヒンシツホショウ</t>
    </rPh>
    <rPh sb="4" eb="5">
      <t>ブ</t>
    </rPh>
    <phoneticPr fontId="12"/>
  </si>
  <si>
    <t>品質管理課</t>
    <rPh sb="0" eb="5">
      <t>ヒンシツカンリカ</t>
    </rPh>
    <phoneticPr fontId="12"/>
  </si>
  <si>
    <t>8.00 GB (7.87 GB 使用可能)</t>
  </si>
  <si>
    <t>00330-50878-51194-AAOEM</t>
  </si>
  <si>
    <t>野村秀太朗</t>
    <rPh sb="0" eb="2">
      <t>ノムラ</t>
    </rPh>
    <rPh sb="2" eb="5">
      <t>シュウタロウ</t>
    </rPh>
    <phoneticPr fontId="12"/>
  </si>
  <si>
    <t>8.00GB(7.80GB使用可能)</t>
    <rPh sb="13" eb="15">
      <t>シヨウ</t>
    </rPh>
    <rPh sb="15" eb="17">
      <t>カノウ</t>
    </rPh>
    <phoneticPr fontId="12"/>
  </si>
  <si>
    <t>このディスプレイでは、ペン入力とタッチ入力は利用できません。</t>
    <rPh sb="13" eb="15">
      <t>ニュウリョク</t>
    </rPh>
    <rPh sb="19" eb="21">
      <t>ニュウリョク</t>
    </rPh>
    <rPh sb="22" eb="24">
      <t>リヨウ</t>
    </rPh>
    <phoneticPr fontId="12"/>
  </si>
  <si>
    <t>Windows 機能エクスペリエンス パック 1000.26100.54.0</t>
    <rPh sb="8" eb="10">
      <t>キノウ</t>
    </rPh>
    <phoneticPr fontId="12"/>
  </si>
  <si>
    <t>井上幸哉</t>
    <rPh sb="0" eb="2">
      <t>イノウエ</t>
    </rPh>
    <rPh sb="2" eb="3">
      <t>ユキ</t>
    </rPh>
    <rPh sb="3" eb="4">
      <t>ヤ</t>
    </rPh>
    <phoneticPr fontId="12"/>
  </si>
  <si>
    <t>SSC-5-3F-01</t>
  </si>
  <si>
    <t>ローカル側のＯＳ起動時間ですが、事務所の中央にある複合機と繋がらなかった時は、再起動の時に10分以上かかりました。
プリンターのデバイスでエラーがずっと表示されていて、エラーを消すためにキューを開いて削除をしたが実行されなかった(原因も理由も不明)。
Accessは使いたいけど、シンクライアントでエクセルと連動すると、フリーズしそうで使ってない。
エクセルの数式が自動から手動に切り替わっていることがある。
本社の事務所はエアコンの風が直接当たり、体調を崩してる気がする。風向きとデスクの配置が悪い気がする（窓側は暑すぎるし寒すぎる。）
社内に向けてデータの受け渡しをメールですることが多いように感じます。全員が入れる掲示板的な「受け渡しフォルダ」があると便利だと思います。
※１週間程度でデータが消えれば、容量を取らないかと思います。
※営業の売上報告書の閲覧ができるように、個人がフレキシブルにフォルダを作れる感じ。</t>
    <rPh sb="4" eb="5">
      <t>ガワ</t>
    </rPh>
    <rPh sb="8" eb="10">
      <t>キドウ</t>
    </rPh>
    <rPh sb="10" eb="12">
      <t>ジカン</t>
    </rPh>
    <rPh sb="16" eb="18">
      <t>ジム</t>
    </rPh>
    <rPh sb="18" eb="19">
      <t>ショ</t>
    </rPh>
    <rPh sb="20" eb="22">
      <t>チュウオウ</t>
    </rPh>
    <rPh sb="25" eb="28">
      <t>フクゴウキ</t>
    </rPh>
    <rPh sb="29" eb="30">
      <t>ツナ</t>
    </rPh>
    <rPh sb="36" eb="37">
      <t>トキ</t>
    </rPh>
    <rPh sb="39" eb="42">
      <t>サイキドウ</t>
    </rPh>
    <rPh sb="43" eb="44">
      <t>トキ</t>
    </rPh>
    <rPh sb="47" eb="48">
      <t>フン</t>
    </rPh>
    <rPh sb="48" eb="50">
      <t>イジョウ</t>
    </rPh>
    <rPh sb="76" eb="78">
      <t>ヒョウジ</t>
    </rPh>
    <rPh sb="88" eb="89">
      <t>ケ</t>
    </rPh>
    <rPh sb="97" eb="98">
      <t>ヒラ</t>
    </rPh>
    <rPh sb="100" eb="102">
      <t>サクジョ</t>
    </rPh>
    <rPh sb="106" eb="108">
      <t>ジッコウ</t>
    </rPh>
    <rPh sb="115" eb="117">
      <t>ゲンイン</t>
    </rPh>
    <rPh sb="118" eb="120">
      <t>リユウ</t>
    </rPh>
    <rPh sb="121" eb="123">
      <t>フメイ</t>
    </rPh>
    <rPh sb="180" eb="182">
      <t>スウシキ</t>
    </rPh>
    <rPh sb="183" eb="185">
      <t>ジドウ</t>
    </rPh>
    <rPh sb="232" eb="233">
      <t>キ</t>
    </rPh>
    <rPh sb="237" eb="239">
      <t>カザム</t>
    </rPh>
    <rPh sb="245" eb="247">
      <t>ハイチ</t>
    </rPh>
    <rPh sb="248" eb="249">
      <t>ワル</t>
    </rPh>
    <rPh sb="250" eb="251">
      <t>キ</t>
    </rPh>
    <rPh sb="255" eb="257">
      <t>マドガワ</t>
    </rPh>
    <rPh sb="258" eb="259">
      <t>アツ</t>
    </rPh>
    <rPh sb="263" eb="264">
      <t>サム</t>
    </rPh>
    <rPh sb="270" eb="272">
      <t>シャナイ</t>
    </rPh>
    <rPh sb="273" eb="274">
      <t>ム</t>
    </rPh>
    <rPh sb="280" eb="281">
      <t>ウ</t>
    </rPh>
    <rPh sb="282" eb="283">
      <t>ワタ</t>
    </rPh>
    <rPh sb="294" eb="295">
      <t>オオ</t>
    </rPh>
    <rPh sb="299" eb="300">
      <t>カン</t>
    </rPh>
    <rPh sb="304" eb="306">
      <t>ゼンイン</t>
    </rPh>
    <rPh sb="307" eb="308">
      <t>ハイ</t>
    </rPh>
    <rPh sb="310" eb="314">
      <t>ケイジバンテキ</t>
    </rPh>
    <rPh sb="316" eb="317">
      <t>ウ</t>
    </rPh>
    <rPh sb="318" eb="319">
      <t>ワタ</t>
    </rPh>
    <rPh sb="329" eb="331">
      <t>ベンリ</t>
    </rPh>
    <rPh sb="333" eb="334">
      <t>オモ</t>
    </rPh>
    <rPh sb="341" eb="343">
      <t>シュウカン</t>
    </rPh>
    <rPh sb="343" eb="345">
      <t>テイド</t>
    </rPh>
    <rPh sb="350" eb="351">
      <t>キ</t>
    </rPh>
    <rPh sb="355" eb="357">
      <t>ヨウリョウ</t>
    </rPh>
    <rPh sb="358" eb="359">
      <t>ト</t>
    </rPh>
    <rPh sb="364" eb="365">
      <t>オモ</t>
    </rPh>
    <rPh sb="371" eb="373">
      <t>エイギョウ</t>
    </rPh>
    <rPh sb="374" eb="376">
      <t>ウリアゲ</t>
    </rPh>
    <rPh sb="376" eb="379">
      <t>ホウコクショ</t>
    </rPh>
    <rPh sb="380" eb="382">
      <t>エツラン</t>
    </rPh>
    <rPh sb="390" eb="392">
      <t>コジン</t>
    </rPh>
    <rPh sb="405" eb="406">
      <t>ツク</t>
    </rPh>
    <rPh sb="408" eb="409">
      <t>カン</t>
    </rPh>
    <phoneticPr fontId="12"/>
  </si>
  <si>
    <t>島田智章</t>
    <rPh sb="0" eb="2">
      <t>シマダ</t>
    </rPh>
    <rPh sb="2" eb="4">
      <t>トモアキ</t>
    </rPh>
    <phoneticPr fontId="12"/>
  </si>
  <si>
    <t>技術製造部</t>
    <rPh sb="0" eb="4">
      <t>ギジュツセイゾウ</t>
    </rPh>
    <rPh sb="4" eb="5">
      <t>ブ</t>
    </rPh>
    <phoneticPr fontId="12"/>
  </si>
  <si>
    <t>生産管理課</t>
    <rPh sb="0" eb="5">
      <t>セイサンカンリカ</t>
    </rPh>
    <phoneticPr fontId="12"/>
  </si>
  <si>
    <t>生産管理</t>
    <rPh sb="0" eb="2">
      <t>セイサン</t>
    </rPh>
    <rPh sb="2" eb="4">
      <t>カンリ</t>
    </rPh>
    <phoneticPr fontId="12"/>
  </si>
  <si>
    <t>DESKTOP-GNL3HE7</t>
  </si>
  <si>
    <t>Intel(R) Core(TM) i3-10105 CPU @ 3.70GHz   3.70 GHz</t>
  </si>
  <si>
    <t>4.00 GB (3.75 GB 使用可能)</t>
  </si>
  <si>
    <t>83024794-55E5-491E-A9CA-CA26AAD227E2</t>
  </si>
  <si>
    <t>00342-21982-93221-AAOEM</t>
  </si>
  <si>
    <t>‎2025/‎01/‎21</t>
  </si>
  <si>
    <t>CJD26N3</t>
  </si>
  <si>
    <t>有</t>
    <rPh sb="0" eb="1">
      <t>アリ</t>
    </rPh>
    <phoneticPr fontId="37"/>
  </si>
  <si>
    <t>管理部送り状印刷用</t>
    <rPh sb="0" eb="2">
      <t>カンリ</t>
    </rPh>
    <rPh sb="2" eb="3">
      <t>ブ</t>
    </rPh>
    <rPh sb="3" eb="4">
      <t>オク</t>
    </rPh>
    <rPh sb="5" eb="6">
      <t>ジョウ</t>
    </rPh>
    <rPh sb="6" eb="9">
      <t>インサツヨウ</t>
    </rPh>
    <phoneticPr fontId="37"/>
  </si>
  <si>
    <t>TPiCS/仕様</t>
    <rPh sb="6" eb="8">
      <t>シヨウ</t>
    </rPh>
    <phoneticPr fontId="12"/>
  </si>
  <si>
    <t>鳥山一洋</t>
    <rPh sb="0" eb="2">
      <t>トリヤマ</t>
    </rPh>
    <rPh sb="2" eb="4">
      <t>カズヒロ</t>
    </rPh>
    <phoneticPr fontId="12"/>
  </si>
  <si>
    <t>DESKTOP-HTT8PPL</t>
  </si>
  <si>
    <t>12th Gen Intel(R) Core(TM) i5-12400   2.50 GHz</t>
  </si>
  <si>
    <t>8.00 GB (7.68 GB 使用可能)</t>
  </si>
  <si>
    <t>986EB5DF-54F4-42AF-B0BB-C22745A9A845</t>
  </si>
  <si>
    <t>00342-20989-95592-AAOEM</t>
  </si>
  <si>
    <t>‎2024/‎12/‎25</t>
  </si>
  <si>
    <t>GM02G0BC</t>
  </si>
  <si>
    <t>Windows 機能エクスペリエンス パック 1000.26100.66.0</t>
  </si>
  <si>
    <t>TPiCS/製造</t>
    <rPh sb="6" eb="8">
      <t>セイゾウ</t>
    </rPh>
    <phoneticPr fontId="12"/>
  </si>
  <si>
    <t>馬場阿弥子</t>
    <rPh sb="0" eb="2">
      <t>ババ</t>
    </rPh>
    <rPh sb="2" eb="3">
      <t>ア</t>
    </rPh>
    <rPh sb="3" eb="4">
      <t>ヤ</t>
    </rPh>
    <rPh sb="4" eb="5">
      <t>コ</t>
    </rPh>
    <phoneticPr fontId="12"/>
  </si>
  <si>
    <t>DESKTOP-QCCI7DQ</t>
  </si>
  <si>
    <t>Intel(R) Core(TM) i5-8350U CPU @ 1.70GHz   1.90 GHz</t>
  </si>
  <si>
    <t>8.00 GB (7.88 GB 使用可能)</t>
  </si>
  <si>
    <t>85820924-B925-4E6F-BEF5-1A2CFD734C51</t>
  </si>
  <si>
    <t>00330-80000-00000-AA857</t>
  </si>
  <si>
    <t>‎2025/‎01/‎30</t>
  </si>
  <si>
    <t>中島和哉</t>
    <rPh sb="0" eb="2">
      <t>ナカシマ</t>
    </rPh>
    <rPh sb="2" eb="4">
      <t>カズヤ</t>
    </rPh>
    <phoneticPr fontId="12"/>
  </si>
  <si>
    <t>43D584B0-0961-42BA-8ABD-0947A5E637B4</t>
  </si>
  <si>
    <t>00342-21982-93229-AAOEM</t>
  </si>
  <si>
    <t>ペンのサポート</t>
  </si>
  <si>
    <t>‎2025/‎01/‎31</t>
  </si>
  <si>
    <t>本社3F共用ノートPC</t>
    <rPh sb="0" eb="2">
      <t>ホンシャ</t>
    </rPh>
    <rPh sb="4" eb="6">
      <t>キョウヨウ</t>
    </rPh>
    <phoneticPr fontId="37"/>
  </si>
  <si>
    <t>東香里</t>
    <rPh sb="0" eb="1">
      <t>アズマ</t>
    </rPh>
    <rPh sb="1" eb="3">
      <t>カオリ</t>
    </rPh>
    <phoneticPr fontId="12"/>
  </si>
  <si>
    <t>生産管理事務</t>
    <rPh sb="0" eb="2">
      <t>セイサン</t>
    </rPh>
    <rPh sb="2" eb="4">
      <t>カンリ</t>
    </rPh>
    <rPh sb="4" eb="6">
      <t>ジム</t>
    </rPh>
    <phoneticPr fontId="12"/>
  </si>
  <si>
    <t>高性能</t>
    <rPh sb="0" eb="3">
      <t>コウセイノウ</t>
    </rPh>
    <phoneticPr fontId="37"/>
  </si>
  <si>
    <r>
      <t xml:space="preserve">・日によるがシャットダウンの際に時間がかかる(3～5分程)。開いていないアプリが開いているというエラーが出がち(すぐエラーのポップが消える為何のエラーか不明)
</t>
    </r>
    <r>
      <rPr>
        <sz val="8"/>
        <color rgb="FFFF0000"/>
        <rFont val="Meiryo UI"/>
        <family val="3"/>
        <charset val="128"/>
      </rPr>
      <t>社用スマホ＝サンプル到着報告チャット用に DIGNO(旧島田主任)を使用、AndroidOS要注意</t>
    </r>
    <rPh sb="1" eb="2">
      <t>ヒ</t>
    </rPh>
    <rPh sb="14" eb="15">
      <t>サイ</t>
    </rPh>
    <rPh sb="16" eb="18">
      <t>ジカン</t>
    </rPh>
    <rPh sb="26" eb="27">
      <t>フン</t>
    </rPh>
    <rPh sb="27" eb="28">
      <t>ホド</t>
    </rPh>
    <rPh sb="30" eb="31">
      <t>ヒラ</t>
    </rPh>
    <rPh sb="40" eb="41">
      <t>ヒラ</t>
    </rPh>
    <rPh sb="52" eb="53">
      <t>デ</t>
    </rPh>
    <rPh sb="66" eb="67">
      <t>キ</t>
    </rPh>
    <rPh sb="69" eb="70">
      <t>タメ</t>
    </rPh>
    <rPh sb="70" eb="71">
      <t>ナン</t>
    </rPh>
    <rPh sb="76" eb="78">
      <t>フメイ</t>
    </rPh>
    <rPh sb="81" eb="83">
      <t>シャヨウ</t>
    </rPh>
    <rPh sb="91" eb="93">
      <t>トウチャク</t>
    </rPh>
    <rPh sb="93" eb="95">
      <t>ホウコク</t>
    </rPh>
    <rPh sb="99" eb="100">
      <t>ヨウ</t>
    </rPh>
    <rPh sb="108" eb="109">
      <t>キュウ</t>
    </rPh>
    <rPh sb="109" eb="111">
      <t>シマダ</t>
    </rPh>
    <rPh sb="111" eb="113">
      <t>シュニン</t>
    </rPh>
    <rPh sb="115" eb="117">
      <t>シヨウ</t>
    </rPh>
    <rPh sb="127" eb="130">
      <t>ヨウチュウイ</t>
    </rPh>
    <phoneticPr fontId="12"/>
  </si>
  <si>
    <t>徳永彩花</t>
    <rPh sb="0" eb="2">
      <t>トクナガ</t>
    </rPh>
    <rPh sb="2" eb="4">
      <t>アヤカ</t>
    </rPh>
    <phoneticPr fontId="12"/>
  </si>
  <si>
    <t>Intel(R) Core(TM) i5-9400 CPU @ 2.90GHz   2.90 GHz</t>
  </si>
  <si>
    <t>8.00 GB (7.84 GB 使用可能)</t>
  </si>
  <si>
    <t>21D3081B-9619-4765-95BD-5A2243034B9E</t>
  </si>
  <si>
    <t>00325-81519-70499-AAOEM</t>
  </si>
  <si>
    <t>GN1P603</t>
  </si>
  <si>
    <t>森尾直浩(共用)</t>
    <rPh sb="0" eb="2">
      <t>モリオ</t>
    </rPh>
    <rPh sb="2" eb="4">
      <t>ナオヒロ</t>
    </rPh>
    <rPh sb="5" eb="7">
      <t>キョウヨウ</t>
    </rPh>
    <phoneticPr fontId="37"/>
  </si>
  <si>
    <t>北村優樹</t>
    <rPh sb="0" eb="2">
      <t>キタムラ</t>
    </rPh>
    <rPh sb="2" eb="3">
      <t>ユウ</t>
    </rPh>
    <rPh sb="3" eb="4">
      <t>キ</t>
    </rPh>
    <phoneticPr fontId="12"/>
  </si>
  <si>
    <t>物流</t>
    <rPh sb="0" eb="2">
      <t>ブツリュウ</t>
    </rPh>
    <phoneticPr fontId="12"/>
  </si>
  <si>
    <t>SSC-CF-5-1F-01</t>
  </si>
  <si>
    <t>MyComputer</t>
  </si>
  <si>
    <t>Intel(R) Core(TM) i5-7200U CPU @ 2.50GHz   2.70 GHz</t>
  </si>
  <si>
    <t>1F1760A0-FE97-4548-B6B4-B9B88B60F02F</t>
  </si>
  <si>
    <t>00325-96203-16953-AAOEM</t>
  </si>
  <si>
    <t>Windows 10 Home</t>
  </si>
  <si>
    <t>B</t>
  </si>
  <si>
    <t>池田悦彰</t>
    <rPh sb="0" eb="2">
      <t>イケダ</t>
    </rPh>
    <rPh sb="2" eb="3">
      <t>エツ</t>
    </rPh>
    <rPh sb="3" eb="4">
      <t>アキラ</t>
    </rPh>
    <phoneticPr fontId="12"/>
  </si>
  <si>
    <t>VivoBook</t>
  </si>
  <si>
    <t>DESKTOP-9R2BC4C</t>
  </si>
  <si>
    <t>Intel(R) Pentium(R) Silver N6000 @ 1.10GHz   1.11 GHz</t>
  </si>
  <si>
    <t>8.00 GB (7.75 GB 使用可能)</t>
  </si>
  <si>
    <t>12295587-776B-4BE7-BDE0-5E4370AB6DDC</t>
  </si>
  <si>
    <t>00342-20769-22518-AAOEM</t>
  </si>
  <si>
    <t>2025/‎03/‎14</t>
  </si>
  <si>
    <t>森尾直浩</t>
    <rPh sb="0" eb="2">
      <t>モリオ</t>
    </rPh>
    <rPh sb="2" eb="3">
      <t>ナオ</t>
    </rPh>
    <rPh sb="3" eb="4">
      <t>ヒロ</t>
    </rPh>
    <phoneticPr fontId="12"/>
  </si>
  <si>
    <t>MYCOMPUTER</t>
  </si>
  <si>
    <t>Intel(R) Core(TM) i5-6300U CPU @ 2.40GHz   2.50 GHz</t>
  </si>
  <si>
    <t>C1EA8D7D-E92C-4F1D-8261-8849D830E7C4</t>
  </si>
  <si>
    <t>00325-84915-70670-AAOEM</t>
  </si>
  <si>
    <t>‎2022/‎12/‎01</t>
  </si>
  <si>
    <t>徳永彩花</t>
    <rPh sb="0" eb="2">
      <t>トクナガ</t>
    </rPh>
    <rPh sb="2" eb="4">
      <t>アヤカ</t>
    </rPh>
    <phoneticPr fontId="37"/>
  </si>
  <si>
    <t>本社実績入力用タブレット</t>
    <rPh sb="0" eb="2">
      <t>ホンシャ</t>
    </rPh>
    <rPh sb="2" eb="4">
      <t>ジッセキ</t>
    </rPh>
    <rPh sb="4" eb="7">
      <t>ニュウリョクヨウ</t>
    </rPh>
    <phoneticPr fontId="12"/>
  </si>
  <si>
    <t>mouse⑥</t>
  </si>
  <si>
    <t>予備タブレット</t>
    <rPh sb="0" eb="2">
      <t>ヨビ</t>
    </rPh>
    <phoneticPr fontId="12"/>
  </si>
  <si>
    <t>幹部会議用タブレット(生産管理)</t>
    <rPh sb="0" eb="2">
      <t>カンブ</t>
    </rPh>
    <rPh sb="2" eb="5">
      <t>カイギヨウ</t>
    </rPh>
    <rPh sb="11" eb="13">
      <t>セイサン</t>
    </rPh>
    <rPh sb="13" eb="15">
      <t>カンリ</t>
    </rPh>
    <phoneticPr fontId="12"/>
  </si>
  <si>
    <t>Expert Book②</t>
  </si>
  <si>
    <t>企画営業部</t>
    <rPh sb="0" eb="2">
      <t>キカク</t>
    </rPh>
    <rPh sb="2" eb="4">
      <t>エイギョウ</t>
    </rPh>
    <rPh sb="4" eb="5">
      <t>ブ</t>
    </rPh>
    <phoneticPr fontId="12"/>
  </si>
  <si>
    <t>企画課</t>
    <rPh sb="0" eb="3">
      <t>キカクカ</t>
    </rPh>
    <phoneticPr fontId="12"/>
  </si>
  <si>
    <t>DESKTOP-O080E3G</t>
  </si>
  <si>
    <t>Snapdragon (TM) 7c @ 1.96 GHz   2.55 GHz</t>
  </si>
  <si>
    <t>8.00 GB (7.67 GB 使用可能)</t>
  </si>
  <si>
    <t>424A3461-03FE-42B7-9DA8-6A8910485747</t>
  </si>
  <si>
    <t>00356-07278-77032-AAOEM</t>
  </si>
  <si>
    <t>64 ビット オペレーティング システム、ARM ベース プロセッサ</t>
  </si>
  <si>
    <t>Windows 11 Home in S mode</t>
  </si>
  <si>
    <t>21H2</t>
  </si>
  <si>
    <t>‎2022/‎10/‎18</t>
  </si>
  <si>
    <t>Windows 機能エクスペリエンス パック 1000.22001.1000.0</t>
  </si>
  <si>
    <t>予備タブレット(幹部会議で使用)</t>
    <rPh sb="8" eb="10">
      <t>カンブ</t>
    </rPh>
    <rPh sb="10" eb="12">
      <t>カイギ</t>
    </rPh>
    <rPh sb="13" eb="15">
      <t>シヨウ</t>
    </rPh>
    <phoneticPr fontId="12"/>
  </si>
  <si>
    <t>本社3F共用ノートPC</t>
    <rPh sb="0" eb="2">
      <t>ホンシャ</t>
    </rPh>
    <rPh sb="4" eb="6">
      <t>キョウヨウ</t>
    </rPh>
    <phoneticPr fontId="12"/>
  </si>
  <si>
    <t>SSC-2-3F-01</t>
  </si>
  <si>
    <t>DESKTOP-IANPUMM</t>
  </si>
  <si>
    <t>Intel(R) Core(TM) i5-4200M CPU @ 2.50GHz   2.49 GHz</t>
  </si>
  <si>
    <t>4.00 GB (3.90 GB 使用可能)</t>
  </si>
  <si>
    <t>A16C3D26-B2BB-40B8-8A3E-310AF5F823A7</t>
  </si>
  <si>
    <t>00326-03521-57414-AAOEM</t>
  </si>
  <si>
    <t>‎2021/‎02/‎17</t>
  </si>
  <si>
    <t>Windows Feature Experience Pack 1000.19060.1000.0</t>
  </si>
  <si>
    <t>中島和哉</t>
    <rPh sb="0" eb="2">
      <t>ナカシマ</t>
    </rPh>
    <rPh sb="2" eb="4">
      <t>カズヤ</t>
    </rPh>
    <phoneticPr fontId="37"/>
  </si>
  <si>
    <t>共用ノートPC</t>
    <rPh sb="0" eb="2">
      <t>キョウヨウ</t>
    </rPh>
    <phoneticPr fontId="12"/>
  </si>
  <si>
    <t>第一倉庫のタブレット現品票印刷用</t>
    <rPh sb="0" eb="4">
      <t>ダイイチソウコ</t>
    </rPh>
    <rPh sb="10" eb="13">
      <t>ゲンピンヒョウ</t>
    </rPh>
    <rPh sb="13" eb="16">
      <t>インサツヨウ</t>
    </rPh>
    <phoneticPr fontId="12"/>
  </si>
  <si>
    <t>LAVIE③</t>
  </si>
  <si>
    <t>第一倉庫のタブレットで現品票印刷用に使用</t>
    <rPh sb="0" eb="2">
      <t>ダイイチ</t>
    </rPh>
    <rPh sb="2" eb="4">
      <t>ソウコ</t>
    </rPh>
    <rPh sb="11" eb="14">
      <t>ゲンピンヒョウ</t>
    </rPh>
    <rPh sb="14" eb="16">
      <t>インサツ</t>
    </rPh>
    <rPh sb="16" eb="17">
      <t>ヨウ</t>
    </rPh>
    <rPh sb="18" eb="20">
      <t>シヨウ</t>
    </rPh>
    <phoneticPr fontId="12"/>
  </si>
  <si>
    <t>森山貴史</t>
    <rPh sb="0" eb="2">
      <t>モリヤマ</t>
    </rPh>
    <rPh sb="2" eb="4">
      <t>タカシ</t>
    </rPh>
    <phoneticPr fontId="12"/>
  </si>
  <si>
    <t>SSC-CL-2-2F-01</t>
  </si>
  <si>
    <t>DESKTOP-2N6E4LB</t>
  </si>
  <si>
    <t>Intel(R) Core(TM) i3-4000M CPU @ 2.40GHz   2.40 GHz</t>
  </si>
  <si>
    <t>4CE5BCD4-55FA-4216-8DAC-06311174FC73</t>
  </si>
  <si>
    <t>00330-80000-00000-AA868</t>
  </si>
  <si>
    <t>‎2021/‎07/‎29</t>
  </si>
  <si>
    <t>製造記録</t>
    <rPh sb="0" eb="2">
      <t>セイゾウ</t>
    </rPh>
    <rPh sb="2" eb="4">
      <t>キロク</t>
    </rPh>
    <phoneticPr fontId="12"/>
  </si>
  <si>
    <t>小田晶彦</t>
    <rPh sb="0" eb="2">
      <t>オダ</t>
    </rPh>
    <rPh sb="2" eb="4">
      <t>アキヒコ</t>
    </rPh>
    <phoneticPr fontId="12"/>
  </si>
  <si>
    <t>製造課</t>
    <rPh sb="0" eb="2">
      <t>セイゾウ</t>
    </rPh>
    <rPh sb="2" eb="3">
      <t>カ</t>
    </rPh>
    <phoneticPr fontId="12"/>
  </si>
  <si>
    <t>バルク・顆粒</t>
    <rPh sb="4" eb="6">
      <t>カリュウ</t>
    </rPh>
    <phoneticPr fontId="12"/>
  </si>
  <si>
    <t>SSC-CL-5-2F-01</t>
  </si>
  <si>
    <t>8.00 GB (7.85 GB 使用可能)</t>
  </si>
  <si>
    <t>478EA1FC-AE7C-4FE6-B341-F55F83493682</t>
  </si>
  <si>
    <t>00325-84915-70665-AAOEM</t>
  </si>
  <si>
    <t>‎2022/‎12/‎13</t>
  </si>
  <si>
    <t>上辻耕太</t>
    <rPh sb="0" eb="2">
      <t>ウエツジ</t>
    </rPh>
    <rPh sb="2" eb="4">
      <t>コウタ</t>
    </rPh>
    <phoneticPr fontId="12"/>
  </si>
  <si>
    <t>mouse④</t>
  </si>
  <si>
    <t>SSC-CF-5-1F-03</t>
  </si>
  <si>
    <t>DESKTOP-E2UBCNM</t>
  </si>
  <si>
    <t>Inter® Celeron® N4100 CPU @ 1.10GHz 1.10GHz</t>
  </si>
  <si>
    <t>4.00GB(3.83GB使用可能)</t>
    <rPh sb="13" eb="15">
      <t>シヨウ</t>
    </rPh>
    <rPh sb="15" eb="17">
      <t>カノウ</t>
    </rPh>
    <phoneticPr fontId="12"/>
  </si>
  <si>
    <t>36BCAE6C-5095-4DA1-83E1-8CE32D22D812</t>
  </si>
  <si>
    <t>00330-54055-59708-AAOEM</t>
  </si>
  <si>
    <t>U104910839</t>
  </si>
  <si>
    <t>Windows 機能エクスペリエンスパック 1000.22700.1074.0</t>
    <rPh sb="8" eb="10">
      <t>キノウ</t>
    </rPh>
    <phoneticPr fontId="12"/>
  </si>
  <si>
    <t>外間裕貴人</t>
    <rPh sb="0" eb="2">
      <t>ホカマ</t>
    </rPh>
    <rPh sb="2" eb="3">
      <t>ユウ</t>
    </rPh>
    <rPh sb="3" eb="4">
      <t>キ</t>
    </rPh>
    <rPh sb="4" eb="5">
      <t>ヒト</t>
    </rPh>
    <phoneticPr fontId="12"/>
  </si>
  <si>
    <t>松井敬視</t>
    <rPh sb="0" eb="2">
      <t>マツイ</t>
    </rPh>
    <rPh sb="2" eb="3">
      <t>タカシ</t>
    </rPh>
    <rPh sb="3" eb="4">
      <t>シ</t>
    </rPh>
    <phoneticPr fontId="12"/>
  </si>
  <si>
    <t>mouse⑤</t>
  </si>
  <si>
    <t>Windows 機能エクスペリエンスパック 1000.22700.1077.0</t>
    <rPh sb="8" eb="10">
      <t>キノウ</t>
    </rPh>
    <phoneticPr fontId="12"/>
  </si>
  <si>
    <t>小田勇雄</t>
    <rPh sb="0" eb="2">
      <t>オダ</t>
    </rPh>
    <rPh sb="2" eb="4">
      <t>イサオ</t>
    </rPh>
    <phoneticPr fontId="12"/>
  </si>
  <si>
    <t>充填包装</t>
    <rPh sb="0" eb="2">
      <t>ジュウテン</t>
    </rPh>
    <rPh sb="2" eb="4">
      <t>ホウソウ</t>
    </rPh>
    <phoneticPr fontId="12"/>
  </si>
  <si>
    <t>SSC-CF-2-2F-01</t>
  </si>
  <si>
    <t>SSC-CF-2-2F-03</t>
  </si>
  <si>
    <t>SSC-CL-2-2F-03</t>
  </si>
  <si>
    <t>DESKTOP-GP448S6</t>
  </si>
  <si>
    <t>Intel(R) Core(TM) i3-6006U CPU @ 2.00GHz   2.00 GHz</t>
  </si>
  <si>
    <t>4.00 GB</t>
  </si>
  <si>
    <t>14002981-0578-45F8-ABD6-83D4CF16AA90</t>
  </si>
  <si>
    <t>00330-50746-19089-AAOEM</t>
  </si>
  <si>
    <t>‎2021/‎10/‎05</t>
  </si>
  <si>
    <t>YH038702H</t>
  </si>
  <si>
    <t>東口智一</t>
    <rPh sb="0" eb="2">
      <t>ヒガシグチ</t>
    </rPh>
    <rPh sb="2" eb="4">
      <t>トモカズ</t>
    </rPh>
    <phoneticPr fontId="12"/>
  </si>
  <si>
    <t>SSC-CF-5-2F-03</t>
  </si>
  <si>
    <t>DESKTOP-HCA34M3</t>
  </si>
  <si>
    <t>Intel(R) Core(TM) i5-4300M CPU @ 2.60GHz   2.59 GHz</t>
  </si>
  <si>
    <t>8.00 GB (7.90 GB 使用可能)</t>
  </si>
  <si>
    <t>91B98C73-78E2-40D4-9B65-7738EB5A5311</t>
  </si>
  <si>
    <t>‎2023/‎07/‎07</t>
  </si>
  <si>
    <t>Windows Feature Experience Pack 1000.22700.1041.0</t>
  </si>
  <si>
    <t>藤本洸平</t>
    <rPh sb="0" eb="2">
      <t>フジモト</t>
    </rPh>
    <rPh sb="2" eb="4">
      <t>コウヘイ</t>
    </rPh>
    <phoneticPr fontId="12"/>
  </si>
  <si>
    <t>LAVIE⑤</t>
  </si>
  <si>
    <t>SSC-CF-2-2F-02</t>
  </si>
  <si>
    <t>DESKTOP-53AITPN</t>
  </si>
  <si>
    <t>Intel(R) Celeron(R) N4100 CPU @ 1.10GHz   1.10 GHz</t>
  </si>
  <si>
    <t>4.00 GB (3.64 GB 使用可能)</t>
  </si>
  <si>
    <t>EE72E688-3097-4CF6-A888-0B57A41A058E</t>
  </si>
  <si>
    <t>00330-53364-74161-AAOEM</t>
  </si>
  <si>
    <t>2025/‎02/‎10</t>
  </si>
  <si>
    <t>松山丈弘</t>
    <rPh sb="0" eb="2">
      <t>マツヤマ</t>
    </rPh>
    <rPh sb="2" eb="4">
      <t>タケヒロ</t>
    </rPh>
    <phoneticPr fontId="12"/>
  </si>
  <si>
    <t>LAVIE④</t>
  </si>
  <si>
    <t>DESKTOP-4VIB4FK</t>
  </si>
  <si>
    <t>1F8CC442-27AB-4BFE-A83B-DA7900AA0BF2</t>
  </si>
  <si>
    <t>00330-53364-74160-AAOEM</t>
  </si>
  <si>
    <t>2025/‎03/‎10</t>
  </si>
  <si>
    <t>1000.26100.36.0</t>
  </si>
  <si>
    <t>Windows 機能エクスペリエンス パック</t>
  </si>
  <si>
    <t>現場のタブレットを主に使用しているが、シンクラ上での作業は常に接続が切れ１文字打つ度に途切れたりフリーズする事が多いので改善してほしい。</t>
    <rPh sb="0" eb="2">
      <t>ゲンバ</t>
    </rPh>
    <rPh sb="9" eb="10">
      <t>オモ</t>
    </rPh>
    <rPh sb="11" eb="13">
      <t>シヨウ</t>
    </rPh>
    <rPh sb="23" eb="24">
      <t>ジョウ</t>
    </rPh>
    <rPh sb="26" eb="28">
      <t>サギョウ</t>
    </rPh>
    <rPh sb="29" eb="30">
      <t>ツネ</t>
    </rPh>
    <rPh sb="31" eb="33">
      <t>セツゾク</t>
    </rPh>
    <rPh sb="34" eb="35">
      <t>キ</t>
    </rPh>
    <rPh sb="37" eb="39">
      <t>モジ</t>
    </rPh>
    <rPh sb="39" eb="40">
      <t>ウ</t>
    </rPh>
    <rPh sb="41" eb="42">
      <t>タビ</t>
    </rPh>
    <rPh sb="43" eb="45">
      <t>トギ</t>
    </rPh>
    <rPh sb="54" eb="55">
      <t>コト</t>
    </rPh>
    <rPh sb="56" eb="57">
      <t>オオ</t>
    </rPh>
    <rPh sb="60" eb="62">
      <t>カイゼン</t>
    </rPh>
    <phoneticPr fontId="12"/>
  </si>
  <si>
    <t>田中裕一</t>
    <rPh sb="0" eb="2">
      <t>タナカ</t>
    </rPh>
    <rPh sb="2" eb="4">
      <t>ユウイチ</t>
    </rPh>
    <phoneticPr fontId="12"/>
  </si>
  <si>
    <t>１０分以上接続が維持されることが珍しく、フリーズ・切断が頻発するので、現場でのパソコン業務がとても難しい。酷い時はワンクリック毎に接続切断され何もできない。</t>
    <rPh sb="2" eb="3">
      <t>フン</t>
    </rPh>
    <rPh sb="3" eb="5">
      <t>イジョウ</t>
    </rPh>
    <rPh sb="5" eb="7">
      <t>セツゾク</t>
    </rPh>
    <rPh sb="8" eb="10">
      <t>イジ</t>
    </rPh>
    <rPh sb="16" eb="17">
      <t>メズラ</t>
    </rPh>
    <rPh sb="25" eb="27">
      <t>セツダン</t>
    </rPh>
    <rPh sb="28" eb="30">
      <t>ヒンパツ</t>
    </rPh>
    <rPh sb="35" eb="37">
      <t>ゲンバ</t>
    </rPh>
    <rPh sb="43" eb="45">
      <t>ギョウム</t>
    </rPh>
    <rPh sb="49" eb="50">
      <t>ムズカ</t>
    </rPh>
    <rPh sb="53" eb="54">
      <t>ヒド</t>
    </rPh>
    <rPh sb="55" eb="56">
      <t>トキ</t>
    </rPh>
    <rPh sb="63" eb="64">
      <t>ゴト</t>
    </rPh>
    <rPh sb="65" eb="67">
      <t>セツゾク</t>
    </rPh>
    <rPh sb="67" eb="69">
      <t>セツダン</t>
    </rPh>
    <rPh sb="71" eb="72">
      <t>ナニ</t>
    </rPh>
    <phoneticPr fontId="12"/>
  </si>
  <si>
    <t>阿部俊樹</t>
    <rPh sb="0" eb="2">
      <t>アベ</t>
    </rPh>
    <rPh sb="2" eb="4">
      <t>トシキ</t>
    </rPh>
    <phoneticPr fontId="12"/>
  </si>
  <si>
    <t>SSC-CL-5-2F-03</t>
  </si>
  <si>
    <t xml:space="preserve">Intel(R) Core(TM) i5-4300M </t>
  </si>
  <si>
    <t>00330-50421-18011-AAOEM</t>
  </si>
  <si>
    <t>R9-0MWT4617/02</t>
  </si>
  <si>
    <t>松林三美</t>
    <rPh sb="0" eb="2">
      <t>マツバヤシ</t>
    </rPh>
    <rPh sb="2" eb="3">
      <t>サン</t>
    </rPh>
    <rPh sb="3" eb="4">
      <t>ビ</t>
    </rPh>
    <phoneticPr fontId="12"/>
  </si>
  <si>
    <t>事務</t>
    <rPh sb="0" eb="2">
      <t>ジム</t>
    </rPh>
    <phoneticPr fontId="12"/>
  </si>
  <si>
    <t>123</t>
  </si>
  <si>
    <t>cosmef02</t>
  </si>
  <si>
    <t>×</t>
  </si>
  <si>
    <t>DESKTOP-1C7KC0T</t>
  </si>
  <si>
    <t>Intel(R) Core(TM) i5-4300M CPU @ 2.60GHz   2.60 GHz</t>
  </si>
  <si>
    <t>16.0 GB</t>
  </si>
  <si>
    <t>E3914A0E-45F7-4DE6-AE80-9A5E69116493</t>
  </si>
  <si>
    <t>00330-80000-00000-AA646</t>
  </si>
  <si>
    <t>‎2020/‎12/‎23</t>
  </si>
  <si>
    <t>個詰め実績入力用タブレット</t>
    <rPh sb="0" eb="1">
      <t>コ</t>
    </rPh>
    <rPh sb="1" eb="2">
      <t>ヅ</t>
    </rPh>
    <rPh sb="3" eb="5">
      <t>ジッセキ</t>
    </rPh>
    <rPh sb="5" eb="8">
      <t>ニュウリョクヨウ</t>
    </rPh>
    <phoneticPr fontId="12"/>
  </si>
  <si>
    <t>SSC-CF-5-2F-02</t>
  </si>
  <si>
    <t>4.00 GB (3.64 GB 使用可能)</t>
    <rPh sb="17" eb="19">
      <t>シヨウ</t>
    </rPh>
    <rPh sb="19" eb="21">
      <t>カノウ</t>
    </rPh>
    <phoneticPr fontId="12"/>
  </si>
  <si>
    <t>鳥山ミキ</t>
    <rPh sb="0" eb="2">
      <t>トリヤマ</t>
    </rPh>
    <phoneticPr fontId="12"/>
  </si>
  <si>
    <t>035</t>
  </si>
  <si>
    <t>cosmef</t>
  </si>
  <si>
    <t>DESKTOP-KM18V15</t>
  </si>
  <si>
    <t>Intel(R) Celeron(R) N4020 CPU @ 1.10GHz   1.10 GHz</t>
  </si>
  <si>
    <t>8.00 GB (7.54 GB 使用可能)</t>
  </si>
  <si>
    <t>3F2D635B-D7BE-4D9F-92C6-608ECDD3B763</t>
  </si>
  <si>
    <t>00436-40821-56589-AAOEM</t>
  </si>
  <si>
    <t>Windows 10 IoT Enterprise LTSC</t>
  </si>
  <si>
    <t>‎2023/‎02/‎07</t>
  </si>
  <si>
    <t>8CG3060CSF</t>
  </si>
  <si>
    <t>Windows Feature Experience Pack 120.2212.4190.0</t>
  </si>
  <si>
    <t>内藤恭介</t>
    <rPh sb="0" eb="2">
      <t>ナイトウ</t>
    </rPh>
    <rPh sb="2" eb="4">
      <t>キョウスケ</t>
    </rPh>
    <phoneticPr fontId="12"/>
  </si>
  <si>
    <t>粉体</t>
    <rPh sb="0" eb="2">
      <t>フンタイ</t>
    </rPh>
    <phoneticPr fontId="12"/>
  </si>
  <si>
    <t>DESKTOP-6D8DT8V</t>
  </si>
  <si>
    <t>Intel(R) Core(TM) i3-3120M CPU @ 2.50GHz   2.50 GHz</t>
  </si>
  <si>
    <t>4.00 GB (3.86 GB 使用可能)</t>
  </si>
  <si>
    <t>DBA4DE5A-8F0B-4CD7-A6C5-AF579D54A572</t>
  </si>
  <si>
    <t>00330-50000-00000-AAOEM</t>
  </si>
  <si>
    <t>‎2021/‎08/‎05</t>
  </si>
  <si>
    <t>図書杏子</t>
    <rPh sb="0" eb="2">
      <t>トショ</t>
    </rPh>
    <rPh sb="2" eb="4">
      <t>キョウコ</t>
    </rPh>
    <phoneticPr fontId="37"/>
  </si>
  <si>
    <t>大川泰弘</t>
    <rPh sb="0" eb="2">
      <t>オオカワ</t>
    </rPh>
    <rPh sb="2" eb="4">
      <t>ヤスヒロ</t>
    </rPh>
    <phoneticPr fontId="12"/>
  </si>
  <si>
    <t>液体</t>
    <rPh sb="0" eb="2">
      <t>エキタイ</t>
    </rPh>
    <phoneticPr fontId="12"/>
  </si>
  <si>
    <t>B4F7E625-A03A-4F36-B842-4F00A28635C5</t>
  </si>
  <si>
    <t>00325-84915-70664-AAOEM</t>
  </si>
  <si>
    <t>2022/‎12/‎13</t>
  </si>
  <si>
    <t>MP1CWLUD</t>
  </si>
  <si>
    <t>丸中都</t>
    <rPh sb="0" eb="2">
      <t>マルナカ</t>
    </rPh>
    <rPh sb="2" eb="3">
      <t>ミヤコ</t>
    </rPh>
    <phoneticPr fontId="37"/>
  </si>
  <si>
    <t>伊澤浩司</t>
    <rPh sb="0" eb="2">
      <t>イザワ</t>
    </rPh>
    <rPh sb="2" eb="4">
      <t>ヒロシ</t>
    </rPh>
    <phoneticPr fontId="12"/>
  </si>
  <si>
    <t>3A1F71CE-F199-4CD1-9461-49D06772A896</t>
  </si>
  <si>
    <t>00325-84915-70669-AAOEM</t>
  </si>
  <si>
    <t>吉山勝宏</t>
    <rPh sb="0" eb="2">
      <t>ヨシヤマ</t>
    </rPh>
    <rPh sb="2" eb="3">
      <t>カツ</t>
    </rPh>
    <rPh sb="3" eb="4">
      <t>ヒロシ</t>
    </rPh>
    <phoneticPr fontId="12"/>
  </si>
  <si>
    <t>6E9B38C1-3247-4968-8FF7-273F7AB18591</t>
  </si>
  <si>
    <t>00325-84915-70666-AAOEM</t>
  </si>
  <si>
    <t>2022/‎12/‎01</t>
  </si>
  <si>
    <t>越智絵美子</t>
    <rPh sb="0" eb="2">
      <t>オチ</t>
    </rPh>
    <rPh sb="2" eb="5">
      <t>エミコ</t>
    </rPh>
    <phoneticPr fontId="37"/>
  </si>
  <si>
    <t>濱本雅喜</t>
    <rPh sb="0" eb="2">
      <t>ハマモト</t>
    </rPh>
    <rPh sb="2" eb="4">
      <t>マサキ</t>
    </rPh>
    <phoneticPr fontId="12"/>
  </si>
  <si>
    <t>21CA312D-FEBB-48F0-8811-893C42F59806</t>
  </si>
  <si>
    <t>00330-54933-06552-AAOEM</t>
  </si>
  <si>
    <t>管理部新人用PC</t>
    <rPh sb="0" eb="2">
      <t>カンリ</t>
    </rPh>
    <rPh sb="2" eb="3">
      <t>ブ</t>
    </rPh>
    <rPh sb="3" eb="6">
      <t>シンジンヨウ</t>
    </rPh>
    <phoneticPr fontId="37"/>
  </si>
  <si>
    <t>幹部会議用タブレット(粉体管理分)</t>
    <rPh sb="0" eb="2">
      <t>カンブ</t>
    </rPh>
    <rPh sb="2" eb="5">
      <t>カイギヨウ</t>
    </rPh>
    <rPh sb="11" eb="13">
      <t>フンタイ</t>
    </rPh>
    <rPh sb="13" eb="15">
      <t>カンリ</t>
    </rPh>
    <rPh sb="15" eb="16">
      <t>ブン</t>
    </rPh>
    <phoneticPr fontId="12"/>
  </si>
  <si>
    <t>Expert Book①</t>
  </si>
  <si>
    <t>DESKTOP-FN8R3CV</t>
  </si>
  <si>
    <t>ECB80315-76B7-4664-9BFF-20E9700F9B4E</t>
  </si>
  <si>
    <t>00356-07278-79263-AAOEM</t>
  </si>
  <si>
    <t>‎2023/‎11/‎27</t>
  </si>
  <si>
    <t>Windows 機能エクスペリエンス パック 1000.22700.1067.0</t>
  </si>
  <si>
    <t>粉体及び幹部会議で使用</t>
    <rPh sb="2" eb="3">
      <t>オヨ</t>
    </rPh>
    <rPh sb="4" eb="6">
      <t>カンブ</t>
    </rPh>
    <rPh sb="6" eb="8">
      <t>カイギ</t>
    </rPh>
    <rPh sb="9" eb="11">
      <t>シヨウ</t>
    </rPh>
    <phoneticPr fontId="12"/>
  </si>
  <si>
    <t>中土陽介</t>
    <rPh sb="0" eb="2">
      <t>ナカツチ</t>
    </rPh>
    <rPh sb="2" eb="4">
      <t>ヨウスケ</t>
    </rPh>
    <phoneticPr fontId="12"/>
  </si>
  <si>
    <t>EC事業部</t>
    <rPh sb="2" eb="4">
      <t>ジギョウ</t>
    </rPh>
    <rPh sb="4" eb="5">
      <t>ブ</t>
    </rPh>
    <phoneticPr fontId="12"/>
  </si>
  <si>
    <t>EC事業課</t>
    <rPh sb="2" eb="4">
      <t>ジギョウ</t>
    </rPh>
    <rPh sb="4" eb="5">
      <t>カ</t>
    </rPh>
    <phoneticPr fontId="12"/>
  </si>
  <si>
    <t>DESKTOP-EFN0PVO</t>
  </si>
  <si>
    <t>12th Gen Intel(R) Core(TM) i7-12700   2.10 GHz</t>
  </si>
  <si>
    <t>32.0 GB (31.8 GB 使用可能)</t>
  </si>
  <si>
    <t>ADA3088E-6960-48A8-9675-A69A520C62FA</t>
  </si>
  <si>
    <t>00326-03100-00003-AAOEM</t>
  </si>
  <si>
    <t>‎2025/‎02/‎17</t>
  </si>
  <si>
    <t>大前道仁</t>
    <rPh sb="0" eb="2">
      <t>オオマエ</t>
    </rPh>
    <rPh sb="2" eb="3">
      <t>ミチ</t>
    </rPh>
    <rPh sb="3" eb="4">
      <t>ジン</t>
    </rPh>
    <phoneticPr fontId="12"/>
  </si>
  <si>
    <t>現在webブラウザやマクロを使うエクセルなど負荷のかかる作業はローカルで開いて業務を行っております。</t>
    <rPh sb="0" eb="2">
      <t>ゲンザイ</t>
    </rPh>
    <rPh sb="14" eb="15">
      <t>ツカ</t>
    </rPh>
    <rPh sb="22" eb="24">
      <t>フカ</t>
    </rPh>
    <rPh sb="28" eb="30">
      <t>サギョウ</t>
    </rPh>
    <rPh sb="36" eb="37">
      <t>ヒラ</t>
    </rPh>
    <rPh sb="39" eb="41">
      <t>ギョウム</t>
    </rPh>
    <rPh sb="42" eb="43">
      <t>オコナ</t>
    </rPh>
    <phoneticPr fontId="12"/>
  </si>
  <si>
    <t>酒井絢音</t>
    <rPh sb="0" eb="2">
      <t>サカイ</t>
    </rPh>
    <rPh sb="2" eb="4">
      <t>アヤネ</t>
    </rPh>
    <phoneticPr fontId="12"/>
  </si>
  <si>
    <t>32.0 GB</t>
  </si>
  <si>
    <t>EA0B767C-5D8F-44CB-939D-B3EA3595FD25</t>
  </si>
  <si>
    <t>2025/11/05　空きの状態</t>
    <rPh sb="11" eb="12">
      <t>ア</t>
    </rPh>
    <rPh sb="14" eb="16">
      <t>ジョウタイ</t>
    </rPh>
    <phoneticPr fontId="12"/>
  </si>
  <si>
    <t>図書杏子</t>
    <rPh sb="0" eb="2">
      <t>トショ</t>
    </rPh>
    <rPh sb="2" eb="4">
      <t>キョウコ</t>
    </rPh>
    <phoneticPr fontId="12"/>
  </si>
  <si>
    <t>管理部</t>
    <rPh sb="0" eb="2">
      <t>カンリ</t>
    </rPh>
    <rPh sb="2" eb="3">
      <t>ブ</t>
    </rPh>
    <phoneticPr fontId="12"/>
  </si>
  <si>
    <t>管理課</t>
    <rPh sb="0" eb="2">
      <t>カンリ</t>
    </rPh>
    <rPh sb="2" eb="3">
      <t>カ</t>
    </rPh>
    <phoneticPr fontId="12"/>
  </si>
  <si>
    <t>内藤恭介</t>
    <rPh sb="0" eb="2">
      <t>ナイトウ</t>
    </rPh>
    <rPh sb="2" eb="4">
      <t>キョウスケ</t>
    </rPh>
    <phoneticPr fontId="37"/>
  </si>
  <si>
    <t>管理(奉行)</t>
    <rPh sb="0" eb="2">
      <t>カンリ</t>
    </rPh>
    <rPh sb="3" eb="5">
      <t>ブギョウ</t>
    </rPh>
    <phoneticPr fontId="12"/>
  </si>
  <si>
    <t>食添のデリバリー業務はFAXが主流でして、サーバーが長時間フリーズした場合を想定し、ローカルでもエクセル作業や印刷・FAX送信ができると業務が滞ることなく進められるので助かります。
Pstファイル内訳：図書9,114,265KB、会社代表602,161KB、会長110,377KB、事務長88,553KB</t>
    <rPh sb="0" eb="2">
      <t>ショクテン</t>
    </rPh>
    <rPh sb="8" eb="10">
      <t>ギョウム</t>
    </rPh>
    <rPh sb="15" eb="17">
      <t>シュリュウ</t>
    </rPh>
    <rPh sb="26" eb="29">
      <t>チョウジカン</t>
    </rPh>
    <rPh sb="35" eb="37">
      <t>バアイ</t>
    </rPh>
    <rPh sb="38" eb="40">
      <t>ソウテイ</t>
    </rPh>
    <rPh sb="52" eb="54">
      <t>サギョウ</t>
    </rPh>
    <rPh sb="55" eb="57">
      <t>インサツ</t>
    </rPh>
    <rPh sb="61" eb="63">
      <t>ソウシン</t>
    </rPh>
    <rPh sb="68" eb="70">
      <t>ギョウム</t>
    </rPh>
    <rPh sb="71" eb="72">
      <t>トドコオ</t>
    </rPh>
    <rPh sb="77" eb="78">
      <t>スス</t>
    </rPh>
    <rPh sb="84" eb="85">
      <t>タス</t>
    </rPh>
    <rPh sb="99" eb="101">
      <t>ウチワケ</t>
    </rPh>
    <phoneticPr fontId="12"/>
  </si>
  <si>
    <t>越智絵美子</t>
    <rPh sb="0" eb="2">
      <t>オチ</t>
    </rPh>
    <rPh sb="2" eb="5">
      <t>エミコ</t>
    </rPh>
    <phoneticPr fontId="12"/>
  </si>
  <si>
    <t>2023/‎02/‎07</t>
  </si>
  <si>
    <t>8CG3060CSD</t>
  </si>
  <si>
    <t>Windows Feature Experience Pack 1000.19052.1000.0</t>
  </si>
  <si>
    <t>吉山勝宏</t>
    <rPh sb="0" eb="2">
      <t>ヨシヤマ</t>
    </rPh>
    <rPh sb="2" eb="3">
      <t>カツ</t>
    </rPh>
    <rPh sb="3" eb="4">
      <t>ヒロ</t>
    </rPh>
    <phoneticPr fontId="37"/>
  </si>
  <si>
    <r>
      <t xml:space="preserve">できればで良いのですが、サーバーでもローカルでも良いのでテプラを印刷できる環境に戻していただけると嬉しいです(テプラは東さんPC/Win11では使用可能)
</t>
    </r>
    <r>
      <rPr>
        <sz val="8"/>
        <color rgb="FFFF0000"/>
        <rFont val="Meiryo UI"/>
        <family val="3"/>
        <charset val="128"/>
      </rPr>
      <t>ブラウザ：1+2＝銀行処理を2法人/銀行違いで並行処理するため</t>
    </r>
    <rPh sb="5" eb="6">
      <t>ヨ</t>
    </rPh>
    <rPh sb="24" eb="25">
      <t>ヨ</t>
    </rPh>
    <rPh sb="32" eb="34">
      <t>インサツ</t>
    </rPh>
    <rPh sb="37" eb="39">
      <t>カンキョウ</t>
    </rPh>
    <rPh sb="40" eb="41">
      <t>モド</t>
    </rPh>
    <rPh sb="49" eb="50">
      <t>ウレ</t>
    </rPh>
    <rPh sb="59" eb="60">
      <t>アズマ</t>
    </rPh>
    <rPh sb="72" eb="74">
      <t>シヨウ</t>
    </rPh>
    <rPh sb="74" eb="76">
      <t>カノウ</t>
    </rPh>
    <rPh sb="88" eb="90">
      <t>ギンコウ</t>
    </rPh>
    <rPh sb="90" eb="92">
      <t>ショリ</t>
    </rPh>
    <rPh sb="94" eb="96">
      <t>ホウジン</t>
    </rPh>
    <rPh sb="97" eb="99">
      <t>ギンコウ</t>
    </rPh>
    <rPh sb="99" eb="100">
      <t>チガ</t>
    </rPh>
    <rPh sb="102" eb="104">
      <t>ヘイコウ</t>
    </rPh>
    <rPh sb="104" eb="106">
      <t>ショリ</t>
    </rPh>
    <phoneticPr fontId="12"/>
  </si>
  <si>
    <t>丸中都</t>
    <rPh sb="0" eb="2">
      <t>マルナカ</t>
    </rPh>
    <rPh sb="2" eb="3">
      <t>ミヤコ</t>
    </rPh>
    <phoneticPr fontId="12"/>
  </si>
  <si>
    <t>DESKTOP-OBGSL3O</t>
  </si>
  <si>
    <t>8CG3060CSG</t>
  </si>
  <si>
    <t>大川泰弘</t>
    <rPh sb="0" eb="2">
      <t>オオカワ</t>
    </rPh>
    <rPh sb="2" eb="4">
      <t>ヤスヒロ</t>
    </rPh>
    <phoneticPr fontId="37"/>
  </si>
  <si>
    <t>ブラウザ＝Chatworkは常時起動で2、それ以外は1を使用、個人的な使いやすさによるもので動作上の問題ではない</t>
    <rPh sb="14" eb="16">
      <t>ジョウジ</t>
    </rPh>
    <rPh sb="16" eb="18">
      <t>キドウ</t>
    </rPh>
    <rPh sb="23" eb="25">
      <t>イガイ</t>
    </rPh>
    <rPh sb="28" eb="30">
      <t>シヨウ</t>
    </rPh>
    <rPh sb="31" eb="34">
      <t>コジンテキ</t>
    </rPh>
    <rPh sb="35" eb="36">
      <t>ツカ</t>
    </rPh>
    <rPh sb="46" eb="48">
      <t>ドウサ</t>
    </rPh>
    <rPh sb="48" eb="49">
      <t>ジョウ</t>
    </rPh>
    <rPh sb="50" eb="52">
      <t>モンダイ</t>
    </rPh>
    <phoneticPr fontId="12"/>
  </si>
  <si>
    <t>管理部 新人用PC</t>
    <rPh sb="0" eb="2">
      <t>カンリ</t>
    </rPh>
    <rPh sb="2" eb="3">
      <t>ブ</t>
    </rPh>
    <rPh sb="4" eb="6">
      <t>シンジン</t>
    </rPh>
    <rPh sb="6" eb="7">
      <t>ヨウ</t>
    </rPh>
    <phoneticPr fontId="12"/>
  </si>
  <si>
    <t>DESKTOP-S267LUD</t>
  </si>
  <si>
    <t>47182D46-A810-4107-82D8-1697024FC7D7</t>
  </si>
  <si>
    <t>00436-40821-04826-AAOEM</t>
  </si>
  <si>
    <t>8CG2500FSW</t>
  </si>
  <si>
    <t>濱本雅喜</t>
    <rPh sb="0" eb="2">
      <t>ハマモト</t>
    </rPh>
    <rPh sb="2" eb="4">
      <t>マサキ</t>
    </rPh>
    <phoneticPr fontId="37"/>
  </si>
  <si>
    <t>管理部のJDL専用(シンコー)のノートPC</t>
    <rPh sb="0" eb="2">
      <t>カンリ</t>
    </rPh>
    <rPh sb="2" eb="3">
      <t>ブ</t>
    </rPh>
    <rPh sb="7" eb="9">
      <t>センヨウ</t>
    </rPh>
    <phoneticPr fontId="12"/>
  </si>
  <si>
    <t>DESKTOP-9OJ8GDR</t>
  </si>
  <si>
    <t>9A8CFC39-86AC-499D-BD7F-9807B3A2353D</t>
  </si>
  <si>
    <t>00342-50579-05024-AAOEM</t>
  </si>
  <si>
    <t>‎2023/‎07/‎19</t>
  </si>
  <si>
    <t>管理部のJDL専用(Q美ワールド)のノートPC</t>
    <rPh sb="0" eb="2">
      <t>カンリ</t>
    </rPh>
    <rPh sb="2" eb="3">
      <t>ブ</t>
    </rPh>
    <rPh sb="7" eb="9">
      <t>センヨウ</t>
    </rPh>
    <rPh sb="11" eb="12">
      <t>ウツク</t>
    </rPh>
    <phoneticPr fontId="12"/>
  </si>
  <si>
    <t>Intel(R) Core(TM) i5-4210M CPU @ 2.60GHz   2.59 GHz</t>
  </si>
  <si>
    <t>管理部送り状印刷用PC</t>
    <rPh sb="0" eb="2">
      <t>カンリ</t>
    </rPh>
    <rPh sb="2" eb="3">
      <t>ブ</t>
    </rPh>
    <rPh sb="3" eb="4">
      <t>オク</t>
    </rPh>
    <rPh sb="5" eb="6">
      <t>ジョウ</t>
    </rPh>
    <rPh sb="6" eb="9">
      <t>インサツヨウ</t>
    </rPh>
    <phoneticPr fontId="12"/>
  </si>
  <si>
    <t>廃棄</t>
    <rPh sb="0" eb="2">
      <t>ハイキ</t>
    </rPh>
    <phoneticPr fontId="37"/>
  </si>
  <si>
    <r>
      <t>管理部送り状印刷用PC　</t>
    </r>
    <r>
      <rPr>
        <sz val="8"/>
        <color rgb="FFFF0000"/>
        <rFont val="Meiryo UI"/>
        <family val="3"/>
        <charset val="128"/>
      </rPr>
      <t>西濃運輸以外で使用、図書主任が1日2～3件使用、デスクトップに共有フォルダ「10デリバリー」のみ有り(データのコピペ可能)、基本情報は入っているのでほぼ手入力で使用、プリンタとPCは直繋ぎ、インターネット接続無し</t>
    </r>
    <rPh sb="12" eb="14">
      <t>セイノウ</t>
    </rPh>
    <rPh sb="14" eb="16">
      <t>ウンユ</t>
    </rPh>
    <rPh sb="16" eb="18">
      <t>イガイ</t>
    </rPh>
    <rPh sb="19" eb="21">
      <t>シヨウ</t>
    </rPh>
    <rPh sb="22" eb="24">
      <t>トショ</t>
    </rPh>
    <rPh sb="24" eb="26">
      <t>シュニン</t>
    </rPh>
    <rPh sb="28" eb="29">
      <t>ニチ</t>
    </rPh>
    <rPh sb="32" eb="33">
      <t>ケン</t>
    </rPh>
    <rPh sb="33" eb="35">
      <t>シヨウ</t>
    </rPh>
    <rPh sb="43" eb="45">
      <t>キョウユウ</t>
    </rPh>
    <rPh sb="60" eb="61">
      <t>ア</t>
    </rPh>
    <rPh sb="70" eb="72">
      <t>カノウ</t>
    </rPh>
    <rPh sb="74" eb="76">
      <t>キホン</t>
    </rPh>
    <rPh sb="76" eb="78">
      <t>ジョウホウ</t>
    </rPh>
    <rPh sb="79" eb="80">
      <t>ハイ</t>
    </rPh>
    <rPh sb="88" eb="89">
      <t>テ</t>
    </rPh>
    <rPh sb="89" eb="91">
      <t>ニュウリョク</t>
    </rPh>
    <rPh sb="92" eb="94">
      <t>シヨウ</t>
    </rPh>
    <rPh sb="103" eb="104">
      <t>ジカ</t>
    </rPh>
    <rPh sb="104" eb="105">
      <t>ツナ</t>
    </rPh>
    <rPh sb="114" eb="116">
      <t>セツゾク</t>
    </rPh>
    <rPh sb="116" eb="117">
      <t>ナ</t>
    </rPh>
    <phoneticPr fontId="12"/>
  </si>
  <si>
    <t>濱西藍伽</t>
    <rPh sb="0" eb="2">
      <t>ハマニシ</t>
    </rPh>
    <rPh sb="2" eb="3">
      <t>アイ</t>
    </rPh>
    <rPh sb="3" eb="4">
      <t>キャ</t>
    </rPh>
    <phoneticPr fontId="12"/>
  </si>
  <si>
    <t>DESKTOP-MSDG2BG</t>
  </si>
  <si>
    <t>Intel(R) Core(TM) i9-10900KF CPU @ 3.70GHz   3.70 GHz</t>
  </si>
  <si>
    <t>91C8045D-5459-498F-834C-8B1E9DB27414</t>
  </si>
  <si>
    <t>00325-81926-47124-AAOEM</t>
  </si>
  <si>
    <t>企画課 新人用PC①</t>
    <rPh sb="0" eb="3">
      <t>キカクカ</t>
    </rPh>
    <rPh sb="4" eb="6">
      <t>シンジン</t>
    </rPh>
    <rPh sb="6" eb="7">
      <t>ヨウ</t>
    </rPh>
    <phoneticPr fontId="12"/>
  </si>
  <si>
    <t>DESKTOP-DBF14OD</t>
  </si>
  <si>
    <t>Intel(R) Core(TM) i7-14700KF   3.40 GHz</t>
  </si>
  <si>
    <t>578C5F0A-562C-4F12-84ED-7C7CEAEB2B28</t>
  </si>
  <si>
    <t>00326-10000-00000-AA269</t>
  </si>
  <si>
    <t>‎2025/‎02/‎12</t>
  </si>
  <si>
    <t>企画課 新人用PC②</t>
    <rPh sb="0" eb="3">
      <t>キカクカ</t>
    </rPh>
    <rPh sb="4" eb="6">
      <t>シンジン</t>
    </rPh>
    <rPh sb="6" eb="7">
      <t>ヨウ</t>
    </rPh>
    <phoneticPr fontId="12"/>
  </si>
  <si>
    <t>DESKTOP-OAJL3N9</t>
  </si>
  <si>
    <t>0B8574AD-3CBA-491C-92A3-626A6E05BA62</t>
  </si>
  <si>
    <t>00325-81926-47137-AAOEM</t>
  </si>
  <si>
    <t>‎2022/‎11/‎22</t>
  </si>
  <si>
    <t>Windows 機能エクスペリエンス パック 1000.22700.1055.0</t>
  </si>
  <si>
    <t>企画課の予備PC(前田リーダーの使用していたもの)
ドライブはSSDとHDD併用で使用されているのはSSDのみ</t>
    <rPh sb="0" eb="2">
      <t>キカク</t>
    </rPh>
    <rPh sb="2" eb="3">
      <t>カ</t>
    </rPh>
    <rPh sb="9" eb="11">
      <t>マエダ</t>
    </rPh>
    <rPh sb="16" eb="18">
      <t>シヨウ</t>
    </rPh>
    <rPh sb="38" eb="40">
      <t>ヘイヨウ</t>
    </rPh>
    <rPh sb="41" eb="43">
      <t>シヨウ</t>
    </rPh>
    <phoneticPr fontId="12"/>
  </si>
  <si>
    <t>南光彦</t>
    <rPh sb="0" eb="1">
      <t>ミナミ</t>
    </rPh>
    <rPh sb="1" eb="3">
      <t>ミツヒコ</t>
    </rPh>
    <phoneticPr fontId="12"/>
  </si>
  <si>
    <t>橋本悠司</t>
    <rPh sb="0" eb="2">
      <t>ハシモト</t>
    </rPh>
    <rPh sb="2" eb="4">
      <t>ユウジ</t>
    </rPh>
    <phoneticPr fontId="12"/>
  </si>
  <si>
    <t>営業課</t>
    <rPh sb="0" eb="2">
      <t>エイギョウ</t>
    </rPh>
    <rPh sb="2" eb="3">
      <t>カ</t>
    </rPh>
    <phoneticPr fontId="12"/>
  </si>
  <si>
    <t>QB-SSC-5-R4</t>
  </si>
  <si>
    <t>野田健治</t>
    <rPh sb="0" eb="2">
      <t>ノダ</t>
    </rPh>
    <rPh sb="2" eb="4">
      <t>ケンジ</t>
    </rPh>
    <phoneticPr fontId="12"/>
  </si>
  <si>
    <t>堀真紀</t>
    <rPh sb="0" eb="1">
      <t>ホリ</t>
    </rPh>
    <rPh sb="1" eb="3">
      <t>マキ</t>
    </rPh>
    <phoneticPr fontId="12"/>
  </si>
  <si>
    <t>松本佳奈</t>
    <rPh sb="0" eb="2">
      <t>マツモト</t>
    </rPh>
    <rPh sb="2" eb="4">
      <t>カナ</t>
    </rPh>
    <phoneticPr fontId="12"/>
  </si>
  <si>
    <t>NXA16SJ005149228C33400</t>
  </si>
  <si>
    <t>髙野愛子</t>
    <rPh sb="0" eb="2">
      <t>タカノ</t>
    </rPh>
    <rPh sb="2" eb="4">
      <t>アイコ</t>
    </rPh>
    <phoneticPr fontId="12"/>
  </si>
  <si>
    <t>QB-SSC-2-R4</t>
  </si>
  <si>
    <t>TAKANO</t>
  </si>
  <si>
    <t>AMD Ryzen 5 7430U with Radeon Graphics            2.30 GHz</t>
  </si>
  <si>
    <t>8.00 GB (5.84 GB 使用可能)</t>
  </si>
  <si>
    <t>395ABB24-D466-42CF-ACAE-4CAB5E52765B</t>
  </si>
  <si>
    <t>00342-21243-20870-AAOEM</t>
  </si>
  <si>
    <t>‎2024/‎12/‎05</t>
  </si>
  <si>
    <t>PF5117PK</t>
  </si>
  <si>
    <t>4.00 GB (3.83 GB 使用可能)</t>
    <rPh sb="17" eb="19">
      <t>シヨウ</t>
    </rPh>
    <rPh sb="19" eb="21">
      <t>カノウ</t>
    </rPh>
    <phoneticPr fontId="12"/>
  </si>
  <si>
    <t>バルク</t>
  </si>
  <si>
    <t>Intel® Celeron® N4100 CPU @ 1.10GHz 1.10GHz</t>
  </si>
  <si>
    <t>21H1</t>
  </si>
  <si>
    <t>バルク(予備)</t>
    <rPh sb="4" eb="6">
      <t>ヨビ</t>
    </rPh>
    <phoneticPr fontId="12"/>
  </si>
  <si>
    <t>第一倉庫 現品票印刷</t>
    <rPh sb="0" eb="2">
      <t>ダイイチ</t>
    </rPh>
    <rPh sb="2" eb="4">
      <t>ソウコ</t>
    </rPh>
    <rPh sb="5" eb="8">
      <t>ゲンピンヒョウ</t>
    </rPh>
    <rPh sb="8" eb="10">
      <t>インサツ</t>
    </rPh>
    <phoneticPr fontId="12"/>
  </si>
  <si>
    <t>第一倉庫のタブレット現品票印刷用</t>
    <rPh sb="0" eb="2">
      <t>ダイイチ</t>
    </rPh>
    <rPh sb="2" eb="4">
      <t>ソウコ</t>
    </rPh>
    <rPh sb="10" eb="13">
      <t>ゲンピンヒョウ</t>
    </rPh>
    <rPh sb="13" eb="15">
      <t>インサツ</t>
    </rPh>
    <rPh sb="15" eb="16">
      <t>ヨウ</t>
    </rPh>
    <phoneticPr fontId="12"/>
  </si>
  <si>
    <t>充填包装/松山</t>
    <rPh sb="5" eb="7">
      <t>マツヤマ</t>
    </rPh>
    <phoneticPr fontId="12"/>
  </si>
  <si>
    <t>SSC-CL-2-1F-02</t>
  </si>
  <si>
    <t>技術製造部製造課　松山　記載分</t>
    <rPh sb="0" eb="2">
      <t>ギジュツ</t>
    </rPh>
    <rPh sb="2" eb="4">
      <t>セイゾウ</t>
    </rPh>
    <rPh sb="4" eb="5">
      <t>ブ</t>
    </rPh>
    <rPh sb="5" eb="7">
      <t>セイゾウ</t>
    </rPh>
    <rPh sb="7" eb="8">
      <t>カ</t>
    </rPh>
    <rPh sb="9" eb="11">
      <t>マツヤマ</t>
    </rPh>
    <rPh sb="12" eb="14">
      <t>キサイ</t>
    </rPh>
    <rPh sb="14" eb="15">
      <t>ブン</t>
    </rPh>
    <phoneticPr fontId="12"/>
  </si>
  <si>
    <t>充填包装/藤本・田中</t>
    <rPh sb="5" eb="7">
      <t>フジモト</t>
    </rPh>
    <rPh sb="8" eb="10">
      <t>タナカ</t>
    </rPh>
    <phoneticPr fontId="12"/>
  </si>
  <si>
    <t>技術製造部製造課　田中・藤本　記載分</t>
    <rPh sb="0" eb="2">
      <t>ギジュツ</t>
    </rPh>
    <rPh sb="2" eb="4">
      <t>セイゾウ</t>
    </rPh>
    <rPh sb="4" eb="5">
      <t>ブ</t>
    </rPh>
    <rPh sb="5" eb="7">
      <t>セイゾウ</t>
    </rPh>
    <rPh sb="7" eb="8">
      <t>カ</t>
    </rPh>
    <rPh sb="9" eb="11">
      <t>タナカ</t>
    </rPh>
    <rPh sb="12" eb="14">
      <t>フジモト</t>
    </rPh>
    <rPh sb="15" eb="17">
      <t>キサイ</t>
    </rPh>
    <rPh sb="17" eb="18">
      <t>ブン</t>
    </rPh>
    <phoneticPr fontId="12"/>
  </si>
  <si>
    <t>充填包装(端末不調)</t>
    <rPh sb="5" eb="7">
      <t>タンマツ</t>
    </rPh>
    <rPh sb="7" eb="9">
      <t>フチョウ</t>
    </rPh>
    <phoneticPr fontId="12"/>
  </si>
  <si>
    <t>不調のため、確認不可</t>
    <rPh sb="0" eb="2">
      <t>フチョウ</t>
    </rPh>
    <rPh sb="6" eb="8">
      <t>カクニン</t>
    </rPh>
    <rPh sb="8" eb="10">
      <t>フカ</t>
    </rPh>
    <phoneticPr fontId="12"/>
  </si>
  <si>
    <t>主に使用していた端末、電源が入らない(4/18鳥山主任)</t>
    <rPh sb="0" eb="1">
      <t>オモ</t>
    </rPh>
    <rPh sb="2" eb="4">
      <t>シヨウ</t>
    </rPh>
    <rPh sb="8" eb="10">
      <t>タンマツ</t>
    </rPh>
    <rPh sb="11" eb="13">
      <t>デンゲン</t>
    </rPh>
    <rPh sb="14" eb="15">
      <t>ハイ</t>
    </rPh>
    <rPh sb="23" eb="25">
      <t>トリヤマ</t>
    </rPh>
    <rPh sb="25" eb="27">
      <t>シュニン</t>
    </rPh>
    <phoneticPr fontId="12"/>
  </si>
  <si>
    <t>粉体/会議用</t>
    <rPh sb="3" eb="5">
      <t>カイギ</t>
    </rPh>
    <rPh sb="5" eb="6">
      <t>ヨウ</t>
    </rPh>
    <phoneticPr fontId="12"/>
  </si>
  <si>
    <t>企画/会議用</t>
    <rPh sb="0" eb="2">
      <t>キカク</t>
    </rPh>
    <rPh sb="3" eb="6">
      <t>カイギヨウ</t>
    </rPh>
    <phoneticPr fontId="12"/>
  </si>
  <si>
    <t>物流/会議用</t>
    <rPh sb="3" eb="6">
      <t>カイギヨウ</t>
    </rPh>
    <phoneticPr fontId="12"/>
  </si>
  <si>
    <t>SSC-WH-5</t>
  </si>
  <si>
    <t>00330-50756-65286-AAOEM</t>
  </si>
  <si>
    <t>DESKTOP-C5JS0KA</t>
  </si>
  <si>
    <t>4.00GB(3.83GB使用可能)</t>
  </si>
  <si>
    <t>C58AF61C-10BC-43E5-A1F6-9481EBDF2A8B</t>
  </si>
  <si>
    <t>U104910837</t>
  </si>
  <si>
    <t>Windows 機能エクスペリエンスパック 1000.22700.1077.0</t>
  </si>
  <si>
    <t>小柏拓海</t>
  </si>
  <si>
    <t>PC-FM150PAL</t>
  </si>
  <si>
    <t>吉村幸市</t>
  </si>
  <si>
    <t>取締役</t>
  </si>
  <si>
    <t>吉村美佐子</t>
  </si>
  <si>
    <t>中村剛</t>
    <rPh sb="0" eb="2">
      <t>ナカムラ</t>
    </rPh>
    <rPh sb="2" eb="3">
      <t>ツヨシ</t>
    </rPh>
    <phoneticPr fontId="12"/>
  </si>
  <si>
    <t>MSI</t>
  </si>
  <si>
    <t>13th Gen Intel(R) Core(TM) i7-13620H (2.40 GHz)</t>
  </si>
  <si>
    <t>32.0 GB (31.7 GB 使用可能)</t>
  </si>
  <si>
    <t>7ED95CB7-4A3D-44E3-9AB8-6097FEE26923</t>
  </si>
  <si>
    <t>00342-21430-41829-AAOEM</t>
  </si>
  <si>
    <t>25H2</t>
  </si>
  <si>
    <t>9S716R8311404ZS6000060</t>
  </si>
  <si>
    <t>Windows 機能エクスペリエンス パック 1000.26100.253.0</t>
  </si>
  <si>
    <t>無</t>
  </si>
  <si>
    <t>堂山利奈</t>
    <rPh sb="0" eb="2">
      <t>ドウヤマ</t>
    </rPh>
    <rPh sb="2" eb="4">
      <t>リナ</t>
    </rPh>
    <phoneticPr fontId="5"/>
  </si>
  <si>
    <t>企画営業部</t>
  </si>
  <si>
    <t>Intel(R) Core(TM) i9-10900KF CPU @ 3.70GHz (3.70 GHz)</t>
  </si>
  <si>
    <t>2025/‎10/‎06</t>
  </si>
  <si>
    <t>継続使用</t>
  </si>
  <si>
    <t>仕様書</t>
  </si>
  <si>
    <t>2次</t>
  </si>
  <si>
    <t>中村友美</t>
  </si>
  <si>
    <t>DESKTOP-CFRUR5I</t>
  </si>
  <si>
    <t>AMD Ryzen 5 8500GE w/ Radeon 740M Graphics      (3.40 GHz)</t>
  </si>
  <si>
    <t>16.0 GB (15.1 GB 使用可能)</t>
  </si>
  <si>
    <t>7CCE6D2C-62A1-4952-B507-F87BB407CB46</t>
  </si>
  <si>
    <t>00342-22600-20417-AAOEM</t>
  </si>
  <si>
    <t>2025/‎10/‎10</t>
  </si>
  <si>
    <t>GM13ZW7N</t>
  </si>
  <si>
    <t>旧 神門4PC</t>
    <rPh sb="0" eb="1">
      <t>キュウ</t>
    </rPh>
    <rPh sb="2" eb="4">
      <t>ゴウド</t>
    </rPh>
    <phoneticPr fontId="12"/>
  </si>
  <si>
    <t>羽渕友麻</t>
  </si>
  <si>
    <t>SHINKO</t>
  </si>
  <si>
    <t>12th Gen Intel(R) Core(TM) i7-12700 (2.10 GHz)</t>
  </si>
  <si>
    <t>33788D5D-AED6-4814-8338-E50BFA075CA9</t>
  </si>
  <si>
    <t>2024/‎12/‎23</t>
  </si>
  <si>
    <t>NK66G-M3P3B-C6JXX-MD8BW-MTDDT</t>
  </si>
  <si>
    <t>Windows 機能エクスペリエンス パック 1000.26100.265.0</t>
  </si>
  <si>
    <t>旧 神門PC</t>
    <rPh sb="0" eb="1">
      <t>キュウ</t>
    </rPh>
    <rPh sb="2" eb="4">
      <t>ゴウド</t>
    </rPh>
    <phoneticPr fontId="12"/>
  </si>
  <si>
    <t>余剰PC→配置換え</t>
    <rPh sb="0" eb="2">
      <t>ヨジョウ</t>
    </rPh>
    <rPh sb="5" eb="7">
      <t>ハイチ</t>
    </rPh>
    <rPh sb="7" eb="8">
      <t>ガ</t>
    </rPh>
    <phoneticPr fontId="12"/>
  </si>
  <si>
    <t>SSC-CL-5-3F-01</t>
  </si>
  <si>
    <t>DESKTOP-6JPTCC3</t>
  </si>
  <si>
    <t>Intel(R) Core(TM) i5-6600 CPU @ 3.30GHz   3.31 GHz</t>
  </si>
  <si>
    <t>16.0 GB (15.9 GB 使用可能)</t>
  </si>
  <si>
    <t>61F86229-A5C3-46E1-9A65-3569BF03DADB</t>
  </si>
  <si>
    <t>00342-50561-37617-AAOEM</t>
  </si>
  <si>
    <t>2022/‎11/‎29</t>
  </si>
  <si>
    <t>DR7BSG2</t>
  </si>
  <si>
    <t>増員 予定</t>
    <rPh sb="0" eb="2">
      <t>ゾウイン</t>
    </rPh>
    <rPh sb="3" eb="5">
      <t>ヨテイ</t>
    </rPh>
    <phoneticPr fontId="12"/>
  </si>
  <si>
    <t>未</t>
    <rPh sb="0" eb="1">
      <t>ミ</t>
    </rPh>
    <phoneticPr fontId="12"/>
  </si>
  <si>
    <t>管理部集約</t>
  </si>
  <si>
    <t>ラボ3F応接</t>
    <rPh sb="4" eb="6">
      <t>オウセツ</t>
    </rPh>
    <phoneticPr fontId="12"/>
  </si>
  <si>
    <t>応接用</t>
    <rPh sb="0" eb="2">
      <t>オウセツ</t>
    </rPh>
    <rPh sb="2" eb="3">
      <t>ヨウ</t>
    </rPh>
    <phoneticPr fontId="12"/>
  </si>
  <si>
    <t>－</t>
  </si>
  <si>
    <t>SSC-CL-2-3F-01</t>
  </si>
  <si>
    <t>DESKTOP-UEQSU2L</t>
  </si>
  <si>
    <t>Intel(R) Core(TM) i3-4000M CPU @ 2.40GHz 2.40 GHz</t>
  </si>
  <si>
    <t>8.00GB</t>
  </si>
  <si>
    <t>07ACB539-F358-4D52-884F-87A086AD3D5D</t>
  </si>
  <si>
    <t>00330-80000-00000-AA550</t>
  </si>
  <si>
    <t>64ビット オペレーティング システム、x64 ベース プロセッサ</t>
  </si>
  <si>
    <t>このディスプレイでは、ペン入力とタッチ入力は利用できません</t>
    <rPh sb="13" eb="15">
      <t>ニュウリョク</t>
    </rPh>
    <rPh sb="19" eb="21">
      <t>ニュウリョク</t>
    </rPh>
    <rPh sb="22" eb="24">
      <t>リヨウ</t>
    </rPh>
    <phoneticPr fontId="12"/>
  </si>
  <si>
    <t>8E186102H</t>
  </si>
  <si>
    <t>旧 EC事業部PC</t>
    <rPh sb="0" eb="1">
      <t>キュウ</t>
    </rPh>
    <rPh sb="4" eb="6">
      <t>ジギョウ</t>
    </rPh>
    <rPh sb="6" eb="7">
      <t>ブ</t>
    </rPh>
    <phoneticPr fontId="12"/>
  </si>
  <si>
    <t>余剰PC</t>
    <rPh sb="0" eb="2">
      <t>ヨジョウ</t>
    </rPh>
    <phoneticPr fontId="12"/>
  </si>
  <si>
    <t>DESKTOP-AG705B3</t>
  </si>
  <si>
    <t>Intel(R) Core(TM) G4930 CPU @ 3.20GHz 3.19 GHz</t>
  </si>
  <si>
    <t>4.00GB</t>
  </si>
  <si>
    <t>C0D4EDE1-3BAB-42DA-BF99502BE556</t>
  </si>
  <si>
    <t>00325-81785-73554-AAOEM</t>
  </si>
  <si>
    <t>G5N6W43</t>
  </si>
  <si>
    <t>Windows Feature Experience Pack 1000.19041.1000.0</t>
  </si>
  <si>
    <t>Microsoft Edge</t>
  </si>
  <si>
    <t>ノートPC</t>
  </si>
  <si>
    <t>SSD</t>
  </si>
  <si>
    <t>有線LANのみ使う</t>
  </si>
  <si>
    <t>BBasic(WEB)</t>
  </si>
  <si>
    <t>Firefox</t>
  </si>
  <si>
    <t>デスクトップPC</t>
  </si>
  <si>
    <t>HDD</t>
  </si>
  <si>
    <t>BStandard(デスク)</t>
  </si>
  <si>
    <t>社内・複数の拠点で接続する</t>
  </si>
  <si>
    <t>タブレット</t>
  </si>
  <si>
    <t>SSD+HDD</t>
  </si>
  <si>
    <t>C</t>
  </si>
  <si>
    <t>M365</t>
  </si>
  <si>
    <t>サポート</t>
  </si>
  <si>
    <t>WEBブラウザ (ID・パスワード)</t>
  </si>
  <si>
    <t>Outlook (日数)</t>
  </si>
  <si>
    <t>Outlook (アドレス)</t>
  </si>
  <si>
    <t>Outlook　pstファイル【GB】</t>
  </si>
  <si>
    <t>Excel (日数)</t>
  </si>
  <si>
    <t>AdobeAcrobat (日数)</t>
  </si>
  <si>
    <t>サイズ【GB】</t>
  </si>
  <si>
    <t>パソコン (ドライブ)</t>
  </si>
  <si>
    <t>パソコン (Wi-Fi接続)</t>
  </si>
  <si>
    <t>SSID (メイン)</t>
  </si>
  <si>
    <t>SSID (サブ1)</t>
  </si>
  <si>
    <t>ハンディターミナル</t>
  </si>
  <si>
    <t>◆共有フォルダ</t>
  </si>
  <si>
    <t>M365プラン</t>
  </si>
  <si>
    <t>M365アカウント</t>
  </si>
  <si>
    <t>003</t>
  </si>
  <si>
    <t>yoshinari</t>
  </si>
  <si>
    <t>○</t>
  </si>
  <si>
    <t>NTT DOCOMO(ETC)</t>
  </si>
  <si>
    <t>004</t>
  </si>
  <si>
    <t>yoshikane</t>
  </si>
  <si>
    <t>3F/シンク前</t>
  </si>
  <si>
    <t>006</t>
  </si>
  <si>
    <t>yoshimizu</t>
  </si>
  <si>
    <t>4F/社長室</t>
  </si>
  <si>
    <t>yosimizu</t>
  </si>
  <si>
    <t>Intel(R) Core(TM) i7-10710U CPU @ 1.10GHz   1.61 GHz</t>
  </si>
  <si>
    <t>16.0 GB (15.7 GB 使用可能)</t>
  </si>
  <si>
    <t>F1A53272-43F1-4882-A916-784E8C4E613D</t>
  </si>
  <si>
    <t>00330-53093-61459-AAOEM</t>
  </si>
  <si>
    <t>2025/‎02/‎21</t>
  </si>
  <si>
    <t>0IKSC28173</t>
  </si>
  <si>
    <t>026</t>
  </si>
  <si>
    <t>kondou</t>
  </si>
  <si>
    <t>コスメラボラトリー</t>
  </si>
  <si>
    <t>3F/事務所</t>
  </si>
  <si>
    <t>024</t>
  </si>
  <si>
    <t>munechika</t>
  </si>
  <si>
    <t>039</t>
  </si>
  <si>
    <t>yasuda2</t>
  </si>
  <si>
    <t>00342-50204-35151-AAOEM</t>
  </si>
  <si>
    <t>2024/‎10/‎04</t>
  </si>
  <si>
    <t xml:space="preserve"> 1000.26100.66.0</t>
  </si>
  <si>
    <t>041</t>
  </si>
  <si>
    <t>naoki</t>
  </si>
  <si>
    <t>00330-50878-51163-AAOEM</t>
  </si>
  <si>
    <t>071</t>
  </si>
  <si>
    <t>tsuda</t>
  </si>
  <si>
    <t>00330-51306-26263-AAOEM</t>
  </si>
  <si>
    <t>092</t>
  </si>
  <si>
    <t>yano</t>
  </si>
  <si>
    <t>124</t>
  </si>
  <si>
    <t>hashiguchi</t>
  </si>
  <si>
    <t>3F/試験室</t>
  </si>
  <si>
    <t>00330-50712-99403-AAOEM</t>
  </si>
  <si>
    <t>122</t>
  </si>
  <si>
    <t>nishimura</t>
  </si>
  <si>
    <t>048</t>
  </si>
  <si>
    <t>nomura</t>
  </si>
  <si>
    <t>11th Gen Intel(R)Core(TM)i5-1135G7@2.40GHz 2.42GHz</t>
  </si>
  <si>
    <t>0FA98B57-3719-4DF2-B3EF-7C0CCD4C11C4</t>
  </si>
  <si>
    <t>00342-20880-33152-AAOEM</t>
  </si>
  <si>
    <t>64ビット オペレーティング システム、x64ベース プロセッサ</t>
  </si>
  <si>
    <t>PF3J403V</t>
  </si>
  <si>
    <t>097</t>
  </si>
  <si>
    <t>inoue</t>
  </si>
  <si>
    <t>DESKTOP-PMA0095</t>
  </si>
  <si>
    <t>Intel(R) Celeron(R) CPU J3355 @ 2.00GHz   2.00 GHz</t>
  </si>
  <si>
    <t>8.00 GB (7.86 GB 使用可能)</t>
  </si>
  <si>
    <t>57DA6298-EADD-4294-8144-E54043118AD0</t>
  </si>
  <si>
    <t>00325-80906-55912-AAOEM</t>
  </si>
  <si>
    <t>2021/‎02/‎10</t>
  </si>
  <si>
    <t>DTB6MSJ00273702DFF3000</t>
  </si>
  <si>
    <t>022</t>
  </si>
  <si>
    <t>shimada</t>
  </si>
  <si>
    <t>065</t>
  </si>
  <si>
    <t>toriyama</t>
  </si>
  <si>
    <t>104</t>
  </si>
  <si>
    <t>baba</t>
  </si>
  <si>
    <t>93002411A</t>
  </si>
  <si>
    <t>109</t>
  </si>
  <si>
    <t>nakashima</t>
  </si>
  <si>
    <t>DESKTOP-8F5M8F8</t>
  </si>
  <si>
    <t>3KD26N3</t>
  </si>
  <si>
    <t>082</t>
  </si>
  <si>
    <t>azuma</t>
  </si>
  <si>
    <t>DESKTOP-QMHIKTF</t>
  </si>
  <si>
    <t>Intel(R) Core(TM) i5-7500 CPU @ 3.40GHz   3.41 GHz</t>
  </si>
  <si>
    <t>F3F61D24-EBFA-40C1-A0BA-07D6F8E0BBC4</t>
  </si>
  <si>
    <t>00330-50491-75426-AAOEM</t>
  </si>
  <si>
    <t>7384YJ2</t>
  </si>
  <si>
    <t>087</t>
  </si>
  <si>
    <t>tokunaga</t>
  </si>
  <si>
    <t>DESKTOP-S87U01J</t>
  </si>
  <si>
    <t>060</t>
  </si>
  <si>
    <t>kitamura</t>
  </si>
  <si>
    <t>コスメファクトリー</t>
  </si>
  <si>
    <t>1F/事務所</t>
  </si>
  <si>
    <t>2021/‎01/‎18</t>
  </si>
  <si>
    <t>19045.5608</t>
  </si>
  <si>
    <t>NKN750BU0007G00109</t>
  </si>
  <si>
    <t>100</t>
  </si>
  <si>
    <t>ikeda</t>
  </si>
  <si>
    <t>第一倉庫</t>
  </si>
  <si>
    <t>1F/南西角</t>
  </si>
  <si>
    <t>MCN0CX13332050D</t>
  </si>
  <si>
    <t>106</t>
  </si>
  <si>
    <t>morio</t>
  </si>
  <si>
    <t>MP1270XH</t>
  </si>
  <si>
    <t>DESKTOP-PD4HK2F</t>
  </si>
  <si>
    <t>4.00 GB (3.83 GB 使用可能)</t>
  </si>
  <si>
    <t>77BC05F8-6531-463F-B032-375937D8E62E</t>
  </si>
  <si>
    <t>00330-54055-59709-AAOEM</t>
  </si>
  <si>
    <t>U104910838</t>
  </si>
  <si>
    <t>Windows Feature Experience Pack 1000.19056.1000.0</t>
  </si>
  <si>
    <t>NANXNZ004797424</t>
  </si>
  <si>
    <t>R902T493</t>
  </si>
  <si>
    <t>DESKTOP-03777E0</t>
  </si>
  <si>
    <t>6299E529-C3BF-4E9B-B3D8-FA19A1DBD322</t>
  </si>
  <si>
    <t>00330-53364-73406-AAOEM</t>
  </si>
  <si>
    <t>11006461F</t>
  </si>
  <si>
    <t>011</t>
  </si>
  <si>
    <t>moriyama</t>
  </si>
  <si>
    <t>2F/事務所</t>
  </si>
  <si>
    <t>9E143056H</t>
  </si>
  <si>
    <t>013</t>
  </si>
  <si>
    <t>oda</t>
  </si>
  <si>
    <t>JPH84738P3</t>
  </si>
  <si>
    <t>054</t>
  </si>
  <si>
    <t>uetsugi</t>
  </si>
  <si>
    <t>1F/バルク室</t>
  </si>
  <si>
    <t>116</t>
  </si>
  <si>
    <t>hokama</t>
  </si>
  <si>
    <t>128</t>
  </si>
  <si>
    <t>matsui</t>
  </si>
  <si>
    <t>021</t>
  </si>
  <si>
    <t>oda-i</t>
  </si>
  <si>
    <t>066</t>
  </si>
  <si>
    <t>higashiguchi</t>
  </si>
  <si>
    <t>2F/充填ライン南</t>
  </si>
  <si>
    <t>091</t>
  </si>
  <si>
    <t>fujimoto</t>
  </si>
  <si>
    <t>2F/充填ライン北</t>
  </si>
  <si>
    <t>099</t>
  </si>
  <si>
    <t>matsuyama</t>
  </si>
  <si>
    <t>1F/作業場南</t>
  </si>
  <si>
    <t>105</t>
  </si>
  <si>
    <t>y-tanaka</t>
  </si>
  <si>
    <t>117</t>
  </si>
  <si>
    <t>abe</t>
  </si>
  <si>
    <t>2F/作業場南</t>
  </si>
  <si>
    <t>43005151A</t>
  </si>
  <si>
    <t>？？？</t>
  </si>
  <si>
    <t>11006421F</t>
  </si>
  <si>
    <t>053</t>
  </si>
  <si>
    <t>naitou</t>
  </si>
  <si>
    <t>R4302766</t>
  </si>
  <si>
    <t>012</t>
  </si>
  <si>
    <t>okawa</t>
  </si>
  <si>
    <t>016</t>
  </si>
  <si>
    <t>izawa</t>
  </si>
  <si>
    <t>MP12N1DY</t>
  </si>
  <si>
    <t>015</t>
  </si>
  <si>
    <t>yoshiyama</t>
  </si>
  <si>
    <t>ZH102244H</t>
  </si>
  <si>
    <t>018</t>
  </si>
  <si>
    <t>hamamoto</t>
  </si>
  <si>
    <t>1J025865H</t>
  </si>
  <si>
    <t>SSC-5-4F-02</t>
  </si>
  <si>
    <t>4F/食堂</t>
  </si>
  <si>
    <t>NANXNZ00460541G</t>
  </si>
  <si>
    <t>029</t>
  </si>
  <si>
    <t>nakatsuchi</t>
  </si>
  <si>
    <t>SSC-CF-5-2F-01</t>
  </si>
  <si>
    <t>076</t>
  </si>
  <si>
    <t>oomae</t>
  </si>
  <si>
    <t>DR29SG2</t>
  </si>
  <si>
    <t>120</t>
  </si>
  <si>
    <t>sakai</t>
  </si>
  <si>
    <t>shiko</t>
  </si>
  <si>
    <t>00326-03106-70641-AAOEM</t>
  </si>
  <si>
    <t>032</t>
  </si>
  <si>
    <t>zusyo</t>
  </si>
  <si>
    <t>HP-2PKIV3GFISTH</t>
  </si>
  <si>
    <t>2E994F83-3B4C-49DD-9407-9BDD3171CBD3</t>
  </si>
  <si>
    <t>00436-40821-56588-AAOEM</t>
  </si>
  <si>
    <t>2023/‎12/‎04</t>
  </si>
  <si>
    <t>8CG3060CSH</t>
  </si>
  <si>
    <t>033</t>
  </si>
  <si>
    <t>ochi</t>
  </si>
  <si>
    <t>1＋2</t>
  </si>
  <si>
    <t>DESKTOP-ACU1PAD</t>
  </si>
  <si>
    <t>66BC33AF-9C64-496E-8AD9-D444E21A8634</t>
  </si>
  <si>
    <t>00436-40821-56591-AAOEM</t>
  </si>
  <si>
    <t>112</t>
  </si>
  <si>
    <t>marunaka</t>
  </si>
  <si>
    <t>34D11EDD-1B7F-4FDB-BB78-56BF9AE74E91</t>
  </si>
  <si>
    <t>00436-40821-56587-AAOEM</t>
  </si>
  <si>
    <t>R90L8JCL</t>
  </si>
  <si>
    <t>管理部のJDL専用(シンコー)のノートPC　⇒管理部PCにJDLをインストールする</t>
  </si>
  <si>
    <t>R90JU883</t>
  </si>
  <si>
    <t>管理部のJDL専用(Q美ワールド)のノートPC　⇒管理部PCにJDLをインストールする</t>
  </si>
  <si>
    <t>HP Compaq 6000 Pro SFF PC</t>
  </si>
  <si>
    <t>Intel® Core™2 Duo CPU E7500 @ 2.93GHz 2.93GHz</t>
  </si>
  <si>
    <t>1.93GB</t>
  </si>
  <si>
    <t>Microsof Windows XP</t>
  </si>
  <si>
    <t>Version 2002</t>
  </si>
  <si>
    <t>76494-OEM-0011903-00101</t>
  </si>
  <si>
    <t>121</t>
  </si>
  <si>
    <t>hamanishi</t>
  </si>
  <si>
    <t>007</t>
  </si>
  <si>
    <t>minami</t>
  </si>
  <si>
    <t>東京営業所</t>
  </si>
  <si>
    <t>Minami</t>
  </si>
  <si>
    <t>11th Gen Intel(R) Core(TM) i5-1145G7 @ 2.60GHz   2.61 GHz</t>
  </si>
  <si>
    <t>EE126B53-0972-4893-A476-0387D4AE1180</t>
  </si>
  <si>
    <t>00355-61117-83608-AAOEM</t>
  </si>
  <si>
    <t>2025/‎01/‎29</t>
  </si>
  <si>
    <t>3IKSA49489</t>
  </si>
  <si>
    <t>058</t>
  </si>
  <si>
    <t>hashimoto</t>
  </si>
  <si>
    <t>hashimoto-PC</t>
  </si>
  <si>
    <t>AMD Ryzen 5 5600U with Radeon Graphics            2.30 GHz</t>
  </si>
  <si>
    <t>CE195F27-14D1-4042-891E-CE69A6DE8CCF</t>
  </si>
  <si>
    <t>00342-20968-29627-AAOEM</t>
  </si>
  <si>
    <t>2025/‎03/‎05</t>
  </si>
  <si>
    <t>MP2CS8LP</t>
  </si>
  <si>
    <t>008</t>
  </si>
  <si>
    <t>noda</t>
  </si>
  <si>
    <t>LAPTOP-PK444CGP</t>
  </si>
  <si>
    <t>Intel(R) Core(TM) i5-8265U CPU @ 1.60GHz   1.80 GHz</t>
  </si>
  <si>
    <t>8.00 GB (7.82 GB 使用可能)</t>
  </si>
  <si>
    <t>52130596-0C8A-4C3E-9163-FC49FBE2E3B4</t>
  </si>
  <si>
    <t>00325-81546-04272-AAOEM</t>
  </si>
  <si>
    <t>2025/‎01/‎27</t>
  </si>
  <si>
    <t>MP1PJ1PE</t>
  </si>
  <si>
    <t>110</t>
  </si>
  <si>
    <t>hori</t>
  </si>
  <si>
    <t>A804AF0E-094B-4363-BFE1-CB08712D43AD</t>
  </si>
  <si>
    <t>00342-20968-29700-AAOEM</t>
  </si>
  <si>
    <t>2025/‎01/‎21</t>
  </si>
  <si>
    <t>MP2D1PE5</t>
  </si>
  <si>
    <t>108</t>
  </si>
  <si>
    <t>matsumoto</t>
  </si>
  <si>
    <t>LAPTOP-EKR3DCMK</t>
  </si>
  <si>
    <t>8.00 GB (7.78 GB 使用可能)</t>
  </si>
  <si>
    <t>F6B25A32-9AC8-4006-A5AB-CC718431CAAA</t>
  </si>
  <si>
    <t>00342-20736-28923-AAOEM</t>
  </si>
  <si>
    <t>009</t>
  </si>
  <si>
    <t>takano</t>
  </si>
  <si>
    <t>mouse①</t>
  </si>
  <si>
    <t>DESKTOP-L9R3DBI</t>
  </si>
  <si>
    <t>EA22C51-90F3-4FF1-A970-AA62541248C4</t>
  </si>
  <si>
    <t>00330-54055-59719-AAOEM</t>
  </si>
  <si>
    <t>U104910836</t>
  </si>
  <si>
    <t>Windows Feature Experience Pack 120.2212.4170.0</t>
  </si>
  <si>
    <t>mouse②</t>
  </si>
  <si>
    <t>DESKTOP-F71S2H6</t>
  </si>
  <si>
    <t>1F67C529-B43D-4006-9CEE-B44515C405DB</t>
  </si>
  <si>
    <t>00330-54055-59710-AAOEM</t>
  </si>
  <si>
    <t>U104910840</t>
  </si>
  <si>
    <t>Windows Feature Experience Pack 120.2212.3530.0</t>
  </si>
  <si>
    <t>mouse③</t>
  </si>
  <si>
    <t>DESKTOP-JVFLLD8</t>
  </si>
  <si>
    <t>63D140AB-35D0-4FE2-9496-51D901CD6876</t>
  </si>
  <si>
    <t>00330-54055-59711-AAOEM</t>
  </si>
  <si>
    <t>U104910841</t>
  </si>
  <si>
    <t>LAVIE①</t>
  </si>
  <si>
    <t>DESKTOP-IP3U312</t>
  </si>
  <si>
    <t>1D5C7D3D-5E80-4F8C-97DD-AB3140452CB8</t>
  </si>
  <si>
    <t>00330-53364-73407-AAOEM</t>
  </si>
  <si>
    <t>11006471F</t>
  </si>
  <si>
    <t>Windows Feature Experience Pack 120.2202.130.0</t>
  </si>
  <si>
    <t>LAVIE②</t>
  </si>
  <si>
    <t>DESKTOP-9MHTMD3</t>
  </si>
  <si>
    <t>4EBD8BB8-A7B9-405D-B285-9E8DEBC0B760</t>
  </si>
  <si>
    <t>00330-53342-63143-AAOEM</t>
  </si>
  <si>
    <t>11002661F</t>
  </si>
  <si>
    <t>Windows Feature Experience Pack 1000.22700.1009.0</t>
  </si>
  <si>
    <t>LAVIE⑥</t>
  </si>
  <si>
    <t>LAVIE⑦</t>
  </si>
  <si>
    <t>13インチ</t>
  </si>
  <si>
    <t>132</t>
  </si>
  <si>
    <t>teraishi</t>
  </si>
  <si>
    <t>131</t>
  </si>
  <si>
    <t>sugio</t>
  </si>
  <si>
    <t>130</t>
  </si>
  <si>
    <t>matsushita</t>
  </si>
  <si>
    <t>134</t>
  </si>
  <si>
    <t>kogashiwa</t>
  </si>
  <si>
    <t>001</t>
  </si>
  <si>
    <t>yoshimura</t>
  </si>
  <si>
    <t>002</t>
  </si>
  <si>
    <t>misako</t>
  </si>
  <si>
    <t>○→×</t>
  </si>
  <si>
    <t>137</t>
  </si>
  <si>
    <t>nakamura</t>
  </si>
  <si>
    <t>2025/‎09/‎19</t>
  </si>
  <si>
    <t>138</t>
  </si>
  <si>
    <t>doyama</t>
  </si>
  <si>
    <t>企画課 新人用PC②</t>
  </si>
  <si>
    <t>135</t>
  </si>
  <si>
    <t>nakamura-t</t>
  </si>
  <si>
    <t>136</t>
  </si>
  <si>
    <t>habuchi</t>
  </si>
  <si>
    <t>3F/休憩/応接室</t>
  </si>
  <si>
    <t>129</t>
  </si>
  <si>
    <t>info-kanri</t>
  </si>
  <si>
    <t>仮想(旧)</t>
    <rPh sb="0" eb="2">
      <t>カソウ</t>
    </rPh>
    <rPh sb="3" eb="4">
      <t>キュウ</t>
    </rPh>
    <phoneticPr fontId="12"/>
  </si>
  <si>
    <t>-</t>
    <phoneticPr fontId="1"/>
  </si>
  <si>
    <t>各ユーザーレベルで必要な知識はマニュアルが欲しいですが、　OJTはお願したいです。特にセキュリティはハードルが高いと感じてます・・・　個人的には、メールは迷惑メールが来てるのと、SPAM認識されてるメールも多く、　何かしら各個人で対応ができるのか等、教えて頂きたいです。　　　　</t>
  </si>
  <si>
    <t>サーバーや回線等による作業待ち時間を減らしたい</t>
  </si>
  <si>
    <t>スマホから資料を作成、確認、送付できるようにしたい（見積書、発注書、試作概要書、受注フォーマット、裏面原稿、仕様書、製造予定、倉庫在庫、営業資料etc...）</t>
  </si>
  <si>
    <t>売上、粗利、数量などの予実を極力リアルタイムで共有、把握できるようにしたい。</t>
  </si>
  <si>
    <t>案件全体の進捗状況を一覧でタスク化（把握、確認）したい。（試作、原価、見積、安定性試験、容器相性試験、受注、契約書締結、校正、資材納期、製造予定、出荷etc...）</t>
  </si>
  <si>
    <t>メールやcahtの連絡時間を省略したい（保存や更新をしたら共有者へ自動通知など）</t>
  </si>
  <si>
    <t>生成AIなどで試作概要書や提案書を自動作成したい</t>
  </si>
  <si>
    <t>必要な情報をすぐに見つけられるようにしたい（例：ワークフローからその資料へアクセスなど）</t>
  </si>
  <si>
    <t>ワークフローを誰でもすぐに確認して実行できるようにしたい（ISOの手順書のような紙ベースでは、手順通りの実行が難しいと感じる）</t>
  </si>
  <si>
    <t>売上機会損失を減らしたい（納品から一定期間が空いたら担当営業へ自動通知など）</t>
  </si>
  <si>
    <t>日報が属人的な内容にならないようメール以外の簡単な方法で見やすくしたい</t>
  </si>
  <si>
    <t>気づきや改善要望は日報ではなく別の共有方法にしたい</t>
  </si>
  <si>
    <t>ファイルを間違って削除したとき、元に戻せるのか。　→ 自分で復元できるのか、誰かに頼まないといけないのか知りたいです。</t>
  </si>
  <si>
    <t>メールやファイルって、どれくらいの期間保存されるのか。　→ 必要な情報が消えてしまわないか不安です。</t>
  </si>
  <si>
    <t>誰がどのファイルを編集したのか、あとから確認できる？　→ 使うときに「上書き」が怖いので、履歴の見方を知りたいです。</t>
  </si>
  <si>
    <t>↓収集した結果から増減</t>
    <rPh sb="1" eb="3">
      <t>シュウシュウ</t>
    </rPh>
    <rPh sb="5" eb="7">
      <t>ケッカ</t>
    </rPh>
    <rPh sb="9" eb="11">
      <t>ゾウゲン</t>
    </rPh>
    <phoneticPr fontId="11"/>
  </si>
  <si>
    <t>保存場所の把握に困るのと、送付側受け取り側でデータを各自データ保存のため、最新版が把握しずらくなる（クライアント様との共有資料等）・エクセル等のデータ開きっぱなしで使用できない　等</t>
  </si>
  <si>
    <t>従来のフォルダ運用と、OneDriveとの使い分けは不安
共同編集、権限管理は誰がどこまで制限できたり、クライアント様との共有なども可能か知りたい</t>
  </si>
  <si>
    <t>ファイルを間違って削除したとき、元に戻せるのか。→自分で復元できるのか、誰かに頼まないといけないのか知りたいです。
メールやファイルって、どれくらいの期間保存されるのか。→必要な情報が消えてしまわないか不安です。
誰がどのファイルを編集したのか、あとから確認できる？→使うときに「上書き」が怖いので、履歴の見方を知りたいです。</t>
  </si>
  <si>
    <t>迷惑メールが一定数あったり、必要なメールがSPAM認定されてるので、エラーとかで届かない等にならないかは気になる</t>
  </si>
  <si>
    <t>ウイルス対策と迷惑メールはなくしてほしい</t>
  </si>
  <si>
    <t>⑥その他(自由意見)</t>
    <rPh sb="5" eb="7">
      <t>ジユウ</t>
    </rPh>
    <rPh sb="7" eb="9">
      <t>イケン</t>
    </rPh>
    <phoneticPr fontId="1"/>
  </si>
  <si>
    <t>全く思わない</t>
    <phoneticPr fontId="1"/>
  </si>
  <si>
    <t>あまり思わない</t>
    <phoneticPr fontId="1"/>
  </si>
  <si>
    <t>どちらともいえない</t>
    <phoneticPr fontId="1"/>
  </si>
  <si>
    <t>まあまあ思う</t>
    <phoneticPr fontId="1"/>
  </si>
  <si>
    <t xml:space="preserve">とても思う  </t>
    <phoneticPr fontId="1"/>
  </si>
  <si>
    <t>Q1.不便・非効率</t>
    <rPh sb="3" eb="5">
      <t>フベン</t>
    </rPh>
    <rPh sb="6" eb="9">
      <t>ヒコウリツ</t>
    </rPh>
    <phoneticPr fontId="1"/>
  </si>
  <si>
    <t>Q2.ミス・時間</t>
    <rPh sb="6" eb="8">
      <t>ジカン</t>
    </rPh>
    <phoneticPr fontId="1"/>
  </si>
  <si>
    <t>Q3.工数</t>
  </si>
  <si>
    <t>Q4.ペーパーレス化</t>
    <rPh sb="9" eb="10">
      <t>カ</t>
    </rPh>
    <phoneticPr fontId="1"/>
  </si>
  <si>
    <t>Q6.業務改善(自由意見)</t>
    <rPh sb="10" eb="12">
      <t>イケン</t>
    </rPh>
    <phoneticPr fontId="1"/>
  </si>
  <si>
    <t>森山貴史</t>
  </si>
  <si>
    <t>南光彦</t>
  </si>
  <si>
    <t>Q5.AI・ツール活用</t>
    <phoneticPr fontId="1"/>
  </si>
  <si>
    <t>小田晶彦</t>
    <rPh sb="0" eb="2">
      <t>オダ</t>
    </rPh>
    <phoneticPr fontId="1"/>
  </si>
  <si>
    <t>鳥山一洋</t>
    <phoneticPr fontId="1"/>
  </si>
  <si>
    <t>中島和哉</t>
    <phoneticPr fontId="1"/>
  </si>
  <si>
    <t>鳥山一洋/中島和哉</t>
    <rPh sb="0" eb="2">
      <t>トリヤマ</t>
    </rPh>
    <rPh sb="2" eb="4">
      <t>カズヒロ</t>
    </rPh>
    <phoneticPr fontId="10"/>
  </si>
  <si>
    <t>勤務拠点</t>
    <rPh sb="0" eb="2">
      <t>キンム</t>
    </rPh>
    <rPh sb="2" eb="4">
      <t>キョテン</t>
    </rPh>
    <phoneticPr fontId="12"/>
  </si>
  <si>
    <t>生産管理</t>
  </si>
  <si>
    <t>完了</t>
    <rPh sb="0" eb="2">
      <t>カンリョウ</t>
    </rPh>
    <phoneticPr fontId="1"/>
  </si>
  <si>
    <t>期間</t>
    <rPh sb="0" eb="2">
      <t>キカン</t>
    </rPh>
    <phoneticPr fontId="1"/>
  </si>
  <si>
    <t>短期</t>
    <rPh sb="0" eb="2">
      <t>タンキ</t>
    </rPh>
    <phoneticPr fontId="1"/>
  </si>
  <si>
    <t>中期</t>
    <rPh sb="0" eb="2">
      <t>チュウキ</t>
    </rPh>
    <phoneticPr fontId="1"/>
  </si>
  <si>
    <t>長期</t>
    <rPh sb="0" eb="2">
      <t>チョウキ</t>
    </rPh>
    <phoneticPr fontId="1"/>
  </si>
  <si>
    <t>バルクの現品票へのメッシュサイズ等の印刷/手書きの件について、バルク担当者の方でもTPiCSに登録できるようツールを作成して提出(2026/03/04鳥山主任日報)</t>
    <phoneticPr fontId="1"/>
  </si>
  <si>
    <t>サーバ/端末</t>
    <rPh sb="4" eb="6">
      <t>タンマツ</t>
    </rPh>
    <phoneticPr fontId="1"/>
  </si>
  <si>
    <t>・フリーズが頻発する。社員のパソコン使用が集中する時間帯（主に9時頃、18時頃）は特に多く、長くフリーズする。</t>
    <rPh sb="11" eb="13">
      <t>シャイン</t>
    </rPh>
    <phoneticPr fontId="1"/>
  </si>
  <si>
    <t>・慢性的に動作が遅くてフリーズします。書類（処方、提案書、報告書、成績書、指図書など）作成、メール対応、調査など、本社で作業していた時と比べ、完了するまでの時間が長くなっています。</t>
    <phoneticPr fontId="1"/>
  </si>
  <si>
    <t>2低い</t>
    <rPh sb="1" eb="2">
      <t>ヒク</t>
    </rPh>
    <phoneticPr fontId="1"/>
  </si>
  <si>
    <t>1無し</t>
    <rPh sb="1" eb="2">
      <t>ナ</t>
    </rPh>
    <phoneticPr fontId="1"/>
  </si>
  <si>
    <t>4有り</t>
    <rPh sb="1" eb="2">
      <t>ア</t>
    </rPh>
    <phoneticPr fontId="1"/>
  </si>
  <si>
    <t>5高い</t>
    <rPh sb="1" eb="2">
      <t>タカ</t>
    </rPh>
    <phoneticPr fontId="1"/>
  </si>
  <si>
    <t>サーバ室設置済</t>
    <rPh sb="3" eb="4">
      <t>シツ</t>
    </rPh>
    <rPh sb="4" eb="6">
      <t>セッチ</t>
    </rPh>
    <rPh sb="6" eb="7">
      <t>スミ</t>
    </rPh>
    <phoneticPr fontId="1"/>
  </si>
  <si>
    <t>基礎向上</t>
    <rPh sb="0" eb="2">
      <t>キソ</t>
    </rPh>
    <rPh sb="2" eb="4">
      <t>コウジョウ</t>
    </rPh>
    <phoneticPr fontId="1"/>
  </si>
  <si>
    <t>アプリ/操作</t>
    <rPh sb="4" eb="6">
      <t>ソウサ</t>
    </rPh>
    <phoneticPr fontId="1"/>
  </si>
  <si>
    <t>スマホである程度のメールチェックなどしたいが、全て入ると量が多すぎて困る。メールもアプリで管理できると。。現在チャットなどは保存機能を活用。</t>
    <phoneticPr fontId="1"/>
  </si>
  <si>
    <t>課題/提案</t>
    <rPh sb="0" eb="2">
      <t>カダイ</t>
    </rPh>
    <rPh sb="3" eb="5">
      <t>テイアン</t>
    </rPh>
    <phoneticPr fontId="1"/>
  </si>
  <si>
    <t>意識/姿勢</t>
    <rPh sb="0" eb="2">
      <t>イシキ</t>
    </rPh>
    <rPh sb="3" eb="5">
      <t>シセイ</t>
    </rPh>
    <phoneticPr fontId="1"/>
  </si>
  <si>
    <t>ここ最近AppleやＳＢＩ証券を名乗る迷惑メールがくることがあり、無視しているが来ないように出来ないか。</t>
    <phoneticPr fontId="1"/>
  </si>
  <si>
    <t>ファイルの保存先や管理方法が人によってバラバラになっている。どれが最新ファイルか分からなくなることがあり、特に複数人で作業する時に不安を感じる。また、退職や異動があると引き継ぎ漏れで大事なデータが見つからないケースもある。</t>
    <phoneticPr fontId="1"/>
  </si>
  <si>
    <t>不要なファイル、フォルダ、ショートカット等が散見される状態。要不要分からず、誰も手をつけることができていない。似たようなフォルダ、ファイルなども見受けられ、無駄なデータが多い。</t>
    <phoneticPr fontId="1"/>
  </si>
  <si>
    <t>入社したばかりなので現在は問題なく進めれています。昔にパソコンが飛びデータが消えたという話を聞いたのでバックアップなどは一応あるのか知っておきたいです。</t>
    <phoneticPr fontId="1"/>
  </si>
  <si>
    <t>フォルダの種類が多く保存場所も統一されてないので、検索するのに時間が要する。同じようなデータが点在してるので、どれが正しいデータなのか不明である。</t>
    <phoneticPr fontId="1"/>
  </si>
  <si>
    <t>データがどこにあるか分からない。たぶん昔と今で作業者や作業部署が違うので、点在していることが原因だと思う。平たく言うとフォルダ構成が無茶苦茶。
品保のフォルダを作って欲しい。食添とコスメの品保のフォルダを分けて欲しい。
各自が自由に使えるフォルダが欲しい（スキャンフォルダの感じ）
デバイス（プリンタ―）が多いので、「どれ？」になる。ない分は削除して欲しい。全部あるならごめんなさい。
記録しているデータの目的と実際（データ加工）に必要としている内容が合ってない
食添の試験成績書の作成関係の基準があいまい過ぎて困っている。台帳は、商品名⇒出荷先で検索すると見つけやすいが、試験成績書は商品名と出荷先名が並列であるので探すことが難しい（慣れはした）。</t>
    <phoneticPr fontId="1"/>
  </si>
  <si>
    <t>部署単位での共通フォルダ構成ルールを決めて整理をしたい。更新履歴や編集者が分かる仕組みを使って、上書きミスや「誰が変えたか分からない問題」を減らしたい。権限管理を部署ごと・役職ごとに明確にしたいが、シンプルなフォルダ構成と権限にしたい。</t>
    <phoneticPr fontId="1"/>
  </si>
  <si>
    <t>現在も部署や課のフォルダはあるが、使用ルールが不明で、生産管理の名前のフォルダでも、他部署と共有で使用するフォルダだったり、誰と使ってるのかわからないし、似た名前で複数存在したら混乱する
誰と共有すべきデータか（課内？自分だけ？全体？）、共有しないのか等で、保存場所をルール化できたら、少し整理がつくのかなと感じます。</t>
    <phoneticPr fontId="1"/>
  </si>
  <si>
    <t>フォルダ作成のルール作り。個々での運用に任せきりになっており、収集がつかないので全社員統一のルールを設定し、無駄を省く
1年以上更新されていないファイルなど抽出し、不要フォルダへ移すようなシステム。</t>
    <phoneticPr fontId="1"/>
  </si>
  <si>
    <t>今は誰でも新規ファイル、フォルダををつくれるが、共有のフォルダは各長が許可した場合のみ追加できるようにし、その他は個人ファイルにとどめた方が良い。</t>
    <phoneticPr fontId="1"/>
  </si>
  <si>
    <t>似た名称のフォルダやファイルが多く「どれ？」になる。規格書も「自社FM」と「他社FM」と「食添の購入原料の規格書」「コスメの購入原料の規格書」のように複数ありそれぞれ点在している。出来れば、発行した規格書、SDS、試験成績書系と、購入原料の規格書で分けて欲しい。「01食添_規格書_自社FM_250708_第1版.xlsx」のような分けかたをしたい。
品目マスタ的なもの。品目コードと絡めて書類を作る習慣化
食添の製造が在庫管理をどうしているか存じませんが、注文がきた⇒入力⇒製品在庫のチェック⇒予定在庫から引く⇒足りない場合は製造するので、原材料のチェック⇒原材料の発注⇒入荷したら原材料のチェック⇒・・・人の手をかけすぎているように思う。
入力までしたら、何とかして欲しい。データを蓄積するのはいいが、分析や解析ができていない。簡単に出来たらいい。</t>
    <phoneticPr fontId="1"/>
  </si>
  <si>
    <t>MSのOneDriveなど使い方を知らない。昔、Googleのスプレッドシートを使ったことはあるが、いまいちしっくりこなかった記憶がある。MSがサービスを止めるってなった時、どうします？</t>
    <phoneticPr fontId="1"/>
  </si>
  <si>
    <t>外部へのメール送信やデータ共有で情報漏えいしないか不安だが、情報漏えいすると雇用契約上 個人へのリスクがあることを周知したい。社外からのアクセスやウイルス感染リスクなど、何をどう防げるのか社員全体で意識を高める必要を感じる。</t>
    <phoneticPr fontId="1"/>
  </si>
  <si>
    <t>社内でのセキュリティ意識、知識の維持向上のためのトレーニング方法。弊社にあったセキュリティ導入の範囲を知りたい。Lanscopeを使った具体的な管理方法。PCやAPなどに社内機器ではないものを接続できてしまうためそれをシャットアウトできるようなセキュリティ。</t>
    <phoneticPr fontId="1"/>
  </si>
  <si>
    <t>具体的なNG行為とNG行為を行った場合にどのようなリスクがあるのか　事例を用いた詳細が知りたいです。</t>
    <phoneticPr fontId="1"/>
  </si>
  <si>
    <t>マニュアルがあれば空き時間や、家でも確認できるので欲しい。ＩＴ関係の知識が全くないので基礎的な内容から研修して頂きたいです。</t>
    <phoneticPr fontId="1"/>
  </si>
  <si>
    <t>シンコーでの作業内容で必要なスキルについては、部署ごとに集まって実演で教育してほしいです。OneDrive（個人用クラウドストレージ）、SharePoint（チーム用共有フォルダ）Teams（チャット・会議）等</t>
    <phoneticPr fontId="1"/>
  </si>
  <si>
    <t>MS365の基本操作（OneDrive、SharePoint、Teamsなど）を実演ベースで学ぶ研修がほしい。部署内で聞けるように少人数での勉強会も検討したい。また、IT用語が難しいく感じるので、初心者でも理解できる資料やマニュアルを用意してほしい。</t>
    <phoneticPr fontId="1"/>
  </si>
  <si>
    <t>各部署でどこまでを管理範囲するのか、そのためにどんなITスキルが必要なのかを先ず教えて欲しいです。範囲が見えたことで、理解不足の度合いが具体的になると思うので、質問もしやすくなると思います。現時点では求められてることがわかってないので、質問することが難しいです。</t>
    <phoneticPr fontId="1"/>
  </si>
  <si>
    <t>全体的な知識の底上げの研修
・クライアントPCからサーバーに接続してサーバー内でPC業務を行っているなどの基礎知識
・サーバーに負荷をかけない日常業務の進め方の研修
・メールに極力データを添付しない、Excelなど重くならないやり方など</t>
    <phoneticPr fontId="1"/>
  </si>
  <si>
    <t>MS365をネットで調べるだけでは知識が身につかないので、実務ベースでの研修をしていただきたい。パソコン用語が難しいので理解できるような資料もほしい。</t>
    <phoneticPr fontId="1"/>
  </si>
  <si>
    <t>エクセルのVBAを教えて欲しい（独学の限界を感じてます）。</t>
    <phoneticPr fontId="1"/>
  </si>
  <si>
    <t>ＩＴ関係の知識がないのでこれを機に向上出来る機会にしたいので、研修などには参加していきたい。</t>
    <phoneticPr fontId="1"/>
  </si>
  <si>
    <t>現状問題なのは製造中空いた時間にパソコン作業する際フリーズや動作が遅くなるのが一番不便を感じる。TPIXも動作が鈍い時があるので改善してほしい。
どんなふうに変わるのか分からないので、フォルダやデータ管理を個々で管理していきましょうと言われても、変わることによってどういう事をしていいか分からない。なので色々と質問されても分からないので、後々こうしたいとかは出てくる。</t>
    <phoneticPr fontId="1"/>
  </si>
  <si>
    <t>今すぐでなぐの要望ではないですが、会社を大きくしていきたい。していく。という前提の上で、常駐でなくて外部委託でもいいと思うので、先ず情報システム部の専任が欲しいです。
会社が大きくなれば、インフラやシステム保守は今後重要度は増すので、兼任では厳しいタイミングが来ると思うのと、サーバリプレイスで、クラウド等もうまく利用して仕事しやすい環境を目指す上で、社員や顧客の個人情報や、クライアント様が絡むような情報漏洩（イベント、商品企画・発売やコラボ情報等）を防ぐ環境作りを希望します。</t>
    <phoneticPr fontId="1"/>
  </si>
  <si>
    <t>専門的な内容多く、とっつきにくい印象をもたれがちではあるもののサーバーは全員が使用しており、サーバーに接続しないとPC業務が行えないので全員最低限の知識と、決められた運用守りより良いサーバー環境での業務ができるよう意識をもって取り組んでいきたいと思います</t>
    <phoneticPr fontId="1"/>
  </si>
  <si>
    <t>定期的にパソコンのフリーズがあるので安定してほしい。工程が複雑にならず、ダブった作業は増えないでほしい。簡易になれば嬉しい。</t>
    <phoneticPr fontId="1"/>
  </si>
  <si>
    <t>シンクライアントを使わないなら、PCのスペックを上げて欲しい。（ラベル屋さん的なアプリを使うことがあるのですが、GPUとかって高い方がいいですか？）
サーバーに付随して思ったことですが、当社のHPに、規格書やSDSを載せれる物だけ載せれば、問い合わせ対応が減ると思う（営業や付随部署の負担軽減目的）。
調味料製剤のご要望承ります。みたいな物があればいいと思う（売上アップ目的）。</t>
    <phoneticPr fontId="1"/>
  </si>
  <si>
    <t>商談時や移動時にVPN接続をしなければ共有フォルダなど見られず、よりクイックにスマホやPCから閲覧・操作をしたい。新幹線移動が多く、電波が悪い時にローカルで作業できそれがサーバーと紐づけると良い。スマホである程度のメールチェックなどしたいが、全て入ると量が多すぎて困る。現在チャットなどは保存機能を活用。メールもアプリで管理できると。。</t>
    <phoneticPr fontId="1"/>
  </si>
  <si>
    <t>・Genspark、ChatGPT　　どのようなことができるのか、試しに使った程度
・Claude　　VBA、SQL、スクリプトなどの作成と修正に日常的に使用</t>
    <phoneticPr fontId="1"/>
  </si>
  <si>
    <t>ChatGPT　・画像生成　・WEBやPythonのコードの改善
Ollama　・ローカル環境でのLLM実行</t>
    <phoneticPr fontId="1"/>
  </si>
  <si>
    <t>使用AI及びAIエージェント：ChatGPT、Genspark　　用途：情報収集や図解などの画像生成</t>
    <phoneticPr fontId="1"/>
  </si>
  <si>
    <t xml:space="preserve">Q5-1. AIや便利ツールを業務で使ってみたいと思いますか？ 
1 = 全く思わない
2 = あまり思わない
3 = どちらともいえない
4 = まあまあ思う
5 = とても思う  </t>
    <phoneticPr fontId="1"/>
  </si>
  <si>
    <t>全員がAIに興味・関心を持ち、使用するような環境には恐らくならないと思われるが 社内で1名でも多くAIの使い方を知り、活用することで日常業務の細かなことでも日々改善できるような環境ができれば良いと感じる</t>
    <phoneticPr fontId="1"/>
  </si>
  <si>
    <t>・日/週のルーティン作業　　Q1の内容と同じです</t>
    <phoneticPr fontId="1"/>
  </si>
  <si>
    <t>〇グリセリンを使用するとき、ドラム原料のためエアーで充填できる治具を使用しているのですが、古くなっているせいか出てくる量があまりにも遅いです。多く量を使用するときなどとても時間がかかります。新しいものを購入するなどして改善したいです。
〇常温や冬などに気温が低い状態で保管していると固まる原料があります。使用するときに加温をして溶かさないといけないのですが、加温機に入れるか湯煎をするかで対応しています。現在使用している加温機が一斗缶を最大4缶までしか入れられず、それ以上溶かさないといけない原料がある場合に困っています。大きい加温機を購入するなど改善をしたいです。
〇原料を保管する冷蔵庫もいっぱいになってきており、新しい冷蔵庫を購入するなどして改善したいです。</t>
    <phoneticPr fontId="1"/>
  </si>
  <si>
    <t>3普通</t>
    <rPh sb="1" eb="3">
      <t>フツウ</t>
    </rPh>
    <phoneticPr fontId="1"/>
  </si>
  <si>
    <t>・日/週ルーティンのデータベースからの抽出/加工作業　手動作業が多く、日々時間がかかってしまうため、AIを用いて改善中
・電話での原料の在庫/入荷/使用予定の問い合わせへの対応　ヒアリングの上、ツールを作成し改善を計画している</t>
    <phoneticPr fontId="1"/>
  </si>
  <si>
    <t>定期的な集計作業や、複数のExcel・CSVを扱う作業。特に、同じ内容を複数ファイルへ入力・転記する工程が当てはまると思います。</t>
    <phoneticPr fontId="1"/>
  </si>
  <si>
    <t>毎月の社員の体温を記録する用紙の作成（ファイル名：健康管理①就業前検温測定記録 (00000003)　　内容：基本的な色付けや社員名は自動化できているが、参照が上手く出来ない部分は手で行っている）
毎週、食添（粉体）の包材の個数をチェックし、必要な物は発注を行う。（ファイル名：包材在庫管理表　　内容：包材（ダンボール、袋、ラベル）の個数をチェックし、必要な物は発注を行う。）</t>
    <phoneticPr fontId="1"/>
  </si>
  <si>
    <t>メールを送る際にどういったメーリスが存在し、どなたに配信されるのかいまだに不明です。メールアドレス一覧やメーリス配信先など閲覧しやすくなるとメールを送る際の時短になり送り漏れがなくなると感じます。メールを送る際に送り先に悩む時間が発生する事がある為まずは一覧が欲しいです。</t>
    <phoneticPr fontId="1"/>
  </si>
  <si>
    <t>生産管理システムの実績入力などのNG数や資材ロットの選択などの入力作業。エラーの頻度が多く都度生産管理の方へ一報いれているが、エラーが出ないように出来るのであればありがたいです。</t>
    <phoneticPr fontId="1"/>
  </si>
  <si>
    <t>1短期：すぐできる</t>
    <rPh sb="1" eb="3">
      <t>タンキ</t>
    </rPh>
    <phoneticPr fontId="1"/>
  </si>
  <si>
    <t>2中期：現状からできる</t>
    <rPh sb="1" eb="3">
      <t>チュウキ</t>
    </rPh>
    <rPh sb="4" eb="6">
      <t>ゲンジョウ</t>
    </rPh>
    <phoneticPr fontId="1"/>
  </si>
  <si>
    <t>3長期：環境整備から</t>
    <rPh sb="1" eb="3">
      <t>チョウキ</t>
    </rPh>
    <rPh sb="4" eb="6">
      <t>カンキョウ</t>
    </rPh>
    <rPh sb="6" eb="8">
      <t>セイビ</t>
    </rPh>
    <phoneticPr fontId="1"/>
  </si>
  <si>
    <t>・包装工程作業日報のメール配信。毎日ファックスで来たものをスキャンしてpdf化しているため、手間に感じることがあります。
・無料の本での企業調査。95年版のためデータが古く、該当企業が載ってないことが多い。</t>
    <phoneticPr fontId="1"/>
  </si>
  <si>
    <t>能動的、広範囲</t>
    <rPh sb="4" eb="7">
      <t>コウハンイ</t>
    </rPh>
    <phoneticPr fontId="1"/>
  </si>
  <si>
    <t>受動的、限定的</t>
    <rPh sb="0" eb="3">
      <t>ジュドウテキ</t>
    </rPh>
    <rPh sb="4" eb="7">
      <t>ゲンテイテキ</t>
    </rPh>
    <phoneticPr fontId="1"/>
  </si>
  <si>
    <t>・入荷資材検品　支給資材などで、事前連絡なく微細な改版があるものなど目視検査では見落としてしまうリスクがある</t>
    <phoneticPr fontId="1"/>
  </si>
  <si>
    <t>数値の転記や、複数ファイル間の数値照合作業。手作業でのチェックが多く、集中力を要するため、負荷がかかっていると思います。</t>
    <phoneticPr fontId="1"/>
  </si>
  <si>
    <t>武内製薬様など製品数が多い種類の在庫表の作業を行う際どうしても見落としが出てしまいます。単純にファイルの問題というよりは製品全てが同じ在庫表の為(笑栄様などは案件毎に在庫表があります)、チェック項目が多くありミス自体は個人的な問題かと思います。ただ、在庫表の中で一番作業時間がかかる業務です。</t>
    <phoneticPr fontId="1"/>
  </si>
  <si>
    <t>原料発注において堂島実業様納品分を記録する直送予定一覧エクセルの更新漏れが起きやすい。週1～2回TPiCSとエクセルを参照して変更漏れがないか確認はしているが発注済みの納期変更や数量変更が多くTPiCSの変更のみになっていることがたまにある</t>
    <phoneticPr fontId="1"/>
  </si>
  <si>
    <t>製造の加工賃を比較する時に、誰が作業していたかを確認するために毎日撮影しているホワイトボードの人員割り振りの画像と各工程の加工賃を照らし合わせているので、加工賃のページで各工程と作業者がリンクしていれば捗ります。あと、製造日を記載しといて欲しいです。</t>
    <phoneticPr fontId="1"/>
  </si>
  <si>
    <t>請求金額と入金額の照合。ネットバンキングで抽出したデータを奉行クラウド内で自動照合できればミスも手間も省けるのではないかと思います。（既に方法があって、自分が知らないだけかもしれませんが）</t>
    <phoneticPr fontId="1"/>
  </si>
  <si>
    <t>定型フォーマットの報告資料作成や、データ収集から集計までの一連の作業。手順が多く、改善余地があると感じます。</t>
    <phoneticPr fontId="1"/>
  </si>
  <si>
    <t>・食添の納品書チェック　納品日・仕入先・商品名・数量・金額のリストがあればいいなと思ってます
・経費の請求書チェック　一部は請求書が届いてから発注者を探して内容確認してもらってるのでなんか良い方法ないかなとは思ってます</t>
    <phoneticPr fontId="1"/>
  </si>
  <si>
    <t>BeGardenの原価計上（良い方法がないか現在、思案中です）</t>
    <phoneticPr fontId="1"/>
  </si>
  <si>
    <t>概算見積もりの作成、確認に多少時間はかかっています。資材メーカーの見積もりをエクセルに詳細打ち込むのと内容あっているかの確認が面倒です。</t>
    <phoneticPr fontId="1"/>
  </si>
  <si>
    <t>Q2と同じ。（概算見積もりの作成、確認に多少時間はかかっています。資材メーカーの見積もりをエクセルに詳細打ち込むのと内容あっているかの確認が面倒です。）</t>
    <phoneticPr fontId="1"/>
  </si>
  <si>
    <t>自身の作業の中で、手書き業務で負荷の高いものはないためここに該当する作業はございません</t>
    <phoneticPr fontId="1"/>
  </si>
  <si>
    <t>包材に限らず、在庫管理にPC化が必要と思う。できれば、エクセルで引き落としをして、在庫量を印刷　⇒　人がチェックして、実数と合わせる　⇒　不足分は発注する。みたいな流れが取れるといいと思う。メモからの転記はロートでよくしている。予定がわかっている分は、先に書類を出して欲しい。</t>
    <phoneticPr fontId="1"/>
  </si>
  <si>
    <t>打ち合わせのメモをジャンル毎で整理できれば便利かも。（衛生管理委員、製造会議等）</t>
    <phoneticPr fontId="1"/>
  </si>
  <si>
    <t>ちょっと違うかもですが議事録関係の作成は、メモして入力するのが手間です。音声の書き出しをしていくつもりではいます。</t>
    <phoneticPr fontId="1"/>
  </si>
  <si>
    <t>ＰＤＦや画像をエクセルで加工できたらなと思ったことあります。特に表などＰＤＦの変換機能やＷｏｒｄ，メモを経由してみましたが画像になってしまい加工できなかったので諦めてました そのときの環境や状況でどうしても手書きになることもあるのでそういう機能があれば教えてほしいです</t>
    <phoneticPr fontId="1"/>
  </si>
  <si>
    <t>・製品の出荷依頼済の内容を、日付順で受注番号別の一覧化で見れたらなと思います　製造が立て込んだ際やトラブルなどで、出荷依頼が出てるか現場から聞かれたり、直近の予定変更の対応の場合でも、自分のタイミングで確認ができれば問い合わせも減り、確認自体も手間が減るので助かります。また、担当者も出荷依頼したかどうかの確認もしやすいと思います。
・各製品の入数やパレット積載、納品時のルール、商品または得意先様毎の特記事項などを共有・管理できて、各自のタイミングで見れる場所があれば、担当者変更やトラブルがあっても、基本情報は確認しやすく周囲もフォローしやすいと思います。
新規の取引先・商品、納品先などの場合は、必要情報の登録などは発生しますが、それだけしておけば、毎回受注フォーマット記載も不要にできるのではと思います。
TPICSでできることもあると思いますが、各自のタイミングで確認できるのがポイントで、ログイン権限など気にせず、理想は社外にいてもできるといいなと思います。</t>
    <phoneticPr fontId="1"/>
  </si>
  <si>
    <t>小さな改善を積み重ねることで、現場の負担軽減と品質向上の両立ができると思います。「少し楽になった」と実感できる事例が増えると、DXも自然に浸透していくと感じます。</t>
    <phoneticPr fontId="1"/>
  </si>
  <si>
    <t>AIを利用したことがないので、AIが分析をできるのかわからないですが、食添は、分析値を残せば、安定・不安定な製剤が数値から見えてくる分野だと思います。下記のエクセルファイルのようなことをしたくても、とっつきにくいようで、理解が得られないのが現状です。
（ファイル名：容器のキャビナンバーごとの重量測定と開栓トルク値の結果）
何とかしたいけど、お金もかけたくないし、情報が流出するリスクは避けたいです。</t>
    <phoneticPr fontId="1"/>
  </si>
  <si>
    <t>今回の趣旨とは外れるかもしれませんがすべての現場に放送が届くようになれば良いなと思います
急ぎの電話や用件を伝えられるようにしたいです（携帯などは持込規制がありそうなので）</t>
    <phoneticPr fontId="1"/>
  </si>
  <si>
    <t>AI/DB化</t>
    <rPh sb="5" eb="6">
      <t>カ</t>
    </rPh>
    <phoneticPr fontId="1"/>
  </si>
  <si>
    <t>計画着手</t>
    <rPh sb="0" eb="2">
      <t>ケイカク</t>
    </rPh>
    <rPh sb="2" eb="4">
      <t>チャクシュ</t>
    </rPh>
    <phoneticPr fontId="1"/>
  </si>
  <si>
    <t>EC事業部</t>
  </si>
  <si>
    <t>EC事業課</t>
  </si>
  <si>
    <t>管理課</t>
  </si>
  <si>
    <t>研究開発課</t>
  </si>
  <si>
    <t>製造課</t>
  </si>
  <si>
    <t>品質管理課</t>
  </si>
  <si>
    <t>バルク・顆粒</t>
  </si>
  <si>
    <t>充填包装</t>
  </si>
  <si>
    <t>生産管理事務</t>
  </si>
  <si>
    <t>物流</t>
  </si>
  <si>
    <t>粉体</t>
  </si>
  <si>
    <t>大前道仁</t>
  </si>
  <si>
    <t>北村優樹</t>
  </si>
  <si>
    <t>西村穂乃果</t>
  </si>
  <si>
    <t>Q5.AI・ツール活用　未回答者</t>
    <rPh sb="12" eb="15">
      <t>ミカイトウ</t>
    </rPh>
    <rPh sb="15" eb="16">
      <t>シャ</t>
    </rPh>
    <phoneticPr fontId="1"/>
  </si>
  <si>
    <t>個数 / 氏名</t>
  </si>
  <si>
    <t>部</t>
  </si>
  <si>
    <t>課</t>
  </si>
  <si>
    <t>係</t>
  </si>
  <si>
    <t>候補者</t>
  </si>
  <si>
    <t>候補者</t>
    <rPh sb="0" eb="3">
      <t>コウホシャ</t>
    </rPh>
    <phoneticPr fontId="1"/>
  </si>
  <si>
    <t>年 (回答時期)</t>
  </si>
  <si>
    <t>月 (回答時期)</t>
  </si>
  <si>
    <t>2025年</t>
  </si>
  <si>
    <t>3月</t>
  </si>
  <si>
    <t>6月</t>
  </si>
  <si>
    <t>7月</t>
  </si>
  <si>
    <t>サーバ/端末</t>
  </si>
  <si>
    <t>接続/動作</t>
  </si>
  <si>
    <t>アプリ/操作</t>
  </si>
  <si>
    <t>原文</t>
  </si>
  <si>
    <t>・Bサーバー基本的に重い</t>
  </si>
  <si>
    <t>･アマゾンサイトなどへ接続している時、サイト内の動きがとても遅いです。</t>
  </si>
  <si>
    <t>・エクセル、PDF使用時は遅くなりやすい。</t>
  </si>
  <si>
    <t>・エクセル・ワードにて、タイピングした内容が反映されるまでのタイムラグがかなりある時がある。</t>
  </si>
  <si>
    <t>・エクセルのハイパーリンクはバグりやすいです</t>
  </si>
  <si>
    <t>・サーバーが止まることで打ち損じや誤入力が発生しやすくなっている。電子管理が増える中で、この現象は致命的だと思う。</t>
  </si>
  <si>
    <t>・サーバーが重い、遅い。毎日午前9時と午後6時前後は必ず発生。その他の時間帯も突発的に発生。</t>
  </si>
  <si>
    <t>・サーバーにつながりにくい（特に朝９時ぐらい）</t>
  </si>
  <si>
    <t>・サーバーのフリーズが多い</t>
  </si>
  <si>
    <t>・サーバーのフリーズが多い、ローカルのSkype立ち上がりなど少し遅い印象</t>
  </si>
  <si>
    <t>・シンクラサーバーの動作が全体的に重い。（シンクラが原因なのか、PC自体が古いからなのかは分からないです）</t>
  </si>
  <si>
    <t>・パソコンが止まることで、進行中の作業が一旦止まる。再開時に誤入力していないか確認することからスタートするので、作業効率が低下。</t>
  </si>
  <si>
    <t>・パソコンの起動が遅く、シンクラの接続にも時間が掛かる(中島くんと同等の所要時間)　※島田主任と中島くんのPCスペックは同等です</t>
  </si>
  <si>
    <t>・パソコンの起動が遅く、シンクラの接続にも時間が掛かる、電源入～デスクトップの画面表示まで約3分30秒、Aサーバー接続アイコン選択～シンクラ画面まで約2分30秒</t>
  </si>
  <si>
    <t>・ハンディの動作反応が年々遅くなっている→データ蓄積されているため？</t>
  </si>
  <si>
    <t>・フリーズが頻発する。社員のパソコン使用が集中する時間帯（主に9時頃、18時頃）は特に多く、長くフリーズする。</t>
  </si>
  <si>
    <t>・ローカル、サーバー共にフリーズが多い</t>
  </si>
  <si>
    <t>・ログイン情報が合っているのにサーバーに入れない。（4,5回ログインし直すと入れる）</t>
  </si>
  <si>
    <t>・一定の手順で必ずエクセルとワードが落ちることがある。</t>
  </si>
  <si>
    <t>・一定期間作業していない時（昼休みなど）ログイン画面が表示され入るとプリンター指定が解除されて毎回ＰＤＦ指定になる</t>
  </si>
  <si>
    <t>・会計処理をする際、管理部用のノートＰＣでサーバー接続しCSVデータを取り込んでいますが、デスクトップPCに戻りログインするとデスクトップ上のアイコンの配列がバラバラになり少しストレスです</t>
  </si>
  <si>
    <t>・重すぎて、文字が明瞭ではない時がある。ボケてる。</t>
  </si>
  <si>
    <t>・朝立ち上げ時、アウトルックの起動に5分程かかる</t>
  </si>
  <si>
    <t>・定期的にデスクトップのアイコン位置シャッフルされる</t>
  </si>
  <si>
    <t>・定期的にハイパーリンクがリンクしなくなる。</t>
  </si>
  <si>
    <t>・動きが悪い日はその状態が一日中続くことが多く、仕事の作業効率が悪くなる（以前に比べると頻度は落ち着いているように感じます…）</t>
  </si>
  <si>
    <t>･突然サーバーからはじき出される。ログインしなおすと作業途中の画面には戻れます。</t>
  </si>
  <si>
    <t>・慢性的に動作が遅くてフリーズします。書類（処方、提案書、報告書、成績書、指図書など）作成、メール対応、調査など、本社で作業していた時と比べ、完了するまでの時間が長くなっています。</t>
  </si>
  <si>
    <t>サーバーの動作が遅く、すぐ切断される。開発、BeGardenの出勤時刻9時頃が最もサーバーにつながりにくい。</t>
  </si>
  <si>
    <t>サーバーの動作が遅く、切断されがち</t>
  </si>
  <si>
    <t>ネット環境が関係あるか分かりませんが以前からタブレットの動作は常に重いのでそちらも改善できればと思います。</t>
  </si>
  <si>
    <t>私的には以前に容量削減の対策をやってからフリーズすることがかなり改善したように思います。ただ大川リーダー、伊澤Ｌは今でも動作が重たくなる時はあるとのことです。</t>
  </si>
  <si>
    <t>定期的にパソコンのフリーズがあるので安定してほしい。工程が複雑にならず、ダブった作業は増えないでほしい。簡易になれば嬉しい。</t>
  </si>
  <si>
    <t>勤務拠点</t>
  </si>
  <si>
    <t>液体</t>
  </si>
  <si>
    <t>完了</t>
  </si>
  <si>
    <t>(空白)</t>
  </si>
  <si>
    <t>体制/管理</t>
    <rPh sb="0" eb="2">
      <t>タイセイ</t>
    </rPh>
    <rPh sb="3" eb="5">
      <t>カンリ</t>
    </rPh>
    <phoneticPr fontId="1"/>
  </si>
  <si>
    <t>・デュアルモニターの対応ができてデータを並べられたら、効率は上がる可能性あります。　例えば、製造予定とTPCIS等を並べて確認や、充填バルクの製造予定並べて見れたら、画面が広分確認はしやすいです。</t>
  </si>
  <si>
    <t>・デュアルモニターの対応ができてデータを並べられたら、効率は上がる可能性あります。　例えば、製造予定とTPCIS等を並べて確認や、充填バルクの製造予定並べて見れたら、画面が広分確認はしやすいです。</t>
    <phoneticPr fontId="1"/>
  </si>
  <si>
    <t>ハイパーリンク</t>
  </si>
  <si>
    <t>・複数のデータを見ながら処理を進めることが多いので、デュアルモニターだと作業効率が上がりそうです</t>
    <phoneticPr fontId="1"/>
  </si>
  <si>
    <t>デュアルモニター</t>
    <phoneticPr fontId="1"/>
  </si>
  <si>
    <t>メール検索</t>
    <rPh sb="3" eb="5">
      <t>ケンサク</t>
    </rPh>
    <phoneticPr fontId="1"/>
  </si>
  <si>
    <t>キーワード</t>
    <phoneticPr fontId="1"/>
  </si>
  <si>
    <t>メール振分</t>
    <rPh sb="3" eb="5">
      <t>フリワケ</t>
    </rPh>
    <phoneticPr fontId="1"/>
  </si>
  <si>
    <t>現品票発行</t>
    <rPh sb="0" eb="3">
      <t>ゲンピンヒョウ</t>
    </rPh>
    <rPh sb="3" eb="5">
      <t>ハッコウ</t>
    </rPh>
    <phoneticPr fontId="1"/>
  </si>
  <si>
    <t>・朝の９時以外でもメールやTPiCS・PI-naviが遅い時がある。時間は見てないです。あきらめて製造に戻る時もあります。</t>
  </si>
  <si>
    <t>TPiCS・PI-navi</t>
    <phoneticPr fontId="1"/>
  </si>
  <si>
    <t>・要望はパソコンはスムーズに使いたい。　製造してる合間に打ち込んだりメール見ることがあるので、ネットがつながらないとかあると、作業効率が悪いです。</t>
  </si>
  <si>
    <t>・要望はパソコンはスムーズに使いたい。　製造してる合間に打ち込んだりメール見ることがあるので、ネットがつながらないとかあると、作業効率が悪いです。</t>
    <phoneticPr fontId="1"/>
  </si>
  <si>
    <t>共有フォルダ</t>
  </si>
  <si>
    <t>共有フォルダ</t>
    <rPh sb="0" eb="2">
      <t>キョウユウ</t>
    </rPh>
    <phoneticPr fontId="1"/>
  </si>
  <si>
    <t>タブレット</t>
    <phoneticPr fontId="1"/>
  </si>
  <si>
    <t>プリンタ既定</t>
    <rPh sb="4" eb="6">
      <t>キテイ</t>
    </rPh>
    <phoneticPr fontId="1"/>
  </si>
  <si>
    <t>デスクトップアイコン</t>
    <phoneticPr fontId="1"/>
  </si>
  <si>
    <t>テプラ</t>
    <phoneticPr fontId="1"/>
  </si>
  <si>
    <t>バックアップ</t>
    <phoneticPr fontId="1"/>
  </si>
  <si>
    <t>最適化・高速化</t>
    <rPh sb="0" eb="3">
      <t>サイテキカ</t>
    </rPh>
    <rPh sb="4" eb="7">
      <t>コウソクカ</t>
    </rPh>
    <phoneticPr fontId="1"/>
  </si>
  <si>
    <t>ブラウザ</t>
    <phoneticPr fontId="1"/>
  </si>
  <si>
    <t>Excel</t>
    <phoneticPr fontId="1"/>
  </si>
  <si>
    <t>Outlook</t>
    <phoneticPr fontId="1"/>
  </si>
  <si>
    <t>Excel・Word</t>
    <phoneticPr fontId="1"/>
  </si>
  <si>
    <t>Excel・PDF</t>
    <phoneticPr fontId="1"/>
  </si>
  <si>
    <t>PDF</t>
    <phoneticPr fontId="1"/>
  </si>
  <si>
    <t>Explorer</t>
    <phoneticPr fontId="1"/>
  </si>
  <si>
    <t>Wi-Fi設定</t>
    <rPh sb="5" eb="7">
      <t>セッテイ</t>
    </rPh>
    <phoneticPr fontId="1"/>
  </si>
  <si>
    <t>Lanscope</t>
    <phoneticPr fontId="1"/>
  </si>
  <si>
    <t>拠点外作業</t>
    <rPh sb="0" eb="2">
      <t>キョテン</t>
    </rPh>
    <rPh sb="2" eb="3">
      <t>ガイ</t>
    </rPh>
    <rPh sb="3" eb="5">
      <t>サギョウ</t>
    </rPh>
    <phoneticPr fontId="1"/>
  </si>
  <si>
    <t>リアルタイム共有</t>
    <rPh sb="6" eb="8">
      <t>キョウユウ</t>
    </rPh>
    <phoneticPr fontId="1"/>
  </si>
  <si>
    <t>案件タスク管理</t>
    <rPh sb="0" eb="2">
      <t>アンケン</t>
    </rPh>
    <rPh sb="5" eb="7">
      <t>カンリ</t>
    </rPh>
    <phoneticPr fontId="1"/>
  </si>
  <si>
    <t>AI・自動化</t>
    <rPh sb="3" eb="6">
      <t>ジドウカ</t>
    </rPh>
    <phoneticPr fontId="1"/>
  </si>
  <si>
    <t>ワークフロー</t>
    <phoneticPr fontId="1"/>
  </si>
  <si>
    <t>自動通知</t>
    <rPh sb="0" eb="2">
      <t>ジドウ</t>
    </rPh>
    <rPh sb="2" eb="4">
      <t>ツウチ</t>
    </rPh>
    <phoneticPr fontId="1"/>
  </si>
  <si>
    <t>日報改善</t>
    <rPh sb="0" eb="2">
      <t>ニッポウ</t>
    </rPh>
    <rPh sb="2" eb="4">
      <t>カイゼン</t>
    </rPh>
    <phoneticPr fontId="1"/>
  </si>
  <si>
    <t>日報活用</t>
    <rPh sb="0" eb="2">
      <t>ニッポウ</t>
    </rPh>
    <rPh sb="2" eb="4">
      <t>カツヨウ</t>
    </rPh>
    <phoneticPr fontId="1"/>
  </si>
  <si>
    <t>履歴管理</t>
    <rPh sb="0" eb="2">
      <t>リレキ</t>
    </rPh>
    <rPh sb="2" eb="4">
      <t>カンリ</t>
    </rPh>
    <phoneticPr fontId="1"/>
  </si>
  <si>
    <t>ヒアリング項目</t>
  </si>
  <si>
    <t>ヒアリング項目</t>
    <rPh sb="5" eb="7">
      <t>コウモク</t>
    </rPh>
    <phoneticPr fontId="1"/>
  </si>
  <si>
    <t>・ネットの環境か分からないが、現品票の発行（印刷）に時間がかかる。</t>
  </si>
  <si>
    <t>⑥その他(自由意見)</t>
  </si>
  <si>
    <t>MS365(基礎)</t>
  </si>
  <si>
    <t>議事録</t>
    <rPh sb="0" eb="3">
      <t>ギジロク</t>
    </rPh>
    <phoneticPr fontId="1"/>
  </si>
  <si>
    <t>参照先整備</t>
    <rPh sb="0" eb="2">
      <t>サンショウ</t>
    </rPh>
    <rPh sb="2" eb="3">
      <t>サキ</t>
    </rPh>
    <rPh sb="3" eb="5">
      <t>セイビ</t>
    </rPh>
    <phoneticPr fontId="1"/>
  </si>
  <si>
    <t>マニュアル作成</t>
    <rPh sb="5" eb="7">
      <t>サクセイ</t>
    </rPh>
    <phoneticPr fontId="1"/>
  </si>
  <si>
    <t>Excel-製造関連</t>
    <rPh sb="6" eb="8">
      <t>セイゾウ</t>
    </rPh>
    <rPh sb="8" eb="10">
      <t>カンレン</t>
    </rPh>
    <phoneticPr fontId="1"/>
  </si>
  <si>
    <t>データ化</t>
    <rPh sb="3" eb="4">
      <t>カ</t>
    </rPh>
    <phoneticPr fontId="1"/>
  </si>
  <si>
    <t>2026/03/10(火)</t>
  </si>
  <si>
    <t>社内ミーティング</t>
  </si>
  <si>
    <t>2026/03/24(火)</t>
  </si>
  <si>
    <t>社内AI環境構築▶中村さんより概要を共有。初期段階では 中村さんにて検証しながら構築となるため東京営業所内 ローカル端末で稼働する予定。ネットワークセキュリティは インフィニティ様に相談しながら整備する。</t>
    <phoneticPr fontId="1"/>
  </si>
  <si>
    <t>計画概案▶前回までの社内ヒアリングとインフィニティ様プレDXの内容に基づいて 意見をすり合わせ。実務に関係する整備に入るため 各々の担当業務に近しい領域で分担していく予定。</t>
    <rPh sb="0" eb="2">
      <t>ケイカク</t>
    </rPh>
    <rPh sb="2" eb="4">
      <t>ガイアン</t>
    </rPh>
    <rPh sb="5" eb="7">
      <t>ゼンカイ</t>
    </rPh>
    <phoneticPr fontId="1"/>
  </si>
  <si>
    <t>∟中土主任：ツールを使う整備、議事録AI化、社内アンケート</t>
    <phoneticPr fontId="1"/>
  </si>
  <si>
    <t>∟中島さん：AI活用による業務マニュアル制作・属人化解消</t>
    <phoneticPr fontId="1"/>
  </si>
  <si>
    <t>∟髙野：全ヒアリング項目の仕分け、領域別・時期別 計画案作成</t>
    <phoneticPr fontId="1"/>
  </si>
  <si>
    <t>主担当</t>
    <rPh sb="0" eb="1">
      <t>シュ</t>
    </rPh>
    <rPh sb="1" eb="3">
      <t>タントウ</t>
    </rPh>
    <phoneticPr fontId="1"/>
  </si>
  <si>
    <t>鳥山</t>
    <rPh sb="0" eb="2">
      <t>トリヤマ</t>
    </rPh>
    <phoneticPr fontId="1"/>
  </si>
  <si>
    <t>3/11ヒアリング-修正版着手</t>
    <rPh sb="10" eb="13">
      <t>シュウセイハン</t>
    </rPh>
    <rPh sb="13" eb="15">
      <t>チャクシュ</t>
    </rPh>
    <phoneticPr fontId="1"/>
  </si>
  <si>
    <t>中島</t>
    <rPh sb="0" eb="2">
      <t>ナカジマ</t>
    </rPh>
    <phoneticPr fontId="1"/>
  </si>
  <si>
    <t>中土</t>
    <rPh sb="0" eb="2">
      <t>ナカツチ</t>
    </rPh>
    <phoneticPr fontId="1"/>
  </si>
  <si>
    <r>
      <t>バルク・充填製造予定表の更新</t>
    </r>
    <r>
      <rPr>
        <sz val="8"/>
        <color theme="0" tint="-0.249977111117893"/>
        <rFont val="Meiryo UI"/>
        <family val="3"/>
        <charset val="128"/>
      </rPr>
      <t>、定例会議の議事録</t>
    </r>
    <phoneticPr fontId="1"/>
  </si>
  <si>
    <r>
      <rPr>
        <sz val="8"/>
        <color theme="0" tint="-0.249977111117893"/>
        <rFont val="Meiryo UI"/>
        <family val="3"/>
        <charset val="128"/>
      </rPr>
      <t>バルク・充填製造予定表の更新、</t>
    </r>
    <r>
      <rPr>
        <sz val="8"/>
        <color theme="1"/>
        <rFont val="Meiryo UI"/>
        <family val="3"/>
        <charset val="128"/>
      </rPr>
      <t>定例会議の議事録</t>
    </r>
    <phoneticPr fontId="1"/>
  </si>
  <si>
    <t>対策/解決</t>
    <rPh sb="0" eb="2">
      <t>タイサク</t>
    </rPh>
    <rPh sb="3" eb="5">
      <t>カイケツ</t>
    </rPh>
    <phoneticPr fontId="1"/>
  </si>
  <si>
    <t>キーワード</t>
  </si>
  <si>
    <t>Excel</t>
  </si>
  <si>
    <t>Excel・PDF</t>
  </si>
  <si>
    <t>Excel・Word</t>
  </si>
  <si>
    <t>Explorer</t>
  </si>
  <si>
    <t>Outlook</t>
  </si>
  <si>
    <t>PDF</t>
  </si>
  <si>
    <t>TPiCS・PI-navi</t>
  </si>
  <si>
    <t>デスクトップアイコン</t>
  </si>
  <si>
    <t>デュアルモニター</t>
  </si>
  <si>
    <t>ブラウザ</t>
  </si>
  <si>
    <t>プリンタ既定</t>
  </si>
  <si>
    <t>メール検索</t>
  </si>
  <si>
    <t>現品票発行</t>
  </si>
  <si>
    <t>体制/管理</t>
  </si>
  <si>
    <t>No</t>
    <phoneticPr fontId="1"/>
  </si>
  <si>
    <t>計画No</t>
    <rPh sb="0" eb="2">
      <t>ケイカク</t>
    </rPh>
    <phoneticPr fontId="1"/>
  </si>
  <si>
    <t>迷惑メール</t>
  </si>
  <si>
    <t>迷惑メール</t>
    <rPh sb="0" eb="2">
      <t>メイワク</t>
    </rPh>
    <phoneticPr fontId="1"/>
  </si>
  <si>
    <t>ハンディターミナル</t>
    <phoneticPr fontId="1"/>
  </si>
  <si>
    <t>時間帯</t>
  </si>
  <si>
    <t>時間帯</t>
    <rPh sb="0" eb="3">
      <t>ジカンタイ</t>
    </rPh>
    <phoneticPr fontId="1"/>
  </si>
  <si>
    <t>ここ最近AppleやＳＢＩ証券を名乗る迷惑メールがくることがあり、無視しているが来ないように出来ないか。</t>
  </si>
  <si>
    <t>マニュアル/ナレッジ</t>
    <phoneticPr fontId="1"/>
  </si>
  <si>
    <t>マニュアル・ナレッジ</t>
  </si>
  <si>
    <t>マニュアル・ナレッジ</t>
    <phoneticPr fontId="1"/>
  </si>
  <si>
    <t>鳥山主任</t>
    <rPh sb="0" eb="2">
      <t>トリヤマ</t>
    </rPh>
    <rPh sb="2" eb="4">
      <t>シュニン</t>
    </rPh>
    <phoneticPr fontId="10"/>
  </si>
  <si>
    <t>髙野</t>
    <rPh sb="0" eb="2">
      <t>タカノ</t>
    </rPh>
    <phoneticPr fontId="10"/>
  </si>
  <si>
    <t>奉行担当関連</t>
    <rPh sb="0" eb="2">
      <t>ブギョウ</t>
    </rPh>
    <rPh sb="2" eb="4">
      <t>タントウ</t>
    </rPh>
    <rPh sb="4" eb="6">
      <t>カンレン</t>
    </rPh>
    <phoneticPr fontId="10"/>
  </si>
  <si>
    <t>【管理/共有】</t>
  </si>
  <si>
    <t>①Q美ワールド側の生産管理課アカウントの有無</t>
    <rPh sb="2" eb="3">
      <t>ビ</t>
    </rPh>
    <rPh sb="7" eb="8">
      <t>ガワ</t>
    </rPh>
    <rPh sb="9" eb="11">
      <t>セイサン</t>
    </rPh>
    <rPh sb="11" eb="13">
      <t>カンリ</t>
    </rPh>
    <rPh sb="13" eb="14">
      <t>カ</t>
    </rPh>
    <rPh sb="20" eb="22">
      <t>ウム</t>
    </rPh>
    <phoneticPr fontId="10"/>
  </si>
  <si>
    <t>図書杏子　SSC/Q美(売り)　E</t>
  </si>
  <si>
    <t>東さんのアカウントのみあり</t>
    <rPh sb="0" eb="1">
      <t>アズマ</t>
    </rPh>
    <phoneticPr fontId="10"/>
  </si>
  <si>
    <t>越智絵美子　SSC/Q美(買い,棚卸)　E</t>
  </si>
  <si>
    <t>②管理部がExcelを必要としない場合の作業環境(サーバーorローカル)</t>
    <rPh sb="1" eb="3">
      <t>カンリ</t>
    </rPh>
    <rPh sb="3" eb="4">
      <t>ブ</t>
    </rPh>
    <rPh sb="11" eb="13">
      <t>ヒツヨウ</t>
    </rPh>
    <rPh sb="17" eb="19">
      <t>バアイ</t>
    </rPh>
    <rPh sb="20" eb="22">
      <t>サギョウ</t>
    </rPh>
    <rPh sb="22" eb="24">
      <t>カンキョウ</t>
    </rPh>
    <phoneticPr fontId="10"/>
  </si>
  <si>
    <t>丸中都　SSC？/Q美　E</t>
  </si>
  <si>
    <t>　</t>
    <phoneticPr fontId="10"/>
  </si>
  <si>
    <t>サーバーで作業を行っている</t>
    <rPh sb="5" eb="7">
      <t>サギョウ</t>
    </rPh>
    <rPh sb="8" eb="9">
      <t>オコナ</t>
    </rPh>
    <phoneticPr fontId="10"/>
  </si>
  <si>
    <t>∟3+鳥山</t>
  </si>
  <si>
    <t>③シンコーサイエンス側の「売る」「買う」の処理分担</t>
    <rPh sb="10" eb="11">
      <t>ガワ</t>
    </rPh>
    <rPh sb="13" eb="14">
      <t>ウ</t>
    </rPh>
    <rPh sb="17" eb="18">
      <t>カ</t>
    </rPh>
    <rPh sb="21" eb="23">
      <t>ショリ</t>
    </rPh>
    <rPh sb="23" eb="25">
      <t>ブンタン</t>
    </rPh>
    <phoneticPr fontId="10"/>
  </si>
  <si>
    <t>「売る」は図書主任、「買う」は越智リーダー</t>
    <rPh sb="1" eb="2">
      <t>ウ</t>
    </rPh>
    <rPh sb="5" eb="7">
      <t>トショ</t>
    </rPh>
    <rPh sb="7" eb="9">
      <t>シュニン</t>
    </rPh>
    <rPh sb="11" eb="12">
      <t>カ</t>
    </rPh>
    <rPh sb="15" eb="17">
      <t>オチ</t>
    </rPh>
    <phoneticPr fontId="10"/>
  </si>
  <si>
    <t>【生産管理1/共有】</t>
  </si>
  <si>
    <t>④丸中さんがシンコーサイエンス側を触るか否か</t>
    <rPh sb="1" eb="3">
      <t>マルナカ</t>
    </rPh>
    <rPh sb="15" eb="16">
      <t>ガワ</t>
    </rPh>
    <rPh sb="17" eb="18">
      <t>サワ</t>
    </rPh>
    <rPh sb="20" eb="21">
      <t>イナ</t>
    </rPh>
    <phoneticPr fontId="10"/>
  </si>
  <si>
    <t>馬場阿弥子　SSC　EE</t>
  </si>
  <si>
    <t>森下産業の原料受注に対する発注処理を行うことがある</t>
    <rPh sb="0" eb="2">
      <t>モリシタ</t>
    </rPh>
    <rPh sb="2" eb="4">
      <t>サンギョウ</t>
    </rPh>
    <rPh sb="5" eb="7">
      <t>ゲンリョウ</t>
    </rPh>
    <rPh sb="7" eb="9">
      <t>ジュチュウ</t>
    </rPh>
    <rPh sb="10" eb="11">
      <t>タイ</t>
    </rPh>
    <rPh sb="13" eb="15">
      <t>ハッチュウ</t>
    </rPh>
    <rPh sb="15" eb="17">
      <t>ショリ</t>
    </rPh>
    <rPh sb="18" eb="19">
      <t>オコナ</t>
    </rPh>
    <phoneticPr fontId="10"/>
  </si>
  <si>
    <t>東香里　SSC　EE</t>
  </si>
  <si>
    <t>⑤Q美ワールドの原価登録担当</t>
    <rPh sb="2" eb="3">
      <t>ビ</t>
    </rPh>
    <rPh sb="8" eb="10">
      <t>ゲンカ</t>
    </rPh>
    <rPh sb="10" eb="12">
      <t>トウロク</t>
    </rPh>
    <rPh sb="12" eb="14">
      <t>タントウ</t>
    </rPh>
    <phoneticPr fontId="10"/>
  </si>
  <si>
    <t>徳永彩花　SSC　EE</t>
  </si>
  <si>
    <t>丸中さん</t>
    <rPh sb="0" eb="2">
      <t>マルナカ</t>
    </rPh>
    <phoneticPr fontId="10"/>
  </si>
  <si>
    <t>⑥受注～売りの登録での2重登録</t>
    <rPh sb="1" eb="3">
      <t>ジュチュウ</t>
    </rPh>
    <rPh sb="4" eb="5">
      <t>ウ</t>
    </rPh>
    <rPh sb="7" eb="9">
      <t>トウロク</t>
    </rPh>
    <rPh sb="12" eb="13">
      <t>ジュウ</t>
    </rPh>
    <rPh sb="13" eb="15">
      <t>トウロク</t>
    </rPh>
    <phoneticPr fontId="10"/>
  </si>
  <si>
    <t>奉行クラウドにおいては、売価が変更となった場合</t>
    <rPh sb="0" eb="2">
      <t>ブギョウ</t>
    </rPh>
    <rPh sb="12" eb="14">
      <t>バイカ</t>
    </rPh>
    <rPh sb="15" eb="17">
      <t>ヘンコウ</t>
    </rPh>
    <rPh sb="21" eb="23">
      <t>バアイ</t>
    </rPh>
    <phoneticPr fontId="10"/>
  </si>
  <si>
    <t>【生産管理2/共有】</t>
  </si>
  <si>
    <t>売りの処理時に売価を変更する</t>
    <rPh sb="0" eb="1">
      <t>ウ</t>
    </rPh>
    <rPh sb="3" eb="5">
      <t>ショリ</t>
    </rPh>
    <rPh sb="5" eb="6">
      <t>ジ</t>
    </rPh>
    <rPh sb="7" eb="9">
      <t>バイカ</t>
    </rPh>
    <rPh sb="10" eb="12">
      <t>ヘンコウ</t>
    </rPh>
    <phoneticPr fontId="10"/>
  </si>
  <si>
    <t>鳥山一洋　SSC　EE</t>
  </si>
  <si>
    <t>受注側にも反映されるので、2重登録とはなっていない</t>
    <rPh sb="0" eb="2">
      <t>ジュチュウ</t>
    </rPh>
    <rPh sb="2" eb="3">
      <t>ガワ</t>
    </rPh>
    <rPh sb="5" eb="7">
      <t>ハンエイ</t>
    </rPh>
    <rPh sb="14" eb="15">
      <t>ジュウ</t>
    </rPh>
    <rPh sb="15" eb="17">
      <t>トウロク</t>
    </rPh>
    <phoneticPr fontId="10"/>
  </si>
  <si>
    <t>中島和哉　SSC　E</t>
  </si>
  <si>
    <t>⑦Q美、シンコーの受注～売りの登録の流れ</t>
    <rPh sb="2" eb="3">
      <t>ビ</t>
    </rPh>
    <rPh sb="9" eb="11">
      <t>ジュチュウ</t>
    </rPh>
    <rPh sb="12" eb="13">
      <t>ウ</t>
    </rPh>
    <rPh sb="15" eb="17">
      <t>トウロク</t>
    </rPh>
    <rPh sb="18" eb="19">
      <t>ナガ</t>
    </rPh>
    <phoneticPr fontId="10"/>
  </si>
  <si>
    <t>島田智章　SSC　E</t>
  </si>
  <si>
    <t>Q美受注～売りまでの登録を丸中さんが行い</t>
    <rPh sb="1" eb="2">
      <t>ビ</t>
    </rPh>
    <rPh sb="2" eb="4">
      <t>ジュチュウ</t>
    </rPh>
    <rPh sb="5" eb="6">
      <t>ウ</t>
    </rPh>
    <rPh sb="10" eb="12">
      <t>トウロク</t>
    </rPh>
    <rPh sb="13" eb="15">
      <t>マルナカ</t>
    </rPh>
    <rPh sb="18" eb="19">
      <t>オコナ</t>
    </rPh>
    <phoneticPr fontId="10"/>
  </si>
  <si>
    <t>+物流?</t>
    <phoneticPr fontId="11"/>
  </si>
  <si>
    <t>一か月分まとめたQ美原価とシンコー原価を図書主任に提示</t>
    <rPh sb="0" eb="1">
      <t>イッ</t>
    </rPh>
    <rPh sb="2" eb="4">
      <t>ゲツブン</t>
    </rPh>
    <rPh sb="9" eb="10">
      <t>ビ</t>
    </rPh>
    <rPh sb="10" eb="12">
      <t>ゲンカ</t>
    </rPh>
    <rPh sb="17" eb="19">
      <t>ゲンカ</t>
    </rPh>
    <rPh sb="20" eb="22">
      <t>トショ</t>
    </rPh>
    <rPh sb="22" eb="24">
      <t>シュニン</t>
    </rPh>
    <rPh sb="25" eb="27">
      <t>テイジ</t>
    </rPh>
    <phoneticPr fontId="10"/>
  </si>
  <si>
    <t>その情報をもとに図書主任がシンコーからQ美に</t>
    <rPh sb="2" eb="4">
      <t>ジョウホウ</t>
    </rPh>
    <rPh sb="8" eb="10">
      <t>トショ</t>
    </rPh>
    <rPh sb="10" eb="12">
      <t>シュニン</t>
    </rPh>
    <rPh sb="20" eb="21">
      <t>ビ</t>
    </rPh>
    <phoneticPr fontId="10"/>
  </si>
  <si>
    <t>【WEB/共有】</t>
  </si>
  <si>
    <t>請求処理を行う</t>
    <rPh sb="0" eb="2">
      <t>セイキュウ</t>
    </rPh>
    <rPh sb="2" eb="4">
      <t>ショリ</t>
    </rPh>
    <rPh sb="5" eb="6">
      <t>オコナ</t>
    </rPh>
    <phoneticPr fontId="10"/>
  </si>
  <si>
    <t>髙野愛子</t>
  </si>
  <si>
    <t>生産管理課のMS365導入関連</t>
    <rPh sb="0" eb="2">
      <t>セイサン</t>
    </rPh>
    <rPh sb="2" eb="4">
      <t>カンリ</t>
    </rPh>
    <rPh sb="4" eb="5">
      <t>カ</t>
    </rPh>
    <rPh sb="11" eb="13">
      <t>ドウニュウ</t>
    </rPh>
    <rPh sb="13" eb="15">
      <t>カンレン</t>
    </rPh>
    <phoneticPr fontId="10"/>
  </si>
  <si>
    <t>・MS365の2アカウントに対する振り分け</t>
    <rPh sb="14" eb="15">
      <t>タイ</t>
    </rPh>
    <rPh sb="17" eb="18">
      <t>フ</t>
    </rPh>
    <rPh sb="19" eb="20">
      <t>ワ</t>
    </rPh>
    <phoneticPr fontId="10"/>
  </si>
  <si>
    <t>①島田主任、馬場リーダー、中島くん、鳥山</t>
    <rPh sb="1" eb="3">
      <t>シマダ</t>
    </rPh>
    <rPh sb="3" eb="5">
      <t>シュニン</t>
    </rPh>
    <rPh sb="6" eb="8">
      <t>ババ</t>
    </rPh>
    <rPh sb="13" eb="15">
      <t>ナカシマ</t>
    </rPh>
    <rPh sb="18" eb="20">
      <t>トリヤマ</t>
    </rPh>
    <phoneticPr fontId="10"/>
  </si>
  <si>
    <t>【営業/個別】</t>
  </si>
  <si>
    <r>
      <t>②東さん、徳永さん、</t>
    </r>
    <r>
      <rPr>
        <sz val="9"/>
        <color rgb="FFFF0000"/>
        <rFont val="Meiryo UI"/>
        <family val="3"/>
        <charset val="128"/>
      </rPr>
      <t>池田リーダー(タブレット)</t>
    </r>
    <r>
      <rPr>
        <sz val="9"/>
        <color theme="1"/>
        <rFont val="Meiryo UI"/>
        <family val="3"/>
        <charset val="128"/>
      </rPr>
      <t>、鳥山</t>
    </r>
    <rPh sb="1" eb="2">
      <t>アズマ</t>
    </rPh>
    <rPh sb="5" eb="7">
      <t>トクナガ</t>
    </rPh>
    <rPh sb="10" eb="12">
      <t>イケダ</t>
    </rPh>
    <rPh sb="24" eb="26">
      <t>トリヤマ</t>
    </rPh>
    <phoneticPr fontId="10"/>
  </si>
  <si>
    <t>吉村善成</t>
  </si>
  <si>
    <t>　※池田リーダーについてはMS365導入後、実運用でどのように生かせるのか検証を進める</t>
    <rPh sb="2" eb="4">
      <t>イケダ</t>
    </rPh>
    <rPh sb="18" eb="20">
      <t>ドウニュウ</t>
    </rPh>
    <rPh sb="20" eb="21">
      <t>ゴ</t>
    </rPh>
    <rPh sb="22" eb="23">
      <t>ジツ</t>
    </rPh>
    <rPh sb="23" eb="25">
      <t>ウンヨウ</t>
    </rPh>
    <rPh sb="31" eb="32">
      <t>イ</t>
    </rPh>
    <phoneticPr fontId="10"/>
  </si>
  <si>
    <t>　　</t>
    <phoneticPr fontId="10"/>
  </si>
  <si>
    <t>サーバ奉行　システム側の動作保証の問題だけなので、残しておく方向</t>
  </si>
  <si>
    <t>仕入発注　奉行→TPiCS　CSV又はExcel吐き出してO→マクロ加工してT→取り込む＠生管</t>
  </si>
  <si>
    <t>受注登録　TPiCS→奉行　出荷先-注意事項(追加項目⇄1項目でテンプレ化)　→取り込む＠管理</t>
  </si>
  <si>
    <t>原価　TPiCS→原価表→奉行　マクロ加工してO→取り込む＠生管？管理？</t>
  </si>
  <si>
    <t>出荷/出庫　TPiCS→奉行　検討(預かり在庫の識別)　　→取り込む＠生管？管理？</t>
  </si>
  <si>
    <t>AI・自動化</t>
  </si>
  <si>
    <t>Excel-製造関連</t>
  </si>
  <si>
    <t>Lanscope</t>
  </si>
  <si>
    <t>Wi-Fi設定</t>
  </si>
  <si>
    <t>データ化</t>
  </si>
  <si>
    <t>テプラ</t>
  </si>
  <si>
    <t>バックアップ</t>
  </si>
  <si>
    <t>マニュアル作成</t>
  </si>
  <si>
    <t>メール振分</t>
  </si>
  <si>
    <t>リアルタイム共有</t>
  </si>
  <si>
    <t>ワークフロー</t>
  </si>
  <si>
    <t>案件タスク管理</t>
  </si>
  <si>
    <t>議事録</t>
  </si>
  <si>
    <t>拠点外作業</t>
  </si>
  <si>
    <t>最適化・高速化</t>
  </si>
  <si>
    <t>参照先整備</t>
  </si>
  <si>
    <t>自動通知</t>
  </si>
  <si>
    <t>日報改善</t>
  </si>
  <si>
    <t>日報活用</t>
  </si>
  <si>
    <t>履歴管理</t>
  </si>
  <si>
    <t>▶共有フォルダ整備</t>
    <rPh sb="1" eb="3">
      <t>キョウユウ</t>
    </rPh>
    <rPh sb="7" eb="9">
      <t>セイビ</t>
    </rPh>
    <phoneticPr fontId="1"/>
  </si>
  <si>
    <t>▶事務作業自動化(AI化)</t>
    <rPh sb="1" eb="3">
      <t>ジム</t>
    </rPh>
    <rPh sb="3" eb="5">
      <t>サギョウ</t>
    </rPh>
    <rPh sb="5" eb="8">
      <t>ジドウカ</t>
    </rPh>
    <rPh sb="11" eb="12">
      <t>カ</t>
    </rPh>
    <phoneticPr fontId="1"/>
  </si>
  <si>
    <t>▶データ形式標準化</t>
    <rPh sb="4" eb="6">
      <t>ケイシキ</t>
    </rPh>
    <rPh sb="6" eb="9">
      <t>ヒョウジュンカ</t>
    </rPh>
    <phoneticPr fontId="1"/>
  </si>
  <si>
    <t>▶クラウドバックアップ整備</t>
    <rPh sb="11" eb="13">
      <t>セイビ</t>
    </rPh>
    <phoneticPr fontId="1"/>
  </si>
  <si>
    <t>▶セキュリティ対策・IT基礎知識勉強会</t>
    <rPh sb="7" eb="9">
      <t>タイサク</t>
    </rPh>
    <rPh sb="12" eb="14">
      <t>キソ</t>
    </rPh>
    <rPh sb="14" eb="16">
      <t>チシキ</t>
    </rPh>
    <rPh sb="16" eb="18">
      <t>ベンキョウ</t>
    </rPh>
    <rPh sb="18" eb="19">
      <t>カイ</t>
    </rPh>
    <phoneticPr fontId="1"/>
  </si>
  <si>
    <t>▶ペーパーレス化・データ化</t>
    <rPh sb="7" eb="8">
      <t>カ</t>
    </rPh>
    <phoneticPr fontId="1"/>
  </si>
  <si>
    <t>3/17Claude(生成AI)VBAコード生成-包装指図書の進捗リスト更新作業改善</t>
    <phoneticPr fontId="1"/>
  </si>
  <si>
    <t>開始</t>
    <rPh sb="0" eb="2">
      <t>カイシ</t>
    </rPh>
    <phoneticPr fontId="1"/>
  </si>
  <si>
    <t>完了(目標)</t>
    <rPh sb="0" eb="2">
      <t>カンリョウ</t>
    </rPh>
    <rPh sb="3" eb="5">
      <t>モクヒョウ</t>
    </rPh>
    <phoneticPr fontId="1"/>
  </si>
  <si>
    <t>∟鳥山主任：データ構造が明確なExcelファイルの作業効率化</t>
    <phoneticPr fontId="1"/>
  </si>
  <si>
    <t>3/18Claudeでの会議-議事録-手順作成-実践中</t>
    <rPh sb="12" eb="14">
      <t>カイギ</t>
    </rPh>
    <rPh sb="26" eb="27">
      <t>ナカ</t>
    </rPh>
    <phoneticPr fontId="1"/>
  </si>
  <si>
    <t>中村</t>
    <rPh sb="0" eb="2">
      <t>ナカムラ</t>
    </rPh>
    <phoneticPr fontId="1"/>
  </si>
  <si>
    <t>合計 / 意識/姿勢</t>
  </si>
  <si>
    <t>個数 / 原文</t>
  </si>
  <si>
    <t>データベース：　キーワード　課題/提案　意識/姿勢　候補者　埋める</t>
    <rPh sb="30" eb="31">
      <t>ウ</t>
    </rPh>
    <phoneticPr fontId="1"/>
  </si>
  <si>
    <t>対象</t>
    <rPh sb="0" eb="2">
      <t>タイショウ</t>
    </rPh>
    <phoneticPr fontId="1"/>
  </si>
  <si>
    <t>勤務拠点</t>
    <phoneticPr fontId="1"/>
  </si>
  <si>
    <t>■ 勤務拠点別まとめ（サーバ動作）</t>
  </si>
  <si>
    <t>① 本社</t>
  </si>
  <si>
    <t>● 主な課題</t>
  </si>
  <si>
    <t>サーバーフリーズ・不安定</t>
  </si>
  <si>
    <t>フリーズが多い／突然切断／再ログイン頻発</t>
  </si>
  <si>
    <t>起動・接続遅延</t>
  </si>
  <si>
    <t>PC起動・シンクラ接続に時間（約3〜6分）</t>
  </si>
  <si>
    <t>共有フォルダ接続不良</t>
  </si>
  <si>
    <t>初回アクセスで弾かれる／ログインできない</t>
  </si>
  <si>
    <t>ブラウザ・アプリ遅延</t>
  </si>
  <si>
    <t>Skype・ブラウザ起動遅い（1〜3分）</t>
  </si>
  <si>
    <t>リンク・ファイル不具合</t>
  </si>
  <si>
    <t>ハイパーリンク切れ／PDF重い・文字化け</t>
  </si>
  <si>
    <t>● 特徴</t>
  </si>
  <si>
    <t>業務全般に影響（管理・生産管理中心）</t>
  </si>
  <si>
    <t>シンクライアント環境依存の問題が顕著</t>
  </si>
  <si>
    <t>② コスメラボラトリー（研究開発・品質・製造）</t>
  </si>
  <si>
    <t>慢性的なサーバー遅延・フリーズ</t>
  </si>
  <si>
    <t>「常に重い」「毎日発生」レベル</t>
  </si>
  <si>
    <t>時間帯依存（特に9時・18時）</t>
  </si>
  <si>
    <t>高負荷時に必ず遅延・接続困難</t>
  </si>
  <si>
    <t>アプリ全般の不安定</t>
  </si>
  <si>
    <t>Excel・Word・Outlookのフリーズ／強制終了</t>
  </si>
  <si>
    <t>入力遅延・誤入力リスク</t>
  </si>
  <si>
    <t>タイピング遅延・画面停止で業務ミス増加</t>
  </si>
  <si>
    <t>接続障害</t>
  </si>
  <si>
    <t>ログイン不可／強制切断／画面ブラックアウト</t>
  </si>
  <si>
    <t>最も影響が深刻</t>
  </si>
  <si>
    <t>研究・文書作成業務に直接ダメージ（効率低下・品質リスク）</t>
  </si>
  <si>
    <t>「本社より不具合多い」との声あり</t>
  </si>
  <si>
    <t>③ コスメファクトリー</t>
  </si>
  <si>
    <t>シンクラ全体の動作遅延</t>
  </si>
  <si>
    <t>常に重い／原因不明（サーバ or PC）</t>
  </si>
  <si>
    <t>フリーズ頻発（特に集中時間）</t>
  </si>
  <si>
    <t>9時・18時に顕著</t>
  </si>
  <si>
    <t>回線・ネットワーク問題</t>
  </si>
  <si>
    <t>通信遅延・切断が多い</t>
  </si>
  <si>
    <t>現場端末の性能不足</t>
  </si>
  <si>
    <t>PC・タブレットが重い</t>
  </si>
  <si>
    <t>ネットワーク＋端末性能の複合問題</t>
  </si>
  <si>
    <t>製造現場でのリアルタイム性に影響</t>
  </si>
  <si>
    <t>④ 第一倉庫（物流）</t>
  </si>
  <si>
    <t>サーバー（B系）常時重い</t>
  </si>
  <si>
    <t>ハンディ端末の動作遅延（年々悪化）</t>
  </si>
  <si>
    <t>データ蓄積による性能劣化の可能性</t>
  </si>
  <si>
    <t>物流オペレーションに直接影響</t>
  </si>
  <si>
    <t>⑤ 東京営業所</t>
  </si>
  <si>
    <t>回線・サーバ由来の待ち時間</t>
  </si>
  <si>
    <t>トラブル対応ナレッジ不足</t>
  </si>
  <si>
    <t>業務停止まではいかないが効率ロス</t>
  </si>
  <si>
    <t>ITサポート体制課題が顕在化</t>
  </si>
  <si>
    <t>■ 全拠点共通の構造課題（重要）</t>
  </si>
  <si>
    <t>各拠点を横断すると、問題は大きく5つに整理できます：</t>
  </si>
  <si>
    <t>① サーバ負荷集中</t>
  </si>
  <si>
    <t>9時・18時に遅延集中</t>
  </si>
  <si>
    <t>② シンクライアント依存</t>
  </si>
  <si>
    <t>全拠点で遅延・切断・フリーズ</t>
  </si>
  <si>
    <t>③ ネットワーク品質</t>
  </si>
  <si>
    <t>回線遅延・切断</t>
  </si>
  <si>
    <t>④ 端末性能差</t>
  </si>
  <si>
    <t>古いPC・タブレット</t>
  </si>
  <si>
    <t>⑤ アプリ・データ肥大化</t>
  </si>
  <si>
    <t>Excel／PDF／Outlook遅延</t>
  </si>
  <si>
    <t>■ まとめ（経営視点）</t>
  </si>
  <si>
    <t>最重度：コスメラボラトリー（研究開発）</t>
  </si>
  <si>
    <t>次点：本社・コスメファクトリー</t>
  </si>
  <si>
    <t>構造問題：インフラ設計全体（サーバ＋回線＋シンクラ）</t>
  </si>
  <si>
    <t>👉 単なる「PCが遅い」ではなく</t>
  </si>
  <si>
    <t>“インフラ設計の限界に到達している状態”</t>
  </si>
  <si>
    <t>以下に、サーバ動作に関する意見を**勤務拠点ごとに整理（要約）**しました。（重複・類似意見は統合しています）</t>
    <phoneticPr fontId="1"/>
  </si>
  <si>
    <t>3/17PI-navi完了操作遅滞-TA調査依頼　3/18最大限チューニング済</t>
    <rPh sb="29" eb="32">
      <t>サイダイゲン</t>
    </rPh>
    <rPh sb="38" eb="39">
      <t>スミ</t>
    </rPh>
    <phoneticPr fontId="1"/>
  </si>
  <si>
    <t>3/16データ抽出できるExcelを作成-提出　3/19東口L確認(充填日程落ち着いた後に詳細ヒアリング)</t>
    <rPh sb="28" eb="30">
      <t>ヒガシグチ</t>
    </rPh>
    <rPh sb="31" eb="33">
      <t>カクニン</t>
    </rPh>
    <rPh sb="34" eb="36">
      <t>ジュウテン</t>
    </rPh>
    <rPh sb="36" eb="38">
      <t>ニッテイ</t>
    </rPh>
    <rPh sb="38" eb="39">
      <t>オ</t>
    </rPh>
    <rPh sb="40" eb="41">
      <t>ツ</t>
    </rPh>
    <rPh sb="43" eb="44">
      <t>アト</t>
    </rPh>
    <rPh sb="45" eb="47">
      <t>ショウサイ</t>
    </rPh>
    <phoneticPr fontId="1"/>
  </si>
  <si>
    <t>3/12必要原料抽出-原料納期変更必要分の確認依頼?　3/19要望に応じたマクロ設定</t>
    <rPh sb="34" eb="35">
      <t>オウ</t>
    </rPh>
    <phoneticPr fontId="1"/>
  </si>
  <si>
    <t>3/12必要原料抽出-原料納期変更必要分の確認依頼?　3/19要望に応じたマクロ設定?</t>
    <phoneticPr fontId="1"/>
  </si>
  <si>
    <r>
      <t xml:space="preserve">→ </t>
    </r>
    <r>
      <rPr>
        <b/>
        <sz val="7"/>
        <color theme="1"/>
        <rFont val="Meiryo UI"/>
        <family val="3"/>
        <charset val="128"/>
      </rPr>
      <t>リソース不足 or 負荷分散設計不足</t>
    </r>
  </si>
  <si>
    <r>
      <t xml:space="preserve">→ </t>
    </r>
    <r>
      <rPr>
        <b/>
        <sz val="7"/>
        <color theme="1"/>
        <rFont val="Meiryo UI"/>
        <family val="3"/>
        <charset val="128"/>
      </rPr>
      <t>基盤構造のボトルネック</t>
    </r>
  </si>
  <si>
    <r>
      <t xml:space="preserve">→ </t>
    </r>
    <r>
      <rPr>
        <b/>
        <sz val="7"/>
        <color theme="1"/>
        <rFont val="Meiryo UI"/>
        <family val="3"/>
        <charset val="128"/>
      </rPr>
      <t>拠点間帯域 or WAN問題</t>
    </r>
  </si>
  <si>
    <r>
      <t xml:space="preserve">→ </t>
    </r>
    <r>
      <rPr>
        <b/>
        <sz val="7"/>
        <color theme="1"/>
        <rFont val="Meiryo UI"/>
        <family val="3"/>
        <charset val="128"/>
      </rPr>
      <t>クライアント側処理不足</t>
    </r>
  </si>
  <si>
    <r>
      <t xml:space="preserve">→ </t>
    </r>
    <r>
      <rPr>
        <b/>
        <sz val="7"/>
        <color theme="1"/>
        <rFont val="Meiryo UI"/>
        <family val="3"/>
        <charset val="128"/>
      </rPr>
      <t>データ量増加＋最適化不足</t>
    </r>
  </si>
  <si>
    <t>2025年9月から、OS・CPUのサポートが終了するパソコンを入れ替え、本社のサーバ本体の設置環境や床下配線の整備、11月10日にシンクライアントサーバをリプレイスしました。</t>
    <rPh sb="4" eb="5">
      <t>ネン</t>
    </rPh>
    <rPh sb="6" eb="7">
      <t>ガツ</t>
    </rPh>
    <rPh sb="22" eb="24">
      <t>シュウリョウ</t>
    </rPh>
    <rPh sb="31" eb="32">
      <t>イ</t>
    </rPh>
    <rPh sb="33" eb="34">
      <t>カ</t>
    </rPh>
    <rPh sb="36" eb="38">
      <t>ホンシャ</t>
    </rPh>
    <rPh sb="42" eb="44">
      <t>ホンタイ</t>
    </rPh>
    <rPh sb="45" eb="47">
      <t>セッチ</t>
    </rPh>
    <rPh sb="47" eb="49">
      <t>カンキョウ</t>
    </rPh>
    <rPh sb="50" eb="52">
      <t>ユカシタ</t>
    </rPh>
    <rPh sb="52" eb="54">
      <t>ハイセン</t>
    </rPh>
    <rPh sb="55" eb="57">
      <t>セイビ</t>
    </rPh>
    <rPh sb="60" eb="61">
      <t>ガツ</t>
    </rPh>
    <rPh sb="63" eb="64">
      <t>ニチ</t>
    </rPh>
    <phoneticPr fontId="1"/>
  </si>
  <si>
    <t>約4ヵ月経過し、リプレイスの前に発生していた不具合・不便な事象に変化があったか否か、お聞かせください。</t>
    <rPh sb="0" eb="1">
      <t>ヤク</t>
    </rPh>
    <rPh sb="3" eb="4">
      <t>ゲツ</t>
    </rPh>
    <rPh sb="4" eb="6">
      <t>ケイカ</t>
    </rPh>
    <rPh sb="14" eb="15">
      <t>マエ</t>
    </rPh>
    <rPh sb="16" eb="18">
      <t>ハッセイ</t>
    </rPh>
    <rPh sb="22" eb="25">
      <t>フグアイ</t>
    </rPh>
    <rPh sb="26" eb="28">
      <t>フベン</t>
    </rPh>
    <rPh sb="29" eb="31">
      <t>ジショウ</t>
    </rPh>
    <rPh sb="32" eb="34">
      <t>ヘンカ</t>
    </rPh>
    <rPh sb="39" eb="40">
      <t>イナ</t>
    </rPh>
    <rPh sb="43" eb="44">
      <t>キ</t>
    </rPh>
    <phoneticPr fontId="1"/>
  </si>
  <si>
    <t>氏名（フルネーム）</t>
    <rPh sb="0" eb="2">
      <t>シメイ</t>
    </rPh>
    <phoneticPr fontId="1"/>
  </si>
  <si>
    <t>常勤拠点</t>
    <rPh sb="0" eb="2">
      <t>ジョウキン</t>
    </rPh>
    <rPh sb="2" eb="4">
      <t>キョテン</t>
    </rPh>
    <phoneticPr fontId="1"/>
  </si>
  <si>
    <t>所属部署</t>
    <rPh sb="0" eb="2">
      <t>ショゾク</t>
    </rPh>
    <rPh sb="2" eb="4">
      <t>ブショ</t>
    </rPh>
    <phoneticPr fontId="1"/>
  </si>
  <si>
    <t>◆デバイスの仕様</t>
    <rPh sb="6" eb="8">
      <t>シヨウ</t>
    </rPh>
    <phoneticPr fontId="9"/>
  </si>
  <si>
    <t>◆OSの仕様</t>
    <rPh sb="4" eb="6">
      <t>シヨウ</t>
    </rPh>
    <phoneticPr fontId="9"/>
  </si>
  <si>
    <t>↓(ローカル側からコピペしてください。※Windowsスタートメニュー→設定→システム→バージョン情報)</t>
    <phoneticPr fontId="1"/>
  </si>
  <si>
    <t>Wi-Fi接続　SSID (メイン)</t>
    <phoneticPr fontId="1"/>
  </si>
  <si>
    <t>Wi-Fi接続　SSID (サブ1)</t>
    <phoneticPr fontId="1"/>
  </si>
  <si>
    <t>Wi-Fi接続　SSID (サブ2)</t>
  </si>
  <si>
    <t>Wi-Fi接続　SSID (サブ3)</t>
  </si>
  <si>
    <t>Wi-Fi接続　SSID (サブ4)</t>
  </si>
  <si>
    <t>Wi-Fi接続　SSID (サブ5)</t>
  </si>
  <si>
    <t>◆無線接続先</t>
    <rPh sb="1" eb="3">
      <t>ムセン</t>
    </rPh>
    <rPh sb="3" eb="5">
      <t>セツゾク</t>
    </rPh>
    <rPh sb="5" eb="6">
      <t>サキ</t>
    </rPh>
    <phoneticPr fontId="1"/>
  </si>
  <si>
    <t>仮想サーバ</t>
    <rPh sb="0" eb="2">
      <t>カソウ</t>
    </rPh>
    <phoneticPr fontId="1"/>
  </si>
  <si>
    <t>技術製造部 生産管理課 生産管理</t>
  </si>
  <si>
    <t>技術製造部 生産管理課 生産管理事務</t>
  </si>
  <si>
    <t>技術製造部 生産管理課 物流</t>
  </si>
  <si>
    <t>技術製造部 製造課 バルク・顆粒</t>
  </si>
  <si>
    <t>技術製造部 製造課 充填包装</t>
  </si>
  <si>
    <t>技術製造部 製造課 粉体</t>
  </si>
  <si>
    <t>技術製造部 製造課 液体</t>
  </si>
  <si>
    <t>研究開発部 研究開発課</t>
    <phoneticPr fontId="1"/>
  </si>
  <si>
    <t>品質保証部 品質管理課</t>
    <phoneticPr fontId="1"/>
  </si>
  <si>
    <t>企画営業部 企画課</t>
    <phoneticPr fontId="1"/>
  </si>
  <si>
    <t>企画営業部 営業課</t>
    <phoneticPr fontId="1"/>
  </si>
  <si>
    <t>取締役・執行役員</t>
    <rPh sb="4" eb="6">
      <t>シッコウ</t>
    </rPh>
    <rPh sb="6" eb="8">
      <t>ヤクイン</t>
    </rPh>
    <phoneticPr fontId="1"/>
  </si>
  <si>
    <t>EC事業部 EC事業課</t>
    <phoneticPr fontId="1"/>
  </si>
  <si>
    <t>管理部 管理課</t>
    <phoneticPr fontId="1"/>
  </si>
  <si>
    <t>技術製造部 製造課 パート事務</t>
    <phoneticPr fontId="1"/>
  </si>
  <si>
    <t>本社</t>
    <rPh sb="0" eb="2">
      <t>ホンシャ</t>
    </rPh>
    <phoneticPr fontId="1"/>
  </si>
  <si>
    <t>ラボラトリー</t>
    <phoneticPr fontId="1"/>
  </si>
  <si>
    <t>ファクトリー</t>
    <phoneticPr fontId="1"/>
  </si>
  <si>
    <t>第一倉庫</t>
    <rPh sb="0" eb="2">
      <t>ダイイチ</t>
    </rPh>
    <rPh sb="2" eb="4">
      <t>ソウコ</t>
    </rPh>
    <phoneticPr fontId="1"/>
  </si>
  <si>
    <t>東京営業所</t>
    <rPh sb="0" eb="5">
      <t>トウキョウエイギョウショ</t>
    </rPh>
    <phoneticPr fontId="1"/>
  </si>
  <si>
    <t>A</t>
    <phoneticPr fontId="1"/>
  </si>
  <si>
    <t>B</t>
    <phoneticPr fontId="1"/>
  </si>
  <si>
    <t>C</t>
    <phoneticPr fontId="1"/>
  </si>
  <si>
    <t>9時・18時</t>
    <phoneticPr fontId="1"/>
  </si>
  <si>
    <t>シンクライアントサーバについて</t>
    <phoneticPr fontId="1"/>
  </si>
  <si>
    <t>昼休み</t>
    <rPh sb="0" eb="2">
      <t>ヒルヤス</t>
    </rPh>
    <phoneticPr fontId="1"/>
  </si>
  <si>
    <t>それ以外の時間帯</t>
    <rPh sb="2" eb="4">
      <t>イガイ</t>
    </rPh>
    <rPh sb="5" eb="8">
      <t>ジカンタイ</t>
    </rPh>
    <phoneticPr fontId="1"/>
  </si>
  <si>
    <t>ログインできない</t>
    <phoneticPr fontId="1"/>
  </si>
  <si>
    <t>突然切断される・再ログインする</t>
    <rPh sb="0" eb="2">
      <t>トツゼン</t>
    </rPh>
    <rPh sb="2" eb="4">
      <t>セツダン</t>
    </rPh>
    <rPh sb="8" eb="9">
      <t>サイ</t>
    </rPh>
    <phoneticPr fontId="1"/>
  </si>
  <si>
    <t>フリーズする</t>
    <phoneticPr fontId="1"/>
  </si>
  <si>
    <t>画面が真っ暗になる</t>
    <phoneticPr fontId="1"/>
  </si>
  <si>
    <t>動作が重い</t>
    <rPh sb="0" eb="2">
      <t>ドウサ</t>
    </rPh>
    <rPh sb="3" eb="4">
      <t>オモ</t>
    </rPh>
    <phoneticPr fontId="1"/>
  </si>
  <si>
    <t>1 不具合・不便を全く感じない</t>
    <rPh sb="9" eb="10">
      <t>マッタ</t>
    </rPh>
    <phoneticPr fontId="1"/>
  </si>
  <si>
    <t>2　殆ど感じない</t>
    <rPh sb="2" eb="3">
      <t>ホトン</t>
    </rPh>
    <phoneticPr fontId="1"/>
  </si>
  <si>
    <t>3　たまに感じる</t>
    <rPh sb="5" eb="6">
      <t>カン</t>
    </rPh>
    <phoneticPr fontId="1"/>
  </si>
  <si>
    <t>ログインの時刻+接続時間について</t>
    <rPh sb="5" eb="7">
      <t>ジコク</t>
    </rPh>
    <rPh sb="8" eb="10">
      <t>セツゾク</t>
    </rPh>
    <rPh sb="10" eb="12">
      <t>ジカン</t>
    </rPh>
    <phoneticPr fontId="1"/>
  </si>
  <si>
    <t>アプリ動作について</t>
    <rPh sb="3" eb="5">
      <t>ドウサ</t>
    </rPh>
    <phoneticPr fontId="1"/>
  </si>
  <si>
    <t>強制終了する</t>
    <rPh sb="0" eb="2">
      <t>キョウセイ</t>
    </rPh>
    <rPh sb="2" eb="4">
      <t>シュウリョウ</t>
    </rPh>
    <phoneticPr fontId="1"/>
  </si>
  <si>
    <t>起動が遅い</t>
    <rPh sb="0" eb="2">
      <t>キドウ</t>
    </rPh>
    <rPh sb="3" eb="4">
      <t>オソ</t>
    </rPh>
    <phoneticPr fontId="1"/>
  </si>
  <si>
    <t>文字入力が遅れる</t>
    <rPh sb="0" eb="2">
      <t>モジ</t>
    </rPh>
    <rPh sb="2" eb="4">
      <t>ニュウリョク</t>
    </rPh>
    <rPh sb="5" eb="6">
      <t>オク</t>
    </rPh>
    <phoneticPr fontId="1"/>
  </si>
  <si>
    <t>メール検索できない</t>
    <rPh sb="3" eb="5">
      <t>ケンサク</t>
    </rPh>
    <phoneticPr fontId="1"/>
  </si>
  <si>
    <t>ハイパーリンクが切れる</t>
    <phoneticPr fontId="1"/>
  </si>
  <si>
    <t>Word</t>
    <phoneticPr fontId="1"/>
  </si>
  <si>
    <t>文字化けする</t>
    <rPh sb="0" eb="3">
      <t>モジバ</t>
    </rPh>
    <phoneticPr fontId="1"/>
  </si>
  <si>
    <t>編集操作が重い</t>
    <rPh sb="0" eb="2">
      <t>ヘンシュウ</t>
    </rPh>
    <rPh sb="2" eb="4">
      <t>ソウサ</t>
    </rPh>
    <rPh sb="5" eb="6">
      <t>オモ</t>
    </rPh>
    <phoneticPr fontId="1"/>
  </si>
  <si>
    <t>ブラウザ（Edge・Chrome・Firefox）</t>
    <phoneticPr fontId="1"/>
  </si>
  <si>
    <t>5　リプレイス前と変わっていない／5分以上かかる</t>
    <rPh sb="7" eb="8">
      <t>マエ</t>
    </rPh>
    <rPh sb="9" eb="10">
      <t>カ</t>
    </rPh>
    <rPh sb="18" eb="19">
      <t>フン</t>
    </rPh>
    <rPh sb="19" eb="21">
      <t>イジョウ</t>
    </rPh>
    <phoneticPr fontId="1"/>
  </si>
  <si>
    <t>4　週に1～2回はある／2～3分以上かかる</t>
    <rPh sb="2" eb="3">
      <t>シュウ</t>
    </rPh>
    <rPh sb="7" eb="8">
      <t>カイ</t>
    </rPh>
    <rPh sb="15" eb="16">
      <t>フン</t>
    </rPh>
    <rPh sb="16" eb="18">
      <t>イジョウ</t>
    </rPh>
    <phoneticPr fontId="1"/>
  </si>
  <si>
    <t>常勤拠点での接続の状態について</t>
    <rPh sb="0" eb="2">
      <t>ジョウキン</t>
    </rPh>
    <rPh sb="2" eb="4">
      <t>キョテン</t>
    </rPh>
    <rPh sb="6" eb="8">
      <t>セツゾク</t>
    </rPh>
    <rPh sb="9" eb="11">
      <t>ジョウタイ</t>
    </rPh>
    <phoneticPr fontId="1"/>
  </si>
  <si>
    <t>製造エリアでの接続の状態について（製造課メンバーのみ）</t>
    <rPh sb="0" eb="2">
      <t>セイゾウ</t>
    </rPh>
    <rPh sb="7" eb="9">
      <t>セツゾク</t>
    </rPh>
    <rPh sb="10" eb="12">
      <t>ジョウタイ</t>
    </rPh>
    <rPh sb="17" eb="19">
      <t>セイゾウ</t>
    </rPh>
    <rPh sb="19" eb="20">
      <t>カ</t>
    </rPh>
    <phoneticPr fontId="1"/>
  </si>
  <si>
    <t>▶PDM・PLM環境整備</t>
    <rPh sb="8" eb="10">
      <t>カンキョウ</t>
    </rPh>
    <rPh sb="10" eb="12">
      <t>セイビ</t>
    </rPh>
    <phoneticPr fontId="1"/>
  </si>
  <si>
    <t>▶MS365</t>
    <phoneticPr fontId="1"/>
  </si>
  <si>
    <t>部署別OneDrive</t>
    <rPh sb="0" eb="2">
      <t>ブショ</t>
    </rPh>
    <rPh sb="2" eb="3">
      <t>ベツ</t>
    </rPh>
    <phoneticPr fontId="1"/>
  </si>
  <si>
    <t>奉行クラウド主担当･TPiCS主担当・営業担当　アカウント導入</t>
    <rPh sb="29" eb="31">
      <t>ドウニュウ</t>
    </rPh>
    <phoneticPr fontId="1"/>
  </si>
  <si>
    <t>部署別・業務別アカウント　導入</t>
    <rPh sb="0" eb="2">
      <t>ブショ</t>
    </rPh>
    <rPh sb="2" eb="3">
      <t>ベツ</t>
    </rPh>
    <rPh sb="4" eb="6">
      <t>ギョウム</t>
    </rPh>
    <rPh sb="6" eb="7">
      <t>ベツ</t>
    </rPh>
    <rPh sb="13" eb="15">
      <t>ドウニュウ</t>
    </rPh>
    <phoneticPr fontId="1"/>
  </si>
  <si>
    <t>上記以外の不具合報告について</t>
    <rPh sb="0" eb="2">
      <t>ジョウキ</t>
    </rPh>
    <rPh sb="2" eb="4">
      <t>イガイ</t>
    </rPh>
    <rPh sb="5" eb="8">
      <t>フグアイ</t>
    </rPh>
    <rPh sb="8" eb="10">
      <t>ホウコク</t>
    </rPh>
    <phoneticPr fontId="1"/>
  </si>
  <si>
    <t>迷惑メールが多い</t>
    <rPh sb="0" eb="2">
      <t>メイワク</t>
    </rPh>
    <rPh sb="6" eb="7">
      <t>オオ</t>
    </rPh>
    <phoneticPr fontId="1"/>
  </si>
  <si>
    <t>既定プリンタがリセットされる</t>
    <phoneticPr fontId="1"/>
  </si>
  <si>
    <t>現品票発行</t>
    <phoneticPr fontId="1"/>
  </si>
  <si>
    <t>デスクトップアイコンの位置が変わる</t>
    <rPh sb="11" eb="13">
      <t>イチ</t>
    </rPh>
    <rPh sb="14" eb="15">
      <t>カ</t>
    </rPh>
    <phoneticPr fontId="1"/>
  </si>
  <si>
    <t>▶MS365</t>
  </si>
  <si>
    <t>1区分</t>
  </si>
  <si>
    <t>1区分</t>
    <rPh sb="1" eb="3">
      <t>クブン</t>
    </rPh>
    <phoneticPr fontId="1"/>
  </si>
  <si>
    <t>2区分</t>
    <rPh sb="1" eb="3">
      <t>クブン</t>
    </rPh>
    <phoneticPr fontId="1"/>
  </si>
  <si>
    <t>3区分</t>
    <rPh sb="1" eb="3">
      <t>クブン</t>
    </rPh>
    <phoneticPr fontId="1"/>
  </si>
  <si>
    <t>部署別・業務別アカウント　導入</t>
  </si>
  <si>
    <t>部署別OneDrive</t>
  </si>
  <si>
    <t>奉行クラウド主担当･TPiCS主担当・営業担当　アカウント導入</t>
  </si>
  <si>
    <t>4月</t>
  </si>
  <si>
    <t>5月</t>
  </si>
  <si>
    <t>9月</t>
  </si>
  <si>
    <t>10月</t>
  </si>
  <si>
    <t>11月</t>
  </si>
  <si>
    <t>&lt;2026/4/30</t>
  </si>
  <si>
    <t>月 (開始)</t>
  </si>
  <si>
    <t>月 (完了(目標))</t>
  </si>
  <si>
    <t>年 (開始)</t>
  </si>
  <si>
    <t>2026年</t>
  </si>
  <si>
    <t>年 (完了(目標))</t>
  </si>
  <si>
    <t>8月</t>
  </si>
  <si>
    <t>12月</t>
  </si>
  <si>
    <t>▶ナレッジ共有（平準化）</t>
    <rPh sb="5" eb="7">
      <t>キョウユウ</t>
    </rPh>
    <rPh sb="8" eb="11">
      <t>ヘイジュンカ</t>
    </rPh>
    <phoneticPr fontId="1"/>
  </si>
  <si>
    <t>2.クラウド環境</t>
  </si>
  <si>
    <t>2.クラウド環境</t>
    <rPh sb="6" eb="8">
      <t>カンキョウ</t>
    </rPh>
    <phoneticPr fontId="1"/>
  </si>
  <si>
    <t>1.サーバ環境</t>
  </si>
  <si>
    <t>1.サーバ環境</t>
    <rPh sb="5" eb="7">
      <t>カンキョウ</t>
    </rPh>
    <phoneticPr fontId="1"/>
  </si>
  <si>
    <t>3.業務データ</t>
  </si>
  <si>
    <t>3.業務データ</t>
    <rPh sb="2" eb="4">
      <t>ギョウム</t>
    </rPh>
    <phoneticPr fontId="1"/>
  </si>
  <si>
    <t>4.ナレッジ</t>
  </si>
  <si>
    <t>4.ナレッジ</t>
    <phoneticPr fontId="1"/>
  </si>
  <si>
    <t>5.リテラシー向上</t>
  </si>
  <si>
    <t>5.リテラシー向上</t>
    <rPh sb="7" eb="9">
      <t>コウジョウ</t>
    </rPh>
    <phoneticPr fontId="1"/>
  </si>
  <si>
    <t>4.ナレッジ共有</t>
    <rPh sb="6" eb="8">
      <t>キョウユウ</t>
    </rPh>
    <phoneticPr fontId="1"/>
  </si>
  <si>
    <t>マニュアル作成（属人化回避）</t>
  </si>
  <si>
    <t>マニュアル作成（属人化回避）</t>
    <rPh sb="5" eb="7">
      <t>サクセイ</t>
    </rPh>
    <rPh sb="8" eb="11">
      <t>ゾクジンカ</t>
    </rPh>
    <rPh sb="11" eb="13">
      <t>カイヒ</t>
    </rPh>
    <phoneticPr fontId="1"/>
  </si>
  <si>
    <t>専用サービス導入　有無判断➡一次整備完了</t>
  </si>
  <si>
    <t>専用サービス導入　有無判断➡一次整備完了</t>
    <rPh sb="0" eb="2">
      <t>センヨウ</t>
    </rPh>
    <rPh sb="6" eb="8">
      <t>ドウニュウ</t>
    </rPh>
    <rPh sb="9" eb="11">
      <t>ウム</t>
    </rPh>
    <rPh sb="11" eb="13">
      <t>ハンダン</t>
    </rPh>
    <rPh sb="14" eb="16">
      <t>イチジ</t>
    </rPh>
    <rPh sb="16" eb="18">
      <t>セイビ</t>
    </rPh>
    <rPh sb="18" eb="20">
      <t>カンリョウ</t>
    </rPh>
    <phoneticPr fontId="1"/>
  </si>
  <si>
    <t>共有フォルダ：可視化ツール➡削除範囲特定</t>
  </si>
  <si>
    <t>共有フォルダ：可視化ツール➡削除範囲特定</t>
    <rPh sb="0" eb="2">
      <t>キョウユウ</t>
    </rPh>
    <rPh sb="14" eb="16">
      <t>サクジョ</t>
    </rPh>
    <rPh sb="16" eb="18">
      <t>ハンイ</t>
    </rPh>
    <rPh sb="18" eb="20">
      <t>トクテイ</t>
    </rPh>
    <phoneticPr fontId="1"/>
  </si>
  <si>
    <t>共有フォルダ：コピー移行ツール➡バックアップ・削除</t>
  </si>
  <si>
    <t>共有フォルダ：コピー移行ツール➡バックアップ・削除</t>
    <rPh sb="10" eb="12">
      <t>イコウ</t>
    </rPh>
    <rPh sb="23" eb="25">
      <t>サクジョ</t>
    </rPh>
    <phoneticPr fontId="1"/>
  </si>
  <si>
    <t>共有フォルダ：検索ツール➡使用頻度順位付け</t>
  </si>
  <si>
    <t>共有フォルダ：検索ツール➡使用頻度順位付け</t>
    <rPh sb="7" eb="9">
      <t>ケンサク</t>
    </rPh>
    <rPh sb="13" eb="15">
      <t>シヨウ</t>
    </rPh>
    <rPh sb="15" eb="17">
      <t>ヒンド</t>
    </rPh>
    <rPh sb="17" eb="19">
      <t>ジュンイ</t>
    </rPh>
    <rPh sb="19" eb="20">
      <t>ヅ</t>
    </rPh>
    <phoneticPr fontId="1"/>
  </si>
  <si>
    <t>共有フォルダ：定期メンテナンス方法確定</t>
  </si>
  <si>
    <t>共有フォルダ：定期メンテナンス方法確定</t>
    <rPh sb="7" eb="9">
      <t>テイキ</t>
    </rPh>
    <rPh sb="15" eb="17">
      <t>ホウホウ</t>
    </rPh>
    <rPh sb="17" eb="19">
      <t>カクテイ</t>
    </rPh>
    <phoneticPr fontId="1"/>
  </si>
  <si>
    <t>共有フォルダ：データリンク集➡Excelハイパーリンク</t>
  </si>
  <si>
    <t>共有フォルダ：データリンク集➡Excelハイパーリンク</t>
    <rPh sb="13" eb="14">
      <t>シュウ</t>
    </rPh>
    <phoneticPr fontId="1"/>
  </si>
  <si>
    <t>個数 / 3区分</t>
  </si>
  <si>
    <t>個数 / 1区分</t>
  </si>
  <si>
    <t>個数 / 2区分</t>
  </si>
  <si>
    <t>3区分</t>
  </si>
  <si>
    <t>&lt;2026/2/1</t>
  </si>
  <si>
    <t>2月</t>
  </si>
  <si>
    <t>日報　改善</t>
  </si>
  <si>
    <t>日報　改善</t>
    <phoneticPr fontId="1"/>
  </si>
  <si>
    <t>日報　活用</t>
  </si>
  <si>
    <t>日報　活用</t>
    <rPh sb="3" eb="5">
      <t>カツヨウ</t>
    </rPh>
    <phoneticPr fontId="1"/>
  </si>
  <si>
    <t>2区分</t>
  </si>
  <si>
    <t>▶共有フォルダ整備</t>
  </si>
  <si>
    <t>▶事務作業自動化(AI化)</t>
  </si>
  <si>
    <t>▶ナレッジ共有（平準化）</t>
  </si>
  <si>
    <t>▶セキュリティ対策・IT基礎知識勉強会</t>
  </si>
  <si>
    <t>▶PDM・PLM環境整備</t>
  </si>
  <si>
    <t>▶データ形式標準化</t>
  </si>
  <si>
    <t>▶ペーパーレス化・データ化</t>
  </si>
  <si>
    <t>▶クラウドバックアップ整備</t>
  </si>
  <si>
    <t>アプリ動作：Excel、PDF、Word、ブラウザ</t>
  </si>
  <si>
    <t>アプリ動作：Excel、PDF、Word、ブラウザ</t>
    <rPh sb="3" eb="5">
      <t>ドウサ</t>
    </rPh>
    <phoneticPr fontId="1"/>
  </si>
  <si>
    <t>アプリ動作：Outlook（メール検索、迷惑メール）</t>
  </si>
  <si>
    <t>アプリ動作：Outlook（メール検索、迷惑メール）</t>
    <rPh sb="3" eb="5">
      <t>ドウサ</t>
    </rPh>
    <rPh sb="20" eb="22">
      <t>メイワク</t>
    </rPh>
    <phoneticPr fontId="1"/>
  </si>
  <si>
    <t>TPiCS・PI-navi：現品票発行、タブレット、ハンディターミナル</t>
  </si>
  <si>
    <t>TPiCS・PI-navi：現品票発行、タブレット、ハンディターミナル</t>
    <phoneticPr fontId="1"/>
  </si>
  <si>
    <t>その他1：デスクトップアイコン位置・既定プリンタの固定</t>
  </si>
  <si>
    <t>その他1：デスクトップアイコン位置・既定プリンタの固定</t>
    <rPh sb="2" eb="3">
      <t>タ</t>
    </rPh>
    <rPh sb="15" eb="17">
      <t>イチ</t>
    </rPh>
    <rPh sb="18" eb="20">
      <t>キテイ</t>
    </rPh>
    <rPh sb="25" eb="27">
      <t>コテイ</t>
    </rPh>
    <phoneticPr fontId="1"/>
  </si>
  <si>
    <t>その他2：テプラ</t>
  </si>
  <si>
    <t>その他2：テプラ</t>
    <rPh sb="2" eb="3">
      <t>タ</t>
    </rPh>
    <phoneticPr fontId="1"/>
  </si>
  <si>
    <t>Wi-Fi接続：製造エリア、自動⇄手動</t>
  </si>
  <si>
    <t>Wi-Fi接続：製造エリア、自動⇄手動</t>
    <rPh sb="5" eb="7">
      <t>セツゾク</t>
    </rPh>
    <rPh sb="8" eb="10">
      <t>セイゾウ</t>
    </rPh>
    <rPh sb="14" eb="16">
      <t>ジドウ</t>
    </rPh>
    <rPh sb="17" eb="19">
      <t>シュドウ</t>
    </rPh>
    <phoneticPr fontId="1"/>
  </si>
  <si>
    <t>全選択→更新→「-」「(空白)」非表示</t>
    <rPh sb="0" eb="1">
      <t>ゼン</t>
    </rPh>
    <rPh sb="1" eb="3">
      <t>センタク</t>
    </rPh>
    <rPh sb="4" eb="6">
      <t>コウシン</t>
    </rPh>
    <rPh sb="12" eb="14">
      <t>クウハク</t>
    </rPh>
    <rPh sb="16" eb="19">
      <t>ヒヒョウジ</t>
    </rPh>
    <phoneticPr fontId="1"/>
  </si>
  <si>
    <t>(▶事務作業自動化(AI化)、▶共有フォルダ整備　進捗に応じて検討開始）</t>
  </si>
  <si>
    <t>(▶事務作業自動化(AI化)、▶共有フォルダ整備　進捗に応じて検討開始）</t>
    <rPh sb="25" eb="27">
      <t>シンチョク</t>
    </rPh>
    <rPh sb="28" eb="29">
      <t>オウ</t>
    </rPh>
    <rPh sb="31" eb="33">
      <t>ケントウ</t>
    </rPh>
    <rPh sb="33" eb="35">
      <t>カイシ</t>
    </rPh>
    <phoneticPr fontId="1"/>
  </si>
  <si>
    <t>サービス調査～開発・品管ヒアリング～具体化～</t>
  </si>
  <si>
    <t>サービス調査～開発・品管ヒアリング～具体化～</t>
    <rPh sb="4" eb="6">
      <t>チョウサ</t>
    </rPh>
    <rPh sb="7" eb="9">
      <t>カイハツ</t>
    </rPh>
    <rPh sb="10" eb="12">
      <t>ヒンカン</t>
    </rPh>
    <rPh sb="18" eb="21">
      <t>グタイカ</t>
    </rPh>
    <phoneticPr fontId="1"/>
  </si>
  <si>
    <t>全選択→更新→「(空白)」非表示</t>
    <rPh sb="0" eb="1">
      <t>ゼン</t>
    </rPh>
    <rPh sb="1" eb="3">
      <t>センタク</t>
    </rPh>
    <rPh sb="4" eb="6">
      <t>コウシン</t>
    </rPh>
    <rPh sb="9" eb="11">
      <t>クウハク</t>
    </rPh>
    <rPh sb="13" eb="16">
      <t>ヒヒョウジ</t>
    </rPh>
    <phoneticPr fontId="1"/>
  </si>
  <si>
    <t>∟中村さん：AI活用業務モデル制作、ツールを使う整備の支援　▶共有フォルダ　▶3/11構造可視化ツール作成,利便性向上対策考察　▶3/12検索ツール開発中～3/19営業課試験運用　▶3/18検索ツール概要書提出-3/19決裁　▶3/23構造可視化&amp;データコピーツール完成</t>
    <rPh sb="61" eb="63">
      <t>コウサツ</t>
    </rPh>
    <rPh sb="82" eb="84">
      <t>エイギョウ</t>
    </rPh>
    <rPh sb="84" eb="85">
      <t>カ</t>
    </rPh>
    <rPh sb="85" eb="87">
      <t>シケン</t>
    </rPh>
    <rPh sb="87" eb="89">
      <t>ウンヨウ</t>
    </rPh>
    <rPh sb="110" eb="112">
      <t>ケッサイ</t>
    </rPh>
    <rPh sb="133" eb="135">
      <t>カンセイ</t>
    </rPh>
    <phoneticPr fontId="1"/>
  </si>
  <si>
    <t>3/11～構造可視化ツール/検索ツール/データコピーツール作成中　3/23完成</t>
    <rPh sb="37" eb="39">
      <t>カンセイ</t>
    </rPh>
    <phoneticPr fontId="1"/>
  </si>
  <si>
    <t>▶サーバリプレイス後の動作改善確認</t>
  </si>
  <si>
    <t>▶サーバリプレイス後の動作改善確認</t>
    <rPh sb="9" eb="10">
      <t>アト</t>
    </rPh>
    <rPh sb="11" eb="13">
      <t>ドウサ</t>
    </rPh>
    <rPh sb="13" eb="15">
      <t>カイゼン</t>
    </rPh>
    <rPh sb="15" eb="17">
      <t>カクニン</t>
    </rPh>
    <phoneticPr fontId="1"/>
  </si>
  <si>
    <t>ログイン・接続：時間帯、切断、フリーズ、速さ</t>
  </si>
  <si>
    <t>ログイン・接続：時間帯、切断、フリーズ、速さ</t>
    <rPh sb="5" eb="7">
      <t>セツゾク</t>
    </rPh>
    <rPh sb="8" eb="11">
      <t>ジカンタイ</t>
    </rPh>
    <rPh sb="12" eb="14">
      <t>セツダン</t>
    </rPh>
    <rPh sb="20" eb="21">
      <t>ハヤ</t>
    </rPh>
    <phoneticPr fontId="1"/>
  </si>
  <si>
    <t>セキュリティ対策・IT基礎知識勉強会①【？？？】</t>
  </si>
  <si>
    <t>セキュリティ対策・IT基礎知識勉強会①【？？？】</t>
    <phoneticPr fontId="1"/>
  </si>
  <si>
    <t>セキュリティ対策・IT基礎知識勉強会②【？？？】</t>
  </si>
  <si>
    <t>セキュリティ対策・IT基礎知識勉強会②【？？？】</t>
    <phoneticPr fontId="1"/>
  </si>
  <si>
    <t>セキュリティ対策・IT基礎知識勉強会③【？？？】</t>
  </si>
  <si>
    <t>セキュリティ対策・IT基礎知識勉強会③【？？？】</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</si>
</sst>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76" formatCode="yyyy/mm/dd\(aaa\)"/>
    <numFmt numFmtId="177" formatCode="yyyy/mm/dd;@"/>
    <numFmt numFmtId="178" formatCode="0.0%"/>
    <numFmt numFmtId="179" formatCode="yyyy/mm"/>
    <numFmt numFmtId="180" formatCode="#,##0.0;[Red]\-#,##0.0"/>
    <numFmt numFmtId="181" formatCode="yyyy&quot;年&quot;mm&quot;月&quot;"/>
    <numFmt numFmtId="182" formatCode="yyyy&quot;年&quot;mm&quot;月&quot;dd&quot;日&quot;\(aaa\)"/>
    <numFmt numFmtId="183" formatCode="yyyy/mm/dd"/>
  </numFmts>
  <fonts count="62">
    <font>
      <sz val="10"/>
      <color theme="1"/>
      <name val="Meiryo UI"/>
      <family val="2"/>
      <charset val="128"/>
    </font>
    <font>
      <sz val="6"/>
      <name val="Meiryo UI"/>
      <family val="2"/>
      <charset val="128"/>
    </font>
    <font>
      <sz val="10"/>
      <color theme="1"/>
      <name val="Meiryo UI"/>
      <family val="2"/>
      <charset val="128"/>
    </font>
    <font>
      <sz val="8"/>
      <color theme="0" tint="-0.249977111117893"/>
      <name val="Meiryo UI"/>
      <family val="3"/>
      <charset val="128"/>
    </font>
    <font>
      <sz val="7"/>
      <color theme="1"/>
      <name val="Meiryo UI"/>
      <family val="3"/>
      <charset val="128"/>
    </font>
    <font>
      <sz val="8"/>
      <color theme="1"/>
      <name val="Meiryo UI"/>
      <family val="3"/>
      <charset val="128"/>
    </font>
    <font>
      <sz val="8"/>
      <color rgb="FFC00000"/>
      <name val="Meiryo UI"/>
      <family val="3"/>
      <charset val="128"/>
    </font>
    <font>
      <sz val="9"/>
      <color theme="1"/>
      <name val="Meiryo UI"/>
      <family val="3"/>
      <charset val="128"/>
    </font>
    <font>
      <b/>
      <sz val="8"/>
      <name val="Meiryo UI"/>
      <family val="3"/>
      <charset val="128"/>
    </font>
    <font>
      <sz val="8"/>
      <color theme="0" tint="-0.34998626667073579"/>
      <name val="Meiryo UI"/>
      <family val="3"/>
      <charset val="128"/>
    </font>
    <font>
      <sz val="6"/>
      <name val="游ゴシック"/>
      <family val="2"/>
      <charset val="128"/>
      <scheme val="minor"/>
    </font>
    <font>
      <sz val="6"/>
      <name val="Meiryo UI"/>
      <family val="3"/>
      <charset val="128"/>
    </font>
    <font>
      <sz val="10"/>
      <color rgb="FF000000"/>
      <name val="MS UI Gothic"/>
      <family val="3"/>
      <charset val="128"/>
    </font>
    <font>
      <b/>
      <sz val="8"/>
      <color rgb="FF000000"/>
      <name val="Meiryo UI"/>
      <family val="3"/>
      <charset val="128"/>
    </font>
    <font>
      <sz val="6"/>
      <name val="MS UI Gothic"/>
      <family val="3"/>
      <charset val="128"/>
    </font>
    <font>
      <sz val="8"/>
      <color rgb="FF000000"/>
      <name val="Meiryo UI"/>
      <family val="3"/>
      <charset val="128"/>
    </font>
    <font>
      <sz val="8"/>
      <color theme="0" tint="-0.499984740745262"/>
      <name val="Meiryo UI"/>
      <family val="3"/>
      <charset val="128"/>
    </font>
    <font>
      <b/>
      <sz val="9"/>
      <color rgb="FF000000"/>
      <name val="Meiryo UI"/>
      <family val="3"/>
      <charset val="128"/>
    </font>
    <font>
      <b/>
      <sz val="9"/>
      <color rgb="FFC00000"/>
      <name val="Meiryo UI"/>
      <family val="3"/>
      <charset val="128"/>
    </font>
    <font>
      <sz val="9"/>
      <color rgb="FF000000"/>
      <name val="Meiryo UI"/>
      <family val="3"/>
      <charset val="128"/>
    </font>
    <font>
      <b/>
      <sz val="9"/>
      <color rgb="FF0000CC"/>
      <name val="Meiryo UI"/>
      <family val="3"/>
      <charset val="128"/>
    </font>
    <font>
      <sz val="6"/>
      <color theme="0" tint="-0.249977111117893"/>
      <name val="Meiryo UI"/>
      <family val="3"/>
      <charset val="128"/>
    </font>
    <font>
      <sz val="10"/>
      <color rgb="FF000000"/>
      <name val="游ゴシック"/>
      <family val="2"/>
      <scheme val="minor"/>
    </font>
    <font>
      <b/>
      <sz val="8"/>
      <color rgb="FF0000CC"/>
      <name val="Meiryo UI"/>
      <family val="3"/>
      <charset val="128"/>
    </font>
    <font>
      <b/>
      <sz val="8"/>
      <color rgb="FFC00000"/>
      <name val="Meiryo UI"/>
      <family val="3"/>
      <charset val="128"/>
    </font>
    <font>
      <sz val="6"/>
      <name val="游ゴシック"/>
      <family val="3"/>
      <charset val="128"/>
      <scheme val="minor"/>
    </font>
    <font>
      <sz val="7"/>
      <name val="Meiryo UI"/>
      <family val="3"/>
      <charset val="128"/>
    </font>
    <font>
      <sz val="8"/>
      <name val="Meiryo UI"/>
      <family val="3"/>
      <charset val="128"/>
    </font>
    <font>
      <b/>
      <sz val="8"/>
      <color theme="1"/>
      <name val="Meiryo UI"/>
      <family val="3"/>
      <charset val="128"/>
    </font>
    <font>
      <sz val="10"/>
      <color rgb="FF000000"/>
      <name val="Meiryo UI"/>
      <family val="3"/>
      <charset val="128"/>
    </font>
    <font>
      <sz val="7"/>
      <color theme="0"/>
      <name val="Meiryo UI"/>
      <family val="3"/>
      <charset val="128"/>
    </font>
    <font>
      <sz val="7"/>
      <color rgb="FF000000"/>
      <name val="Meiryo UI"/>
      <family val="3"/>
      <charset val="128"/>
    </font>
    <font>
      <sz val="7"/>
      <color theme="4"/>
      <name val="Meiryo UI"/>
      <family val="3"/>
      <charset val="128"/>
    </font>
    <font>
      <sz val="8"/>
      <color theme="4"/>
      <name val="Meiryo UI"/>
      <family val="3"/>
      <charset val="128"/>
    </font>
    <font>
      <b/>
      <sz val="8"/>
      <color theme="4"/>
      <name val="Meiryo UI"/>
      <family val="3"/>
      <charset val="128"/>
    </font>
    <font>
      <sz val="10"/>
      <color theme="1"/>
      <name val="Meiryo UI"/>
      <family val="3"/>
      <charset val="128"/>
    </font>
    <font>
      <sz val="11"/>
      <color theme="1"/>
      <name val="Meiryo UI"/>
      <family val="2"/>
      <charset val="128"/>
    </font>
    <font>
      <sz val="10"/>
      <color rgb="FF006100"/>
      <name val="Meiryo UI"/>
      <family val="2"/>
      <charset val="128"/>
    </font>
    <font>
      <sz val="6"/>
      <color theme="1"/>
      <name val="Meiryo UI"/>
      <family val="3"/>
      <charset val="128"/>
    </font>
    <font>
      <sz val="8"/>
      <color rgb="FFFF0000"/>
      <name val="Meiryo UI"/>
      <family val="3"/>
      <charset val="128"/>
    </font>
    <font>
      <sz val="6"/>
      <color rgb="FFFF0000"/>
      <name val="Meiryo UI"/>
      <family val="3"/>
      <charset val="128"/>
    </font>
    <font>
      <sz val="8"/>
      <color rgb="FF000000"/>
      <name val="&quot;Meiryo UI&quot;"/>
    </font>
    <font>
      <sz val="8"/>
      <color theme="2" tint="-0.499984740745262"/>
      <name val="Meiryo UI"/>
      <family val="3"/>
      <charset val="128"/>
    </font>
    <font>
      <sz val="8"/>
      <color theme="1"/>
      <name val="Meiryo UI"/>
      <family val="2"/>
      <charset val="128"/>
    </font>
    <font>
      <b/>
      <sz val="7"/>
      <color theme="1"/>
      <name val="Meiryo UI"/>
      <family val="3"/>
      <charset val="128"/>
    </font>
    <font>
      <sz val="7"/>
      <color theme="0" tint="-0.34998626667073579"/>
      <name val="Meiryo UI"/>
      <family val="3"/>
      <charset val="128"/>
    </font>
    <font>
      <sz val="7"/>
      <color theme="0" tint="-0.499984740745262"/>
      <name val="Meiryo UI"/>
      <family val="3"/>
      <charset val="128"/>
    </font>
    <font>
      <sz val="7"/>
      <color rgb="FF0000CC"/>
      <name val="Meiryo UI"/>
      <family val="3"/>
      <charset val="128"/>
    </font>
    <font>
      <b/>
      <sz val="7"/>
      <color rgb="FF0000CC"/>
      <name val="Meiryo UI"/>
      <family val="3"/>
      <charset val="128"/>
    </font>
    <font>
      <sz val="7"/>
      <color rgb="FFC00000"/>
      <name val="Meiryo UI"/>
      <family val="3"/>
      <charset val="128"/>
    </font>
    <font>
      <sz val="8"/>
      <color theme="3"/>
      <name val="Meiryo UI"/>
      <family val="3"/>
      <charset val="128"/>
    </font>
    <font>
      <sz val="7"/>
      <color theme="3"/>
      <name val="Meiryo UI"/>
      <family val="3"/>
      <charset val="128"/>
    </font>
    <font>
      <sz val="8"/>
      <color theme="1"/>
      <name val="Arial Narrow"/>
      <family val="2"/>
    </font>
    <font>
      <sz val="9"/>
      <color rgb="FF0070C0"/>
      <name val="Meiryo UI"/>
      <family val="3"/>
      <charset val="128"/>
    </font>
    <font>
      <sz val="8"/>
      <color rgb="FF0070C0"/>
      <name val="Meiryo UI"/>
      <family val="3"/>
      <charset val="128"/>
    </font>
    <font>
      <sz val="9"/>
      <color rgb="FFFF0000"/>
      <name val="Meiryo UI"/>
      <family val="3"/>
      <charset val="128"/>
    </font>
    <font>
      <u/>
      <sz val="9"/>
      <color rgb="FFFF0000"/>
      <name val="Meiryo UI"/>
      <family val="3"/>
      <charset val="128"/>
    </font>
    <font>
      <sz val="7"/>
      <color theme="0" tint="-0.249977111117893"/>
      <name val="Meiryo UI"/>
      <family val="3"/>
      <charset val="128"/>
    </font>
    <font>
      <sz val="8"/>
      <color rgb="FFC00000"/>
      <name val="Meiryo UI"/>
      <family val="2"/>
      <charset val="128"/>
    </font>
    <font>
      <sz val="8"/>
      <color theme="0" tint="-0.14999847407452621"/>
      <name val="Meiryo UI"/>
      <family val="2"/>
      <charset val="128"/>
    </font>
    <font>
      <sz val="8"/>
      <color theme="0" tint="-0.14999847407452621"/>
      <name val="Meiryo UI"/>
      <family val="3"/>
      <charset val="128"/>
    </font>
    <font>
      <b/>
      <sz val="8"/>
      <color rgb="FF0070C0"/>
      <name val="Meiryo UI"/>
      <family val="3"/>
      <charset val="128"/>
    </font>
  </fonts>
  <fills count="2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CCFF99"/>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FF"/>
        <bgColor rgb="FFFFFFFF"/>
      </patternFill>
    </fill>
    <fill>
      <patternFill patternType="solid">
        <fgColor rgb="FFF8F9FA"/>
        <bgColor rgb="FFF8F9FA"/>
      </patternFill>
    </fill>
    <fill>
      <patternFill patternType="solid">
        <fgColor rgb="FFFFFFCC"/>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99"/>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6" tint="0.7999816888943144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808080"/>
      </left>
      <right/>
      <top style="thin">
        <color rgb="FF808080"/>
      </top>
      <bottom/>
      <diagonal/>
    </border>
    <border>
      <left style="thin">
        <color theme="1" tint="0.499984740745262"/>
      </left>
      <right/>
      <top style="thin">
        <color rgb="FF808080"/>
      </top>
      <bottom/>
      <diagonal/>
    </border>
    <border>
      <left style="thin">
        <color theme="1" tint="0.499984740745262"/>
      </left>
      <right style="thin">
        <color rgb="FF808080"/>
      </right>
      <top style="thin">
        <color rgb="FF808080"/>
      </top>
      <bottom/>
      <diagonal/>
    </border>
    <border>
      <left style="thin">
        <color rgb="FF808080"/>
      </left>
      <right/>
      <top style="thin">
        <color theme="1" tint="0.499984740745262"/>
      </top>
      <bottom/>
      <diagonal/>
    </border>
    <border>
      <left style="thin">
        <color theme="1" tint="0.499984740745262"/>
      </left>
      <right/>
      <top style="thin">
        <color theme="1" tint="0.499984740745262"/>
      </top>
      <bottom/>
      <diagonal/>
    </border>
    <border>
      <left/>
      <right style="thin">
        <color rgb="FF808080"/>
      </right>
      <top style="thin">
        <color rgb="FF808080"/>
      </top>
      <bottom/>
      <diagonal/>
    </border>
    <border>
      <left style="thin">
        <color rgb="FF808080"/>
      </left>
      <right/>
      <top style="hair">
        <color theme="1" tint="0.499984740745262"/>
      </top>
      <bottom/>
      <diagonal/>
    </border>
    <border>
      <left style="thin">
        <color theme="1" tint="0.499984740745262"/>
      </left>
      <right/>
      <top style="hair">
        <color theme="1" tint="0.499984740745262"/>
      </top>
      <bottom/>
      <diagonal/>
    </border>
    <border>
      <left/>
      <right style="thin">
        <color rgb="FF808080"/>
      </right>
      <top/>
      <bottom/>
      <diagonal/>
    </border>
    <border>
      <left style="thin">
        <color rgb="FF808080"/>
      </left>
      <right/>
      <top style="hair">
        <color theme="1" tint="0.499984740745262"/>
      </top>
      <bottom style="hair">
        <color rgb="FF808080"/>
      </bottom>
      <diagonal/>
    </border>
    <border>
      <left style="thin">
        <color theme="1" tint="0.499984740745262"/>
      </left>
      <right/>
      <top style="hair">
        <color theme="1" tint="0.499984740745262"/>
      </top>
      <bottom style="hair">
        <color rgb="FF808080"/>
      </bottom>
      <diagonal/>
    </border>
    <border>
      <left/>
      <right style="thin">
        <color rgb="FF808080"/>
      </right>
      <top/>
      <bottom style="hair">
        <color rgb="FF80808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bottom/>
      <diagonal/>
    </border>
    <border>
      <left style="thin">
        <color rgb="FFABABAB"/>
      </left>
      <right/>
      <top/>
      <bottom/>
      <diagonal/>
    </border>
    <border>
      <left style="thin">
        <color indexed="65"/>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8">
    <xf numFmtId="0" fontId="0" fillId="0" borderId="0">
      <alignment vertical="center"/>
    </xf>
    <xf numFmtId="0" fontId="7" fillId="0" borderId="0">
      <alignment vertical="center"/>
    </xf>
    <xf numFmtId="0" fontId="12" fillId="0" borderId="0">
      <alignment vertical="center"/>
    </xf>
    <xf numFmtId="9" fontId="22" fillId="0" borderId="0" applyFont="0" applyFill="0" applyBorder="0" applyAlignment="0" applyProtection="0">
      <alignment vertical="center"/>
    </xf>
    <xf numFmtId="0" fontId="2" fillId="0" borderId="0">
      <alignment vertical="center"/>
    </xf>
    <xf numFmtId="0" fontId="29" fillId="0" borderId="0"/>
    <xf numFmtId="0" fontId="35" fillId="0" borderId="0">
      <alignment vertical="center"/>
    </xf>
    <xf numFmtId="38" fontId="2" fillId="0" borderId="0" applyFont="0" applyFill="0" applyBorder="0" applyAlignment="0" applyProtection="0">
      <alignment vertical="center"/>
    </xf>
  </cellStyleXfs>
  <cellXfs count="387">
    <xf numFmtId="0" fontId="0" fillId="0" borderId="0" xfId="0">
      <alignment vertical="center"/>
    </xf>
    <xf numFmtId="176" fontId="4" fillId="0" borderId="0" xfId="0" applyNumberFormat="1" applyFont="1">
      <alignment vertical="center"/>
    </xf>
    <xf numFmtId="0" fontId="5" fillId="0" borderId="0" xfId="0" applyFont="1">
      <alignment vertical="center"/>
    </xf>
    <xf numFmtId="177" fontId="8" fillId="0" borderId="0" xfId="1" applyNumberFormat="1" applyFont="1" applyAlignment="1">
      <alignment horizontal="left" vertical="top"/>
    </xf>
    <xf numFmtId="0" fontId="7" fillId="0" borderId="0" xfId="1" applyAlignment="1">
      <alignment vertical="top" wrapText="1"/>
    </xf>
    <xf numFmtId="0" fontId="9" fillId="0" borderId="0" xfId="1" applyFont="1" applyAlignment="1">
      <alignment vertical="top"/>
    </xf>
    <xf numFmtId="0" fontId="7" fillId="0" borderId="0" xfId="1" applyAlignment="1">
      <alignment vertical="top"/>
    </xf>
    <xf numFmtId="0" fontId="9" fillId="2" borderId="1" xfId="1" applyFont="1" applyFill="1" applyBorder="1" applyAlignment="1">
      <alignment horizontal="center" vertical="top"/>
    </xf>
    <xf numFmtId="0" fontId="7" fillId="3" borderId="1" xfId="1" applyFill="1" applyBorder="1" applyAlignment="1">
      <alignment horizontal="center" vertical="top" wrapText="1"/>
    </xf>
    <xf numFmtId="0" fontId="5" fillId="0" borderId="0" xfId="1" applyFont="1" applyAlignment="1">
      <alignment horizontal="center" vertical="top"/>
    </xf>
    <xf numFmtId="0" fontId="13" fillId="4" borderId="0" xfId="2" applyFont="1" applyFill="1">
      <alignment vertical="center"/>
    </xf>
    <xf numFmtId="0" fontId="15" fillId="4" borderId="0" xfId="2" applyFont="1" applyFill="1">
      <alignment vertical="center"/>
    </xf>
    <xf numFmtId="0" fontId="15" fillId="0" borderId="0" xfId="2" applyFont="1">
      <alignment vertical="center"/>
    </xf>
    <xf numFmtId="0" fontId="13" fillId="0" borderId="0" xfId="2" applyFont="1">
      <alignment vertical="center"/>
    </xf>
    <xf numFmtId="0" fontId="16" fillId="0" borderId="0" xfId="2" applyFont="1">
      <alignment vertical="center"/>
    </xf>
    <xf numFmtId="0" fontId="17" fillId="0" borderId="0" xfId="2" applyFont="1">
      <alignment vertical="center"/>
    </xf>
    <xf numFmtId="0" fontId="19" fillId="0" borderId="0" xfId="2" applyFont="1">
      <alignment vertical="center"/>
    </xf>
    <xf numFmtId="0" fontId="12" fillId="0" borderId="0" xfId="2">
      <alignment vertical="center"/>
    </xf>
    <xf numFmtId="178" fontId="23" fillId="5" borderId="0" xfId="3" applyNumberFormat="1" applyFont="1" applyFill="1" applyAlignment="1">
      <alignment horizontal="left" vertical="center"/>
    </xf>
    <xf numFmtId="178" fontId="23" fillId="0" borderId="0" xfId="3" applyNumberFormat="1" applyFont="1" applyAlignment="1">
      <alignment horizontal="left" vertical="center"/>
    </xf>
    <xf numFmtId="178" fontId="15" fillId="0" borderId="0" xfId="3" applyNumberFormat="1" applyFont="1" applyAlignment="1">
      <alignment horizontal="left" vertical="center"/>
    </xf>
    <xf numFmtId="178" fontId="24" fillId="0" borderId="0" xfId="3" applyNumberFormat="1" applyFont="1" applyAlignment="1">
      <alignment horizontal="left" vertical="center"/>
    </xf>
    <xf numFmtId="178" fontId="24" fillId="6" borderId="0" xfId="3" applyNumberFormat="1" applyFont="1" applyFill="1" applyAlignment="1">
      <alignment horizontal="left" vertical="center"/>
    </xf>
    <xf numFmtId="0" fontId="5" fillId="7" borderId="5" xfId="2" applyFont="1" applyFill="1" applyBorder="1" applyAlignment="1">
      <alignment horizontal="left" vertical="center" wrapText="1"/>
    </xf>
    <xf numFmtId="0" fontId="5" fillId="7" borderId="6" xfId="2" applyFont="1" applyFill="1" applyBorder="1" applyAlignment="1">
      <alignment horizontal="left" vertical="center" wrapText="1"/>
    </xf>
    <xf numFmtId="0" fontId="5" fillId="7" borderId="6" xfId="2" applyFont="1" applyFill="1" applyBorder="1" applyAlignment="1">
      <alignment horizontal="left" vertical="top" wrapText="1"/>
    </xf>
    <xf numFmtId="0" fontId="26" fillId="4" borderId="6" xfId="2" applyFont="1" applyFill="1" applyBorder="1" applyAlignment="1">
      <alignment horizontal="left" vertical="top" wrapText="1"/>
    </xf>
    <xf numFmtId="0" fontId="26" fillId="4" borderId="7" xfId="2" applyFont="1" applyFill="1" applyBorder="1" applyAlignment="1">
      <alignment horizontal="left" vertical="top" wrapText="1"/>
    </xf>
    <xf numFmtId="0" fontId="15" fillId="0" borderId="0" xfId="2" applyFont="1" applyAlignment="1">
      <alignment wrapText="1"/>
    </xf>
    <xf numFmtId="0" fontId="5" fillId="8" borderId="8" xfId="2" applyFont="1" applyFill="1" applyBorder="1" applyAlignment="1">
      <alignment vertical="center" wrapText="1"/>
    </xf>
    <xf numFmtId="0" fontId="5" fillId="8" borderId="9" xfId="2" applyFont="1" applyFill="1" applyBorder="1" applyAlignment="1">
      <alignment vertical="center" wrapText="1"/>
    </xf>
    <xf numFmtId="0" fontId="3" fillId="3" borderId="9" xfId="2" applyFont="1" applyFill="1" applyBorder="1" applyAlignment="1">
      <alignment vertical="top" wrapText="1"/>
    </xf>
    <xf numFmtId="0" fontId="27" fillId="3" borderId="9" xfId="2" applyFont="1" applyFill="1" applyBorder="1" applyAlignment="1">
      <alignment vertical="top" wrapText="1"/>
    </xf>
    <xf numFmtId="0" fontId="5" fillId="8" borderId="9" xfId="2" applyFont="1" applyFill="1" applyBorder="1" applyAlignment="1">
      <alignment vertical="top" wrapText="1"/>
    </xf>
    <xf numFmtId="0" fontId="27" fillId="8" borderId="9" xfId="2" applyFont="1" applyFill="1" applyBorder="1" applyAlignment="1">
      <alignment vertical="top" wrapText="1"/>
    </xf>
    <xf numFmtId="0" fontId="27" fillId="3" borderId="10" xfId="2" applyFont="1" applyFill="1" applyBorder="1" applyAlignment="1">
      <alignment vertical="top" wrapText="1"/>
    </xf>
    <xf numFmtId="0" fontId="5" fillId="9" borderId="11" xfId="2" applyFont="1" applyFill="1" applyBorder="1" applyAlignment="1">
      <alignment vertical="center" wrapText="1"/>
    </xf>
    <xf numFmtId="0" fontId="5" fillId="9" borderId="12" xfId="2" applyFont="1" applyFill="1" applyBorder="1" applyAlignment="1">
      <alignment vertical="center" wrapText="1"/>
    </xf>
    <xf numFmtId="0" fontId="5" fillId="9" borderId="12" xfId="2" applyFont="1" applyFill="1" applyBorder="1" applyAlignment="1">
      <alignment vertical="top" wrapText="1"/>
    </xf>
    <xf numFmtId="0" fontId="27" fillId="9" borderId="12" xfId="2" applyFont="1" applyFill="1" applyBorder="1" applyAlignment="1">
      <alignment vertical="top" wrapText="1"/>
    </xf>
    <xf numFmtId="0" fontId="3" fillId="3" borderId="12" xfId="2" applyFont="1" applyFill="1" applyBorder="1" applyAlignment="1">
      <alignment vertical="top" wrapText="1"/>
    </xf>
    <xf numFmtId="0" fontId="27" fillId="3" borderId="12" xfId="2" applyFont="1" applyFill="1" applyBorder="1" applyAlignment="1">
      <alignment vertical="top" wrapText="1"/>
    </xf>
    <xf numFmtId="0" fontId="15" fillId="3" borderId="12" xfId="2" applyFont="1" applyFill="1" applyBorder="1" applyAlignment="1">
      <alignment vertical="top" wrapText="1"/>
    </xf>
    <xf numFmtId="0" fontId="27" fillId="3" borderId="13" xfId="2" applyFont="1" applyFill="1" applyBorder="1" applyAlignment="1">
      <alignment vertical="top" wrapText="1"/>
    </xf>
    <xf numFmtId="0" fontId="5" fillId="8" borderId="11" xfId="2" applyFont="1" applyFill="1" applyBorder="1" applyAlignment="1">
      <alignment vertical="center" wrapText="1"/>
    </xf>
    <xf numFmtId="0" fontId="5" fillId="8" borderId="12" xfId="2" applyFont="1" applyFill="1" applyBorder="1" applyAlignment="1">
      <alignment vertical="center" wrapText="1"/>
    </xf>
    <xf numFmtId="0" fontId="5" fillId="8" borderId="12" xfId="2" applyFont="1" applyFill="1" applyBorder="1" applyAlignment="1">
      <alignment vertical="top" wrapText="1"/>
    </xf>
    <xf numFmtId="0" fontId="27" fillId="8" borderId="12" xfId="2" applyFont="1" applyFill="1" applyBorder="1" applyAlignment="1">
      <alignment vertical="top" wrapText="1"/>
    </xf>
    <xf numFmtId="0" fontId="27" fillId="8" borderId="13" xfId="2" applyFont="1" applyFill="1" applyBorder="1" applyAlignment="1">
      <alignment vertical="top" wrapText="1"/>
    </xf>
    <xf numFmtId="0" fontId="27" fillId="9" borderId="13" xfId="2" applyFont="1" applyFill="1" applyBorder="1" applyAlignment="1">
      <alignment vertical="top" wrapText="1"/>
    </xf>
    <xf numFmtId="0" fontId="16" fillId="3" borderId="12" xfId="2" applyFont="1" applyFill="1" applyBorder="1" applyAlignment="1">
      <alignment vertical="top" wrapText="1"/>
    </xf>
    <xf numFmtId="0" fontId="9" fillId="3" borderId="12" xfId="2" applyFont="1" applyFill="1" applyBorder="1" applyAlignment="1">
      <alignment vertical="top" wrapText="1"/>
    </xf>
    <xf numFmtId="0" fontId="15" fillId="8" borderId="12" xfId="2" applyFont="1" applyFill="1" applyBorder="1" applyAlignment="1">
      <alignment vertical="top" wrapText="1"/>
    </xf>
    <xf numFmtId="0" fontId="5" fillId="3" borderId="12" xfId="2" applyFont="1" applyFill="1" applyBorder="1" applyAlignment="1">
      <alignment vertical="top" wrapText="1"/>
    </xf>
    <xf numFmtId="0" fontId="15" fillId="9" borderId="12" xfId="2" applyFont="1" applyFill="1" applyBorder="1" applyAlignment="1">
      <alignment vertical="top" wrapText="1"/>
    </xf>
    <xf numFmtId="0" fontId="5" fillId="8" borderId="14" xfId="2" applyFont="1" applyFill="1" applyBorder="1" applyAlignment="1">
      <alignment vertical="center" wrapText="1"/>
    </xf>
    <xf numFmtId="0" fontId="5" fillId="8" borderId="15" xfId="2" applyFont="1" applyFill="1" applyBorder="1" applyAlignment="1">
      <alignment vertical="center" wrapText="1"/>
    </xf>
    <xf numFmtId="0" fontId="5" fillId="3" borderId="15" xfId="2" applyFont="1" applyFill="1" applyBorder="1" applyAlignment="1">
      <alignment vertical="top" wrapText="1"/>
    </xf>
    <xf numFmtId="0" fontId="27" fillId="3" borderId="15" xfId="2" applyFont="1" applyFill="1" applyBorder="1" applyAlignment="1">
      <alignment vertical="top" wrapText="1"/>
    </xf>
    <xf numFmtId="0" fontId="5" fillId="8" borderId="15" xfId="2" applyFont="1" applyFill="1" applyBorder="1" applyAlignment="1">
      <alignment vertical="top" wrapText="1"/>
    </xf>
    <xf numFmtId="0" fontId="27" fillId="8" borderId="15" xfId="2" applyFont="1" applyFill="1" applyBorder="1" applyAlignment="1">
      <alignment vertical="top" wrapText="1"/>
    </xf>
    <xf numFmtId="0" fontId="15" fillId="3" borderId="15" xfId="2" applyFont="1" applyFill="1" applyBorder="1" applyAlignment="1">
      <alignment vertical="top" wrapText="1"/>
    </xf>
    <xf numFmtId="0" fontId="27" fillId="3" borderId="16" xfId="2" applyFont="1" applyFill="1" applyBorder="1" applyAlignment="1">
      <alignment vertical="top" wrapText="1"/>
    </xf>
    <xf numFmtId="0" fontId="15" fillId="0" borderId="0" xfId="2" applyFont="1" applyAlignment="1">
      <alignment vertical="top" wrapText="1"/>
    </xf>
    <xf numFmtId="0" fontId="27" fillId="0" borderId="0" xfId="2" applyFont="1" applyAlignment="1">
      <alignment vertical="top" wrapText="1"/>
    </xf>
    <xf numFmtId="0" fontId="5" fillId="0" borderId="17" xfId="0" pivotButton="1" applyFont="1" applyBorder="1">
      <alignment vertical="center"/>
    </xf>
    <xf numFmtId="0" fontId="5" fillId="0" borderId="17" xfId="0" applyFont="1" applyBorder="1">
      <alignment vertical="center"/>
    </xf>
    <xf numFmtId="0" fontId="5" fillId="0" borderId="19" xfId="0" applyFont="1" applyBorder="1">
      <alignment vertical="center"/>
    </xf>
    <xf numFmtId="0" fontId="3" fillId="0" borderId="17" xfId="0" applyFont="1" applyBorder="1">
      <alignment vertical="center"/>
    </xf>
    <xf numFmtId="0" fontId="5" fillId="0" borderId="18" xfId="0" applyNumberFormat="1" applyFont="1" applyBorder="1">
      <alignment vertical="center"/>
    </xf>
    <xf numFmtId="0" fontId="5" fillId="0" borderId="21" xfId="0" applyFont="1" applyBorder="1">
      <alignment vertical="center"/>
    </xf>
    <xf numFmtId="0" fontId="5" fillId="0" borderId="20" xfId="0" applyNumberFormat="1" applyFont="1" applyBorder="1">
      <alignment vertical="center"/>
    </xf>
    <xf numFmtId="0" fontId="5" fillId="0" borderId="22" xfId="0" applyFont="1" applyBorder="1">
      <alignment vertical="center"/>
    </xf>
    <xf numFmtId="0" fontId="5" fillId="0" borderId="23" xfId="0" applyFont="1" applyBorder="1">
      <alignment vertical="center"/>
    </xf>
    <xf numFmtId="0" fontId="5" fillId="0" borderId="24" xfId="0" applyFont="1" applyBorder="1">
      <alignment vertical="center"/>
    </xf>
    <xf numFmtId="0" fontId="5" fillId="0" borderId="25" xfId="0" applyNumberFormat="1" applyFont="1" applyBorder="1">
      <alignment vertical="center"/>
    </xf>
    <xf numFmtId="0" fontId="21" fillId="0" borderId="18" xfId="0" applyFont="1" applyBorder="1" applyAlignment="1">
      <alignment horizontal="right" vertical="center"/>
    </xf>
    <xf numFmtId="0" fontId="28" fillId="4" borderId="17" xfId="0" applyFont="1" applyFill="1" applyBorder="1">
      <alignment vertical="center"/>
    </xf>
    <xf numFmtId="0" fontId="5" fillId="2" borderId="17" xfId="0" applyFont="1" applyFill="1" applyBorder="1">
      <alignment vertical="center"/>
    </xf>
    <xf numFmtId="0" fontId="5" fillId="2" borderId="19" xfId="0" applyFont="1" applyFill="1" applyBorder="1">
      <alignment vertical="center"/>
    </xf>
    <xf numFmtId="0" fontId="5" fillId="2" borderId="20" xfId="0" applyNumberFormat="1" applyFont="1" applyFill="1" applyBorder="1">
      <alignment vertical="center"/>
    </xf>
    <xf numFmtId="0" fontId="28" fillId="0" borderId="17" xfId="0" applyFont="1" applyBorder="1">
      <alignment vertical="center"/>
    </xf>
    <xf numFmtId="0" fontId="28" fillId="0" borderId="22" xfId="0" applyFont="1" applyBorder="1">
      <alignment vertical="center"/>
    </xf>
    <xf numFmtId="0" fontId="28" fillId="0" borderId="18" xfId="0" applyNumberFormat="1" applyFont="1" applyBorder="1">
      <alignment vertical="center"/>
    </xf>
    <xf numFmtId="0" fontId="3" fillId="2" borderId="18" xfId="0" applyNumberFormat="1" applyFont="1" applyFill="1" applyBorder="1">
      <alignment vertical="center"/>
    </xf>
    <xf numFmtId="14" fontId="30" fillId="0" borderId="0" xfId="5" applyNumberFormat="1" applyFont="1" applyAlignment="1">
      <alignment horizontal="left" vertical="top"/>
    </xf>
    <xf numFmtId="0" fontId="30" fillId="0" borderId="0" xfId="5" applyFont="1" applyAlignment="1">
      <alignment horizontal="left" vertical="top"/>
    </xf>
    <xf numFmtId="0" fontId="30" fillId="0" borderId="0" xfId="5" applyFont="1" applyAlignment="1">
      <alignment horizontal="left" vertical="top" wrapText="1"/>
    </xf>
    <xf numFmtId="0" fontId="30" fillId="0" borderId="0" xfId="5" applyFont="1" applyAlignment="1">
      <alignment vertical="top" wrapText="1"/>
    </xf>
    <xf numFmtId="0" fontId="30" fillId="0" borderId="0" xfId="5" applyFont="1" applyAlignment="1">
      <alignment vertical="top"/>
    </xf>
    <xf numFmtId="14" fontId="4" fillId="0" borderId="0" xfId="5" applyNumberFormat="1" applyFont="1" applyAlignment="1">
      <alignment vertical="top"/>
    </xf>
    <xf numFmtId="0" fontId="4" fillId="0" borderId="0" xfId="5" applyFont="1" applyAlignment="1">
      <alignment vertical="top"/>
    </xf>
    <xf numFmtId="0" fontId="4" fillId="0" borderId="0" xfId="5" applyFont="1" applyAlignment="1">
      <alignment vertical="top" wrapText="1"/>
    </xf>
    <xf numFmtId="0" fontId="4" fillId="0" borderId="0" xfId="5" applyFont="1" applyAlignment="1">
      <alignment horizontal="center" vertical="top"/>
    </xf>
    <xf numFmtId="0" fontId="31" fillId="0" borderId="0" xfId="5" applyFont="1" applyAlignment="1">
      <alignment vertical="top"/>
    </xf>
    <xf numFmtId="0" fontId="31" fillId="0" borderId="0" xfId="5" applyFont="1" applyAlignment="1">
      <alignment vertical="top" wrapText="1"/>
    </xf>
    <xf numFmtId="14" fontId="31" fillId="0" borderId="0" xfId="5" applyNumberFormat="1" applyFont="1" applyAlignment="1">
      <alignment vertical="top"/>
    </xf>
    <xf numFmtId="0" fontId="31" fillId="0" borderId="0" xfId="5" applyFont="1" applyAlignment="1">
      <alignment horizontal="center" vertical="top"/>
    </xf>
    <xf numFmtId="176" fontId="32" fillId="0" borderId="0" xfId="0" applyNumberFormat="1" applyFont="1">
      <alignment vertical="center"/>
    </xf>
    <xf numFmtId="0" fontId="33" fillId="0" borderId="0" xfId="0" applyFont="1">
      <alignment vertical="center"/>
    </xf>
    <xf numFmtId="176" fontId="26" fillId="0" borderId="0" xfId="0" applyNumberFormat="1" applyFont="1">
      <alignment vertical="center"/>
    </xf>
    <xf numFmtId="0" fontId="27" fillId="0" borderId="0" xfId="0" applyFont="1">
      <alignment vertical="center"/>
    </xf>
    <xf numFmtId="0" fontId="34" fillId="0" borderId="0" xfId="0" applyFont="1">
      <alignment vertical="center"/>
    </xf>
    <xf numFmtId="0" fontId="7" fillId="0" borderId="0" xfId="6" applyFont="1">
      <alignment vertical="center"/>
    </xf>
    <xf numFmtId="0" fontId="7" fillId="5" borderId="0" xfId="6" applyFont="1" applyFill="1">
      <alignment vertical="center"/>
    </xf>
    <xf numFmtId="0" fontId="7" fillId="10" borderId="0" xfId="6" applyFont="1" applyFill="1">
      <alignment vertical="center"/>
    </xf>
    <xf numFmtId="0" fontId="7" fillId="6" borderId="0" xfId="6" applyFont="1" applyFill="1">
      <alignment vertical="center"/>
    </xf>
    <xf numFmtId="0" fontId="5" fillId="0" borderId="0" xfId="6" applyFont="1">
      <alignment vertical="center"/>
    </xf>
    <xf numFmtId="0" fontId="5" fillId="0" borderId="0" xfId="6" applyFont="1" applyAlignment="1">
      <alignment vertical="top" wrapText="1"/>
    </xf>
    <xf numFmtId="0" fontId="38" fillId="0" borderId="0" xfId="0" applyFont="1">
      <alignment vertical="center"/>
    </xf>
    <xf numFmtId="0" fontId="8" fillId="0" borderId="0" xfId="0" applyFont="1" applyAlignment="1">
      <alignment horizontal="center" vertical="center"/>
    </xf>
    <xf numFmtId="0" fontId="5" fillId="0" borderId="0" xfId="0" applyFont="1" applyAlignment="1">
      <alignment horizontal="center" vertical="center"/>
    </xf>
    <xf numFmtId="38" fontId="5" fillId="2" borderId="0" xfId="7" applyFont="1" applyFill="1" applyBorder="1">
      <alignment vertical="center"/>
    </xf>
    <xf numFmtId="180" fontId="5" fillId="2" borderId="0" xfId="7" applyNumberFormat="1" applyFont="1" applyFill="1" applyBorder="1">
      <alignment vertical="center"/>
    </xf>
    <xf numFmtId="40" fontId="5" fillId="2" borderId="0" xfId="7" applyNumberFormat="1" applyFont="1" applyFill="1" applyBorder="1">
      <alignment vertical="center"/>
    </xf>
    <xf numFmtId="40" fontId="5" fillId="10" borderId="0" xfId="7" applyNumberFormat="1" applyFont="1" applyFill="1" applyBorder="1">
      <alignment vertical="center"/>
    </xf>
    <xf numFmtId="38" fontId="5" fillId="10" borderId="0" xfId="7" applyFont="1" applyFill="1" applyBorder="1">
      <alignment vertical="center"/>
    </xf>
    <xf numFmtId="0" fontId="5" fillId="2" borderId="0" xfId="0" applyFont="1" applyFill="1">
      <alignment vertical="center"/>
    </xf>
    <xf numFmtId="0" fontId="5" fillId="10" borderId="0" xfId="0" applyFont="1" applyFill="1">
      <alignment vertical="center"/>
    </xf>
    <xf numFmtId="0" fontId="5" fillId="0" borderId="0" xfId="1" applyFont="1">
      <alignment vertical="center"/>
    </xf>
    <xf numFmtId="181" fontId="5" fillId="2" borderId="0" xfId="1" applyNumberFormat="1" applyFont="1" applyFill="1">
      <alignment vertical="center"/>
    </xf>
    <xf numFmtId="0" fontId="5" fillId="2" borderId="0" xfId="1" applyFont="1" applyFill="1">
      <alignment vertical="center"/>
    </xf>
    <xf numFmtId="180" fontId="5" fillId="0" borderId="0" xfId="7" applyNumberFormat="1" applyFont="1" applyFill="1" applyBorder="1">
      <alignment vertical="center"/>
    </xf>
    <xf numFmtId="0" fontId="5" fillId="0" borderId="0" xfId="1" applyFont="1" applyAlignment="1">
      <alignment horizontal="left" vertical="center"/>
    </xf>
    <xf numFmtId="0" fontId="5" fillId="0" borderId="0" xfId="0" applyFont="1" applyAlignment="1">
      <alignment vertical="top" wrapText="1"/>
    </xf>
    <xf numFmtId="0" fontId="8" fillId="6" borderId="0" xfId="0" applyFont="1" applyFill="1" applyAlignment="1">
      <alignment horizontal="center" vertical="center"/>
    </xf>
    <xf numFmtId="0" fontId="5" fillId="0" borderId="0" xfId="0" quotePrefix="1" applyFont="1">
      <alignment vertical="center"/>
    </xf>
    <xf numFmtId="0" fontId="8" fillId="11" borderId="0" xfId="0" applyFont="1" applyFill="1" applyAlignment="1">
      <alignment horizontal="center" vertical="center"/>
    </xf>
    <xf numFmtId="0" fontId="39" fillId="2" borderId="0" xfId="0" applyFont="1" applyFill="1">
      <alignment vertical="center"/>
    </xf>
    <xf numFmtId="0" fontId="8" fillId="12" borderId="0" xfId="0" applyFont="1" applyFill="1" applyAlignment="1">
      <alignment horizontal="center" vertical="center"/>
    </xf>
    <xf numFmtId="0" fontId="5" fillId="0" borderId="1" xfId="0" applyFont="1" applyBorder="1" applyAlignment="1">
      <alignment horizontal="center" vertical="center"/>
    </xf>
    <xf numFmtId="0" fontId="5" fillId="0" borderId="1" xfId="0" quotePrefix="1" applyFont="1" applyBorder="1" applyAlignment="1">
      <alignment horizontal="center" vertical="center"/>
    </xf>
    <xf numFmtId="0" fontId="5" fillId="6" borderId="1" xfId="0" applyFont="1" applyFill="1" applyBorder="1" applyAlignment="1">
      <alignment horizontal="center" vertical="center"/>
    </xf>
    <xf numFmtId="38" fontId="5" fillId="0" borderId="1" xfId="7" applyFont="1" applyFill="1" applyBorder="1" applyAlignment="1">
      <alignment horizontal="center" vertical="center"/>
    </xf>
    <xf numFmtId="180" fontId="5" fillId="0" borderId="1" xfId="7" applyNumberFormat="1" applyFont="1" applyFill="1" applyBorder="1" applyAlignment="1">
      <alignment horizontal="center" vertical="center"/>
    </xf>
    <xf numFmtId="40" fontId="5" fillId="13" borderId="1" xfId="7" applyNumberFormat="1" applyFont="1" applyFill="1" applyBorder="1" applyAlignment="1">
      <alignment horizontal="center" vertical="center"/>
    </xf>
    <xf numFmtId="38" fontId="5" fillId="13" borderId="1" xfId="7" applyFont="1" applyFill="1" applyBorder="1" applyAlignment="1">
      <alignment horizontal="center" vertical="center"/>
    </xf>
    <xf numFmtId="40" fontId="5" fillId="6" borderId="1" xfId="7" applyNumberFormat="1" applyFont="1" applyFill="1" applyBorder="1" applyAlignment="1">
      <alignment horizontal="center" vertical="center"/>
    </xf>
    <xf numFmtId="38" fontId="5" fillId="6" borderId="1" xfId="7" applyFont="1" applyFill="1" applyBorder="1" applyAlignment="1">
      <alignment horizontal="center" vertical="center"/>
    </xf>
    <xf numFmtId="0" fontId="5" fillId="14" borderId="1" xfId="0" applyFont="1" applyFill="1" applyBorder="1" applyAlignment="1">
      <alignment horizontal="center" vertical="center"/>
    </xf>
    <xf numFmtId="0" fontId="5" fillId="0" borderId="1" xfId="0" applyFont="1" applyBorder="1">
      <alignment vertical="center"/>
    </xf>
    <xf numFmtId="0" fontId="5" fillId="13" borderId="1" xfId="0" applyFont="1" applyFill="1" applyBorder="1" applyAlignment="1">
      <alignment horizontal="center" vertical="center"/>
    </xf>
    <xf numFmtId="0" fontId="5" fillId="15" borderId="1" xfId="0" applyFont="1" applyFill="1" applyBorder="1" applyAlignment="1">
      <alignment horizontal="center" vertical="center"/>
    </xf>
    <xf numFmtId="181" fontId="5" fillId="15" borderId="1" xfId="0" applyNumberFormat="1" applyFont="1" applyFill="1" applyBorder="1" applyAlignment="1">
      <alignment horizontal="center" vertical="center"/>
    </xf>
    <xf numFmtId="0" fontId="5" fillId="16" borderId="1" xfId="0" applyFont="1" applyFill="1" applyBorder="1" applyAlignment="1">
      <alignment horizontal="center" vertical="center"/>
    </xf>
    <xf numFmtId="180" fontId="39" fillId="13" borderId="1" xfId="7" applyNumberFormat="1" applyFont="1" applyFill="1" applyBorder="1" applyAlignment="1">
      <alignment horizontal="center" vertical="center"/>
    </xf>
    <xf numFmtId="0" fontId="5" fillId="0" borderId="1" xfId="0" applyFont="1" applyBorder="1" applyAlignment="1">
      <alignment horizontal="center" vertical="top" wrapText="1"/>
    </xf>
    <xf numFmtId="0" fontId="38" fillId="0" borderId="1" xfId="0" applyFont="1" applyBorder="1">
      <alignment vertical="center"/>
    </xf>
    <xf numFmtId="0" fontId="38" fillId="17" borderId="1" xfId="0" applyFont="1" applyFill="1" applyBorder="1" applyAlignment="1">
      <alignment horizontal="center" vertical="center"/>
    </xf>
    <xf numFmtId="0" fontId="38" fillId="6" borderId="1" xfId="0" applyFont="1" applyFill="1" applyBorder="1">
      <alignment vertical="center"/>
    </xf>
    <xf numFmtId="38" fontId="38" fillId="0" borderId="1" xfId="7" applyFont="1" applyBorder="1" applyAlignment="1">
      <alignment vertical="center"/>
    </xf>
    <xf numFmtId="180" fontId="38" fillId="6" borderId="1" xfId="7" applyNumberFormat="1" applyFont="1" applyFill="1" applyBorder="1" applyAlignment="1">
      <alignment vertical="center"/>
    </xf>
    <xf numFmtId="0" fontId="11" fillId="0" borderId="1" xfId="0" applyFont="1" applyBorder="1">
      <alignment vertical="center"/>
    </xf>
    <xf numFmtId="0" fontId="11" fillId="6" borderId="1" xfId="0" applyFont="1" applyFill="1" applyBorder="1">
      <alignment vertical="center"/>
    </xf>
    <xf numFmtId="40" fontId="38" fillId="13" borderId="1" xfId="7" applyNumberFormat="1" applyFont="1" applyFill="1" applyBorder="1" applyAlignment="1">
      <alignment vertical="center"/>
    </xf>
    <xf numFmtId="40" fontId="38" fillId="6" borderId="1" xfId="7" applyNumberFormat="1" applyFont="1" applyFill="1" applyBorder="1" applyAlignment="1">
      <alignment vertical="center"/>
    </xf>
    <xf numFmtId="38" fontId="38" fillId="13" borderId="1" xfId="7" applyFont="1" applyFill="1" applyBorder="1" applyAlignment="1">
      <alignment vertical="center"/>
    </xf>
    <xf numFmtId="38" fontId="38" fillId="6" borderId="1" xfId="7" applyFont="1" applyFill="1" applyBorder="1" applyAlignment="1">
      <alignment vertical="center"/>
    </xf>
    <xf numFmtId="0" fontId="38" fillId="14" borderId="1" xfId="0" applyFont="1" applyFill="1" applyBorder="1">
      <alignment vertical="center"/>
    </xf>
    <xf numFmtId="0" fontId="38" fillId="13" borderId="1" xfId="0" applyFont="1" applyFill="1" applyBorder="1">
      <alignment vertical="center"/>
    </xf>
    <xf numFmtId="0" fontId="38" fillId="15" borderId="1" xfId="0" applyFont="1" applyFill="1" applyBorder="1">
      <alignment vertical="center"/>
    </xf>
    <xf numFmtId="181" fontId="38" fillId="15" borderId="1" xfId="0" applyNumberFormat="1" applyFont="1" applyFill="1" applyBorder="1">
      <alignment vertical="center"/>
    </xf>
    <xf numFmtId="0" fontId="38" fillId="16" borderId="1" xfId="0" applyFont="1" applyFill="1" applyBorder="1">
      <alignment vertical="center"/>
    </xf>
    <xf numFmtId="180" fontId="40" fillId="13" borderId="1" xfId="7" applyNumberFormat="1" applyFont="1" applyFill="1" applyBorder="1" applyAlignment="1">
      <alignment vertical="center"/>
    </xf>
    <xf numFmtId="0" fontId="38" fillId="0" borderId="1" xfId="0" applyFont="1" applyBorder="1" applyAlignment="1">
      <alignment vertical="top"/>
    </xf>
    <xf numFmtId="182" fontId="38" fillId="0" borderId="0" xfId="0" applyNumberFormat="1" applyFont="1" applyAlignment="1">
      <alignment horizontal="center" vertical="center"/>
    </xf>
    <xf numFmtId="38" fontId="5" fillId="0" borderId="0" xfId="7" applyFont="1" applyFill="1" applyBorder="1" applyAlignment="1">
      <alignment horizontal="center" vertical="center"/>
    </xf>
    <xf numFmtId="180" fontId="5" fillId="0" borderId="0" xfId="7" applyNumberFormat="1" applyFont="1" applyFill="1" applyBorder="1" applyAlignment="1">
      <alignment horizontal="center" vertical="center"/>
    </xf>
    <xf numFmtId="0" fontId="5" fillId="0" borderId="0" xfId="0" quotePrefix="1" applyFont="1" applyAlignment="1">
      <alignment horizontal="center" vertical="center"/>
    </xf>
    <xf numFmtId="40" fontId="5" fillId="0" borderId="0" xfId="7" applyNumberFormat="1" applyFont="1" applyFill="1" applyBorder="1" applyAlignment="1">
      <alignment horizontal="center" vertical="center"/>
    </xf>
    <xf numFmtId="0" fontId="5" fillId="10" borderId="0" xfId="0" applyFont="1" applyFill="1" applyAlignment="1">
      <alignment horizontal="center" vertical="center"/>
    </xf>
    <xf numFmtId="181" fontId="5" fillId="0" borderId="0" xfId="0" applyNumberFormat="1" applyFont="1" applyAlignment="1">
      <alignment horizontal="center" vertical="center"/>
    </xf>
    <xf numFmtId="0" fontId="39" fillId="6" borderId="0" xfId="0" applyFont="1" applyFill="1" applyAlignment="1">
      <alignment horizontal="center" vertical="center"/>
    </xf>
    <xf numFmtId="0" fontId="5" fillId="6" borderId="0" xfId="0" applyFont="1" applyFill="1" applyAlignment="1">
      <alignment horizontal="center" vertical="center"/>
    </xf>
    <xf numFmtId="0" fontId="5" fillId="0" borderId="0" xfId="0" applyFont="1" applyAlignment="1">
      <alignment horizontal="center" vertical="center" wrapText="1"/>
    </xf>
    <xf numFmtId="0" fontId="5" fillId="0" borderId="0" xfId="0" applyFont="1" applyAlignment="1">
      <alignment vertical="center" wrapText="1"/>
    </xf>
    <xf numFmtId="0" fontId="5" fillId="10" borderId="0" xfId="0" quotePrefix="1" applyFont="1" applyFill="1" applyAlignment="1">
      <alignment horizontal="center" vertical="center"/>
    </xf>
    <xf numFmtId="14" fontId="5" fillId="0" borderId="0" xfId="0" applyNumberFormat="1" applyFont="1" applyAlignment="1">
      <alignment horizontal="center" vertical="center"/>
    </xf>
    <xf numFmtId="0" fontId="5" fillId="0" borderId="0" xfId="1" applyFont="1" applyAlignment="1">
      <alignment horizontal="center" vertical="center"/>
    </xf>
    <xf numFmtId="3" fontId="5" fillId="0" borderId="0" xfId="0" quotePrefix="1" applyNumberFormat="1" applyFont="1" applyAlignment="1">
      <alignment horizontal="center" vertical="center"/>
    </xf>
    <xf numFmtId="0" fontId="5" fillId="18" borderId="0" xfId="0" applyFont="1" applyFill="1" applyAlignment="1">
      <alignment vertical="top" wrapText="1"/>
    </xf>
    <xf numFmtId="0" fontId="6" fillId="14" borderId="0" xfId="0" applyFont="1" applyFill="1">
      <alignment vertical="center"/>
    </xf>
    <xf numFmtId="0" fontId="41" fillId="0" borderId="0" xfId="2" applyFont="1" applyAlignment="1">
      <alignment horizontal="center"/>
    </xf>
    <xf numFmtId="0" fontId="5" fillId="18" borderId="0" xfId="0" applyFont="1" applyFill="1" applyAlignment="1">
      <alignment horizontal="center" vertical="center"/>
    </xf>
    <xf numFmtId="0" fontId="6" fillId="14" borderId="0" xfId="0" applyFont="1" applyFill="1" applyAlignment="1">
      <alignment horizontal="center" vertical="center"/>
    </xf>
    <xf numFmtId="0" fontId="5" fillId="17" borderId="0" xfId="0" applyFont="1" applyFill="1">
      <alignment vertical="center"/>
    </xf>
    <xf numFmtId="0" fontId="5" fillId="19" borderId="0" xfId="0" applyFont="1" applyFill="1">
      <alignment vertical="center"/>
    </xf>
    <xf numFmtId="181" fontId="42" fillId="0" borderId="0" xfId="0" applyNumberFormat="1" applyFont="1" applyAlignment="1">
      <alignment horizontal="center" vertical="center"/>
    </xf>
    <xf numFmtId="38" fontId="5" fillId="0" borderId="0" xfId="7" applyFont="1" applyBorder="1" applyAlignment="1">
      <alignment horizontal="center" vertical="center"/>
    </xf>
    <xf numFmtId="180" fontId="5" fillId="0" borderId="0" xfId="7" applyNumberFormat="1" applyFont="1" applyBorder="1" applyAlignment="1">
      <alignment horizontal="center" vertical="center"/>
    </xf>
    <xf numFmtId="40" fontId="5" fillId="0" borderId="0" xfId="7" applyNumberFormat="1" applyFont="1" applyBorder="1" applyAlignment="1">
      <alignment horizontal="center" vertical="center"/>
    </xf>
    <xf numFmtId="0" fontId="6" fillId="0" borderId="0" xfId="0" applyFont="1">
      <alignment vertical="center"/>
    </xf>
    <xf numFmtId="38" fontId="5" fillId="10" borderId="0" xfId="7" applyFont="1" applyFill="1" applyBorder="1" applyAlignment="1">
      <alignment horizontal="center" vertical="center"/>
    </xf>
    <xf numFmtId="180" fontId="5" fillId="10" borderId="0" xfId="7" applyNumberFormat="1" applyFont="1" applyFill="1" applyBorder="1" applyAlignment="1">
      <alignment horizontal="center" vertical="center"/>
    </xf>
    <xf numFmtId="182" fontId="38" fillId="20" borderId="0" xfId="0" applyNumberFormat="1" applyFont="1" applyFill="1" applyAlignment="1">
      <alignment horizontal="center" vertical="center"/>
    </xf>
    <xf numFmtId="0" fontId="5" fillId="20" borderId="0" xfId="0" applyFont="1" applyFill="1">
      <alignment vertical="center"/>
    </xf>
    <xf numFmtId="0" fontId="5" fillId="20" borderId="0" xfId="0" applyFont="1" applyFill="1" applyAlignment="1">
      <alignment horizontal="center" vertical="center"/>
    </xf>
    <xf numFmtId="0" fontId="5" fillId="21" borderId="0" xfId="0" applyFont="1" applyFill="1" applyAlignment="1">
      <alignment horizontal="center" vertical="center"/>
    </xf>
    <xf numFmtId="38" fontId="5" fillId="20" borderId="0" xfId="7" applyFont="1" applyFill="1" applyBorder="1" applyAlignment="1">
      <alignment horizontal="center" vertical="center"/>
    </xf>
    <xf numFmtId="180" fontId="5" fillId="20" borderId="0" xfId="7" applyNumberFormat="1" applyFont="1" applyFill="1" applyBorder="1" applyAlignment="1">
      <alignment horizontal="center" vertical="center"/>
    </xf>
    <xf numFmtId="0" fontId="5" fillId="20" borderId="0" xfId="0" quotePrefix="1" applyFont="1" applyFill="1" applyAlignment="1">
      <alignment horizontal="center" vertical="center"/>
    </xf>
    <xf numFmtId="40" fontId="5" fillId="20" borderId="0" xfId="7" applyNumberFormat="1" applyFont="1" applyFill="1" applyBorder="1" applyAlignment="1">
      <alignment horizontal="center" vertical="center"/>
    </xf>
    <xf numFmtId="181" fontId="5" fillId="20" borderId="0" xfId="0" applyNumberFormat="1" applyFont="1" applyFill="1" applyAlignment="1">
      <alignment horizontal="center" vertical="center"/>
    </xf>
    <xf numFmtId="0" fontId="5" fillId="20" borderId="0" xfId="0" applyFont="1" applyFill="1" applyAlignment="1">
      <alignment vertical="top" wrapText="1"/>
    </xf>
    <xf numFmtId="0" fontId="27" fillId="0" borderId="0" xfId="0" applyFont="1" applyAlignment="1">
      <alignment horizontal="center" vertical="center"/>
    </xf>
    <xf numFmtId="40" fontId="5" fillId="10" borderId="0" xfId="7" applyNumberFormat="1" applyFont="1" applyFill="1" applyBorder="1" applyAlignment="1">
      <alignment horizontal="center" vertical="center"/>
    </xf>
    <xf numFmtId="0" fontId="39" fillId="0" borderId="0" xfId="0" applyFont="1">
      <alignment vertical="center"/>
    </xf>
    <xf numFmtId="0" fontId="39" fillId="0" borderId="0" xfId="0" applyFont="1" applyAlignment="1">
      <alignment horizontal="center" vertical="center"/>
    </xf>
    <xf numFmtId="14" fontId="39" fillId="0" borderId="0" xfId="0" applyNumberFormat="1" applyFont="1" applyAlignment="1">
      <alignment horizontal="center" vertical="center"/>
    </xf>
    <xf numFmtId="0" fontId="39" fillId="0" borderId="0" xfId="0" applyFont="1" applyAlignment="1">
      <alignment vertical="top" wrapText="1"/>
    </xf>
    <xf numFmtId="0" fontId="5" fillId="22" borderId="0" xfId="0" applyFont="1" applyFill="1" applyAlignment="1">
      <alignment horizontal="center" vertical="center"/>
    </xf>
    <xf numFmtId="181" fontId="5" fillId="10" borderId="0" xfId="0" applyNumberFormat="1" applyFont="1" applyFill="1" applyAlignment="1">
      <alignment horizontal="center" vertical="center"/>
    </xf>
    <xf numFmtId="177" fontId="5" fillId="0" borderId="0" xfId="0" applyNumberFormat="1" applyFont="1" applyAlignment="1">
      <alignment horizontal="center" vertical="center"/>
    </xf>
    <xf numFmtId="182" fontId="11" fillId="14" borderId="0" xfId="0" applyNumberFormat="1" applyFont="1" applyFill="1" applyAlignment="1">
      <alignment horizontal="center" vertical="center"/>
    </xf>
    <xf numFmtId="0" fontId="27" fillId="14" borderId="0" xfId="0" applyFont="1" applyFill="1">
      <alignment vertical="center"/>
    </xf>
    <xf numFmtId="0" fontId="5" fillId="14" borderId="0" xfId="0" applyFont="1" applyFill="1">
      <alignment vertical="center"/>
    </xf>
    <xf numFmtId="0" fontId="27" fillId="22" borderId="0" xfId="0" applyFont="1" applyFill="1" applyAlignment="1">
      <alignment horizontal="center" vertical="center"/>
    </xf>
    <xf numFmtId="182" fontId="38" fillId="23" borderId="0" xfId="0" applyNumberFormat="1" applyFont="1" applyFill="1" applyAlignment="1">
      <alignment horizontal="center" vertical="center"/>
    </xf>
    <xf numFmtId="0" fontId="6" fillId="19" borderId="0" xfId="0" applyFont="1" applyFill="1">
      <alignment vertical="center"/>
    </xf>
    <xf numFmtId="0" fontId="5" fillId="19" borderId="0" xfId="0" applyFont="1" applyFill="1" applyAlignment="1">
      <alignment horizontal="center" vertical="center"/>
    </xf>
    <xf numFmtId="182" fontId="38" fillId="14" borderId="0" xfId="0" applyNumberFormat="1" applyFont="1" applyFill="1" applyAlignment="1">
      <alignment horizontal="center" vertical="center"/>
    </xf>
    <xf numFmtId="40" fontId="5" fillId="0" borderId="0" xfId="7" applyNumberFormat="1" applyFont="1" applyBorder="1">
      <alignment vertical="center"/>
    </xf>
    <xf numFmtId="38" fontId="5" fillId="0" borderId="0" xfId="7" applyFont="1" applyBorder="1">
      <alignment vertical="center"/>
    </xf>
    <xf numFmtId="181" fontId="5" fillId="0" borderId="0" xfId="0" applyNumberFormat="1" applyFont="1">
      <alignment vertical="center"/>
    </xf>
    <xf numFmtId="180" fontId="5" fillId="0" borderId="0" xfId="7" applyNumberFormat="1" applyFont="1" applyBorder="1">
      <alignment vertical="center"/>
    </xf>
    <xf numFmtId="0" fontId="4" fillId="0" borderId="1" xfId="0" applyFont="1" applyBorder="1">
      <alignment vertical="center"/>
    </xf>
    <xf numFmtId="0" fontId="4" fillId="17" borderId="1" xfId="0" applyFont="1" applyFill="1" applyBorder="1" applyAlignment="1">
      <alignment vertical="center"/>
    </xf>
    <xf numFmtId="0" fontId="4" fillId="0" borderId="1" xfId="0" applyFont="1" applyBorder="1" applyAlignment="1">
      <alignment vertical="center"/>
    </xf>
    <xf numFmtId="0" fontId="4" fillId="14" borderId="1" xfId="0" applyFont="1" applyFill="1" applyBorder="1" applyAlignment="1">
      <alignment vertical="center"/>
    </xf>
    <xf numFmtId="0" fontId="43" fillId="0" borderId="0" xfId="0" applyFont="1">
      <alignment vertical="center"/>
    </xf>
    <xf numFmtId="0" fontId="4" fillId="0" borderId="0" xfId="0" applyFont="1" applyAlignment="1">
      <alignment vertical="center"/>
    </xf>
    <xf numFmtId="0" fontId="4" fillId="13" borderId="1" xfId="0" applyFont="1" applyFill="1" applyBorder="1" applyAlignment="1">
      <alignment vertical="center"/>
    </xf>
    <xf numFmtId="177" fontId="4" fillId="0" borderId="0" xfId="1" applyNumberFormat="1" applyFont="1" applyAlignment="1">
      <alignment horizontal="left" vertical="center"/>
    </xf>
    <xf numFmtId="0" fontId="4" fillId="0" borderId="0" xfId="1" applyFont="1">
      <alignment vertical="center"/>
    </xf>
    <xf numFmtId="0" fontId="44" fillId="0" borderId="0" xfId="1" applyFont="1">
      <alignment vertical="center"/>
    </xf>
    <xf numFmtId="0" fontId="4" fillId="0" borderId="0" xfId="2" applyFont="1" applyAlignment="1">
      <alignment horizontal="left" vertical="top"/>
    </xf>
    <xf numFmtId="0" fontId="31" fillId="0" borderId="0" xfId="2" applyFont="1">
      <alignment vertical="center"/>
    </xf>
    <xf numFmtId="0" fontId="44" fillId="2" borderId="1" xfId="1" applyFont="1" applyFill="1" applyBorder="1" applyAlignment="1">
      <alignment vertical="top"/>
    </xf>
    <xf numFmtId="0" fontId="4" fillId="0" borderId="0" xfId="1" applyFont="1" applyAlignment="1">
      <alignment horizontal="right" vertical="center"/>
    </xf>
    <xf numFmtId="0" fontId="4" fillId="0" borderId="2" xfId="1" applyFont="1" applyBorder="1" applyAlignment="1">
      <alignment vertical="top"/>
    </xf>
    <xf numFmtId="0" fontId="4" fillId="0" borderId="3" xfId="1" applyFont="1" applyBorder="1" applyAlignment="1">
      <alignment vertical="top"/>
    </xf>
    <xf numFmtId="0" fontId="4" fillId="0" borderId="4" xfId="1" applyFont="1" applyBorder="1">
      <alignment vertical="center"/>
    </xf>
    <xf numFmtId="0" fontId="45" fillId="0" borderId="0" xfId="1" applyFont="1">
      <alignment vertical="center"/>
    </xf>
    <xf numFmtId="0" fontId="4" fillId="2" borderId="0" xfId="6" applyFont="1" applyFill="1" applyAlignment="1">
      <alignment vertical="center" shrinkToFit="1"/>
    </xf>
    <xf numFmtId="0" fontId="46" fillId="2" borderId="0" xfId="6" applyFont="1" applyFill="1" applyAlignment="1">
      <alignment vertical="center" shrinkToFit="1"/>
    </xf>
    <xf numFmtId="0" fontId="5" fillId="5" borderId="0" xfId="6" applyFont="1" applyFill="1" applyAlignment="1">
      <alignment vertical="top" wrapText="1"/>
    </xf>
    <xf numFmtId="0" fontId="5" fillId="10" borderId="0" xfId="6" applyFont="1" applyFill="1" applyAlignment="1">
      <alignment vertical="top" wrapText="1"/>
    </xf>
    <xf numFmtId="0" fontId="5" fillId="6" borderId="0" xfId="6" applyFont="1" applyFill="1" applyAlignment="1">
      <alignment vertical="top" wrapText="1"/>
    </xf>
    <xf numFmtId="179" fontId="4" fillId="0" borderId="0" xfId="6" applyNumberFormat="1" applyFont="1">
      <alignment vertical="center"/>
    </xf>
    <xf numFmtId="0" fontId="4" fillId="5" borderId="0" xfId="6" applyFont="1" applyFill="1" applyAlignment="1">
      <alignment horizontal="center" vertical="top"/>
    </xf>
    <xf numFmtId="0" fontId="4" fillId="5" borderId="0" xfId="6" applyFont="1" applyFill="1" applyAlignment="1">
      <alignment horizontal="center" vertical="center"/>
    </xf>
    <xf numFmtId="0" fontId="4" fillId="0" borderId="0" xfId="6" applyFont="1" applyAlignment="1">
      <alignment horizontal="center" vertical="center"/>
    </xf>
    <xf numFmtId="0" fontId="4" fillId="0" borderId="0" xfId="6" applyFont="1" applyFill="1" applyAlignment="1">
      <alignment vertical="top"/>
    </xf>
    <xf numFmtId="179" fontId="4" fillId="0" borderId="0" xfId="6" applyNumberFormat="1" applyFont="1" applyAlignment="1">
      <alignment horizontal="left" vertical="top"/>
    </xf>
    <xf numFmtId="0" fontId="4" fillId="5" borderId="0" xfId="6" applyFont="1" applyFill="1" applyAlignment="1">
      <alignment horizontal="left" vertical="top"/>
    </xf>
    <xf numFmtId="0" fontId="4" fillId="0" borderId="0" xfId="6" applyFont="1" applyFill="1" applyAlignment="1">
      <alignment horizontal="left" vertical="top"/>
    </xf>
    <xf numFmtId="0" fontId="5" fillId="0" borderId="0" xfId="6" applyFont="1" applyAlignment="1">
      <alignment horizontal="left" vertical="top" wrapText="1"/>
    </xf>
    <xf numFmtId="0" fontId="4" fillId="2" borderId="0" xfId="6" applyFont="1" applyFill="1" applyAlignment="1">
      <alignment horizontal="left" vertical="top" shrinkToFit="1"/>
    </xf>
    <xf numFmtId="0" fontId="5" fillId="0" borderId="0" xfId="6" applyFont="1" applyAlignment="1">
      <alignment horizontal="left" vertical="top"/>
    </xf>
    <xf numFmtId="179" fontId="4" fillId="0" borderId="0" xfId="6" applyNumberFormat="1" applyFont="1" applyAlignment="1">
      <alignment horizontal="left" vertical="top" wrapText="1"/>
    </xf>
    <xf numFmtId="0" fontId="4" fillId="5" borderId="0" xfId="6" applyFont="1" applyFill="1" applyAlignment="1">
      <alignment horizontal="left" vertical="top" wrapText="1"/>
    </xf>
    <xf numFmtId="0" fontId="4" fillId="0" borderId="0" xfId="6" applyFont="1" applyFill="1" applyAlignment="1">
      <alignment horizontal="left" vertical="top" wrapText="1"/>
    </xf>
    <xf numFmtId="0" fontId="4" fillId="0" borderId="0" xfId="6" applyFont="1" applyFill="1" applyAlignment="1">
      <alignment horizontal="left" vertical="center"/>
    </xf>
    <xf numFmtId="0" fontId="4" fillId="0" borderId="0" xfId="6" applyFont="1" applyAlignment="1">
      <alignment horizontal="left" vertical="center"/>
    </xf>
    <xf numFmtId="0" fontId="4" fillId="0" borderId="0" xfId="0" applyFont="1" applyFill="1" applyAlignment="1">
      <alignment horizontal="center" vertical="center"/>
    </xf>
    <xf numFmtId="0" fontId="4" fillId="0" borderId="0" xfId="6" applyFont="1" applyFill="1" applyAlignment="1">
      <alignment horizontal="center" vertical="center"/>
    </xf>
    <xf numFmtId="0" fontId="47" fillId="2" borderId="0" xfId="6" applyFont="1" applyFill="1" applyAlignment="1">
      <alignment vertical="center" shrinkToFit="1"/>
    </xf>
    <xf numFmtId="0" fontId="48" fillId="2" borderId="0" xfId="6" applyFont="1" applyFill="1" applyAlignment="1">
      <alignment vertical="center" shrinkToFit="1"/>
    </xf>
    <xf numFmtId="0" fontId="4" fillId="16" borderId="0" xfId="6" applyFont="1" applyFill="1" applyAlignment="1">
      <alignment horizontal="center" vertical="center"/>
    </xf>
    <xf numFmtId="0" fontId="4" fillId="24" borderId="0" xfId="6" applyFont="1" applyFill="1" applyAlignment="1">
      <alignment horizontal="center" vertical="center"/>
    </xf>
    <xf numFmtId="0" fontId="4" fillId="6" borderId="0" xfId="6" applyFont="1" applyFill="1" applyAlignment="1">
      <alignment horizontal="center" vertical="center"/>
    </xf>
    <xf numFmtId="0" fontId="49" fillId="2" borderId="0" xfId="6" applyFont="1" applyFill="1" applyAlignment="1">
      <alignment vertical="center" shrinkToFit="1"/>
    </xf>
    <xf numFmtId="0" fontId="5" fillId="0" borderId="18" xfId="0" pivotButton="1" applyFont="1" applyBorder="1">
      <alignment vertical="center"/>
    </xf>
    <xf numFmtId="0" fontId="5" fillId="0" borderId="18" xfId="0" applyFont="1" applyBorder="1">
      <alignment vertical="center"/>
    </xf>
    <xf numFmtId="0" fontId="5" fillId="0" borderId="20" xfId="0" applyFont="1" applyBorder="1">
      <alignment vertical="center"/>
    </xf>
    <xf numFmtId="0" fontId="5" fillId="0" borderId="26" xfId="0" applyFont="1" applyBorder="1">
      <alignment vertical="center"/>
    </xf>
    <xf numFmtId="0" fontId="28" fillId="0" borderId="0" xfId="0" applyFont="1">
      <alignment vertical="center"/>
    </xf>
    <xf numFmtId="0" fontId="5" fillId="5" borderId="17" xfId="0" applyFont="1" applyFill="1" applyBorder="1">
      <alignment vertical="center"/>
    </xf>
    <xf numFmtId="0" fontId="4" fillId="0" borderId="25" xfId="0" applyFont="1" applyBorder="1" applyAlignment="1">
      <alignment horizontal="left" vertical="center"/>
    </xf>
    <xf numFmtId="0" fontId="4" fillId="0" borderId="25" xfId="0" applyFont="1" applyBorder="1">
      <alignment vertical="center"/>
    </xf>
    <xf numFmtId="0" fontId="4" fillId="0" borderId="17" xfId="0" applyFont="1" applyBorder="1">
      <alignment vertical="center"/>
    </xf>
    <xf numFmtId="0" fontId="4" fillId="0" borderId="19" xfId="0" applyFont="1" applyBorder="1">
      <alignment vertical="center"/>
    </xf>
    <xf numFmtId="0" fontId="4" fillId="0" borderId="23" xfId="0" applyFont="1" applyBorder="1">
      <alignment vertical="center"/>
    </xf>
    <xf numFmtId="0" fontId="5" fillId="16" borderId="17" xfId="0" applyFont="1" applyFill="1" applyBorder="1">
      <alignment vertical="center"/>
    </xf>
    <xf numFmtId="0" fontId="5" fillId="16" borderId="19" xfId="0" applyFont="1" applyFill="1" applyBorder="1">
      <alignment vertical="center"/>
    </xf>
    <xf numFmtId="0" fontId="4" fillId="5" borderId="25" xfId="0" applyFont="1" applyFill="1" applyBorder="1">
      <alignment vertical="center"/>
    </xf>
    <xf numFmtId="0" fontId="4" fillId="0" borderId="27" xfId="0" applyFont="1" applyBorder="1">
      <alignment vertical="center"/>
    </xf>
    <xf numFmtId="0" fontId="3" fillId="0" borderId="17" xfId="0" applyFont="1" applyFill="1" applyBorder="1">
      <alignment vertical="center"/>
    </xf>
    <xf numFmtId="0" fontId="4" fillId="10" borderId="0" xfId="6" applyFont="1" applyFill="1" applyAlignment="1">
      <alignment horizontal="left" vertical="top" wrapText="1"/>
    </xf>
    <xf numFmtId="0" fontId="5" fillId="0" borderId="17" xfId="0" applyFont="1" applyFill="1" applyBorder="1">
      <alignment vertical="center"/>
    </xf>
    <xf numFmtId="0" fontId="5" fillId="5" borderId="18" xfId="0" applyFont="1" applyFill="1" applyBorder="1">
      <alignment vertical="center"/>
    </xf>
    <xf numFmtId="179" fontId="4" fillId="16" borderId="0" xfId="6" applyNumberFormat="1" applyFont="1" applyFill="1" applyAlignment="1">
      <alignment horizontal="left" vertical="top"/>
    </xf>
    <xf numFmtId="179" fontId="4" fillId="16" borderId="0" xfId="6" applyNumberFormat="1" applyFont="1" applyFill="1" applyAlignment="1">
      <alignment horizontal="left" vertical="top" wrapText="1"/>
    </xf>
    <xf numFmtId="179" fontId="4" fillId="16" borderId="0" xfId="6" applyNumberFormat="1" applyFont="1" applyFill="1">
      <alignment vertical="center"/>
    </xf>
    <xf numFmtId="0" fontId="50" fillId="0" borderId="0" xfId="0" applyFont="1">
      <alignment vertical="center"/>
    </xf>
    <xf numFmtId="176" fontId="51" fillId="0" borderId="0" xfId="0" applyNumberFormat="1" applyFont="1">
      <alignment vertical="center"/>
    </xf>
    <xf numFmtId="0" fontId="4" fillId="16" borderId="0" xfId="6" applyFont="1" applyFill="1" applyAlignment="1">
      <alignment horizontal="left" vertical="top" wrapText="1"/>
    </xf>
    <xf numFmtId="0" fontId="4" fillId="0" borderId="25" xfId="0" applyFont="1" applyFill="1" applyBorder="1">
      <alignment vertical="center"/>
    </xf>
    <xf numFmtId="0" fontId="0" fillId="0" borderId="0" xfId="0" applyAlignment="1">
      <alignment vertical="center"/>
    </xf>
    <xf numFmtId="0" fontId="52" fillId="0" borderId="0" xfId="6" applyFont="1" applyAlignment="1">
      <alignment horizontal="left" vertical="top"/>
    </xf>
    <xf numFmtId="0" fontId="52" fillId="0" borderId="0" xfId="6" applyFont="1" applyAlignment="1">
      <alignment horizontal="left" vertical="top" wrapText="1"/>
    </xf>
    <xf numFmtId="0" fontId="52" fillId="0" borderId="0" xfId="6" applyFont="1">
      <alignment vertical="center"/>
    </xf>
    <xf numFmtId="0" fontId="4" fillId="0" borderId="17" xfId="0" pivotButton="1" applyFont="1" applyBorder="1" applyAlignment="1">
      <alignment vertical="center" wrapText="1"/>
    </xf>
    <xf numFmtId="0" fontId="4" fillId="0" borderId="18" xfId="0" pivotButton="1" applyFont="1" applyBorder="1" applyAlignment="1">
      <alignment vertical="center" wrapText="1"/>
    </xf>
    <xf numFmtId="0" fontId="4" fillId="0" borderId="0" xfId="0" applyFont="1" applyAlignment="1">
      <alignment vertical="center" wrapText="1"/>
    </xf>
    <xf numFmtId="0" fontId="4" fillId="0" borderId="17" xfId="0" applyFont="1" applyBorder="1" applyAlignment="1">
      <alignment vertical="center" shrinkToFit="1"/>
    </xf>
    <xf numFmtId="0" fontId="4" fillId="0" borderId="23" xfId="0" applyFont="1" applyBorder="1" applyAlignment="1">
      <alignment vertical="center" shrinkToFit="1"/>
    </xf>
    <xf numFmtId="0" fontId="4" fillId="0" borderId="18" xfId="0" applyFont="1" applyBorder="1" applyAlignment="1">
      <alignment vertical="center" shrinkToFit="1"/>
    </xf>
    <xf numFmtId="0" fontId="4" fillId="0" borderId="25" xfId="0" applyFont="1" applyBorder="1" applyAlignment="1">
      <alignment vertical="center" shrinkToFit="1"/>
    </xf>
    <xf numFmtId="0" fontId="4" fillId="0" borderId="19" xfId="0" applyFont="1" applyBorder="1" applyAlignment="1">
      <alignment vertical="center" shrinkToFit="1"/>
    </xf>
    <xf numFmtId="0" fontId="5" fillId="0" borderId="0" xfId="6" applyFont="1" applyFill="1" applyAlignment="1">
      <alignment vertical="top" wrapText="1"/>
    </xf>
    <xf numFmtId="0" fontId="5" fillId="0" borderId="0" xfId="0" applyFont="1" applyFill="1" applyAlignment="1">
      <alignment vertical="top" wrapText="1"/>
    </xf>
    <xf numFmtId="0" fontId="4" fillId="0" borderId="0" xfId="6" applyFont="1" applyFill="1" applyAlignment="1">
      <alignment vertical="top" wrapText="1"/>
    </xf>
    <xf numFmtId="0" fontId="38" fillId="5" borderId="0" xfId="6" applyFont="1" applyFill="1" applyAlignment="1">
      <alignment horizontal="left" vertical="top" wrapText="1"/>
    </xf>
    <xf numFmtId="0" fontId="53" fillId="0" borderId="0" xfId="6" applyFont="1">
      <alignment vertical="center"/>
    </xf>
    <xf numFmtId="183" fontId="54" fillId="0" borderId="0" xfId="6" applyNumberFormat="1" applyFont="1" applyAlignment="1">
      <alignment horizontal="left" vertical="center"/>
    </xf>
    <xf numFmtId="0" fontId="7" fillId="0" borderId="0" xfId="6" quotePrefix="1" applyFont="1">
      <alignment vertical="center"/>
    </xf>
    <xf numFmtId="0" fontId="56" fillId="0" borderId="0" xfId="6" applyFont="1">
      <alignment vertical="center"/>
    </xf>
    <xf numFmtId="56" fontId="5" fillId="0" borderId="0" xfId="6" applyNumberFormat="1" applyFont="1" applyAlignment="1">
      <alignment vertical="top" wrapText="1"/>
    </xf>
    <xf numFmtId="179" fontId="43" fillId="0" borderId="0" xfId="0" applyNumberFormat="1" applyFont="1">
      <alignment vertical="center"/>
    </xf>
    <xf numFmtId="0" fontId="5" fillId="0" borderId="28" xfId="0" applyFont="1" applyBorder="1">
      <alignment vertical="center"/>
    </xf>
    <xf numFmtId="0" fontId="5" fillId="0" borderId="17" xfId="0" applyNumberFormat="1" applyFont="1" applyBorder="1">
      <alignment vertical="center"/>
    </xf>
    <xf numFmtId="0" fontId="5" fillId="0" borderId="28" xfId="0" applyNumberFormat="1" applyFont="1" applyBorder="1">
      <alignment vertical="center"/>
    </xf>
    <xf numFmtId="0" fontId="5" fillId="0" borderId="21" xfId="0" applyNumberFormat="1" applyFont="1" applyBorder="1">
      <alignment vertical="center"/>
    </xf>
    <xf numFmtId="0" fontId="5" fillId="0" borderId="29" xfId="0" applyNumberFormat="1" applyFont="1" applyBorder="1">
      <alignment vertical="center"/>
    </xf>
    <xf numFmtId="0" fontId="5" fillId="0" borderId="23" xfId="0" applyNumberFormat="1" applyFont="1" applyBorder="1">
      <alignment vertical="center"/>
    </xf>
    <xf numFmtId="0" fontId="5" fillId="0" borderId="30" xfId="0" applyNumberFormat="1" applyFont="1" applyBorder="1">
      <alignment vertical="center"/>
    </xf>
    <xf numFmtId="0" fontId="4" fillId="0" borderId="0" xfId="0" applyFont="1">
      <alignment vertical="center"/>
    </xf>
    <xf numFmtId="0" fontId="57" fillId="0" borderId="0" xfId="0" applyFont="1">
      <alignment vertical="center"/>
    </xf>
    <xf numFmtId="0" fontId="44" fillId="16" borderId="0" xfId="0" applyFont="1" applyFill="1">
      <alignment vertical="center"/>
    </xf>
    <xf numFmtId="0" fontId="44" fillId="0" borderId="0" xfId="0" applyFont="1">
      <alignment vertical="center"/>
    </xf>
    <xf numFmtId="0" fontId="4" fillId="0" borderId="0" xfId="0" applyFont="1" applyAlignment="1">
      <alignment horizontal="left" vertical="center" indent="1"/>
    </xf>
    <xf numFmtId="0" fontId="44" fillId="0" borderId="0" xfId="0" applyFont="1" applyAlignment="1">
      <alignment horizontal="left" vertical="center" indent="1"/>
    </xf>
    <xf numFmtId="0" fontId="4" fillId="0" borderId="0" xfId="0" applyFont="1" applyAlignment="1">
      <alignment horizontal="left" vertical="center" indent="2"/>
    </xf>
    <xf numFmtId="0" fontId="4" fillId="0" borderId="0" xfId="0" applyFont="1" applyAlignment="1">
      <alignment wrapText="1"/>
    </xf>
    <xf numFmtId="0" fontId="57" fillId="0" borderId="0" xfId="0" applyFont="1" applyAlignment="1"/>
    <xf numFmtId="0" fontId="4" fillId="0" borderId="0" xfId="0" applyFont="1" applyAlignment="1"/>
    <xf numFmtId="0" fontId="4" fillId="0" borderId="17" xfId="0" applyFont="1" applyBorder="1" applyAlignment="1">
      <alignment vertical="top" wrapText="1"/>
    </xf>
    <xf numFmtId="0" fontId="4" fillId="0" borderId="18" xfId="0" applyFont="1" applyBorder="1" applyAlignment="1">
      <alignment vertical="top" wrapText="1"/>
    </xf>
    <xf numFmtId="0" fontId="58" fillId="0" borderId="0" xfId="0" applyFont="1">
      <alignment vertical="center"/>
    </xf>
    <xf numFmtId="0" fontId="44" fillId="0" borderId="0" xfId="0" applyFont="1" applyAlignment="1"/>
    <xf numFmtId="176" fontId="4" fillId="25" borderId="0" xfId="0" applyNumberFormat="1" applyFont="1" applyFill="1">
      <alignment vertical="center"/>
    </xf>
    <xf numFmtId="0" fontId="49" fillId="0" borderId="0" xfId="0" applyFont="1" applyAlignment="1">
      <alignment vertical="center"/>
    </xf>
    <xf numFmtId="0" fontId="59" fillId="0" borderId="0" xfId="0" applyFont="1">
      <alignment vertical="center"/>
    </xf>
    <xf numFmtId="0" fontId="60" fillId="0" borderId="0" xfId="0" applyFont="1">
      <alignment vertical="center"/>
    </xf>
    <xf numFmtId="0" fontId="5" fillId="0" borderId="31" xfId="0" applyFont="1" applyBorder="1">
      <alignment vertical="center"/>
    </xf>
    <xf numFmtId="0" fontId="5" fillId="0" borderId="27" xfId="0" applyFont="1" applyBorder="1">
      <alignment vertical="center"/>
    </xf>
    <xf numFmtId="0" fontId="5" fillId="0" borderId="31" xfId="0" applyNumberFormat="1" applyFont="1" applyBorder="1">
      <alignment vertical="center"/>
    </xf>
    <xf numFmtId="0" fontId="5" fillId="0" borderId="0" xfId="0" applyNumberFormat="1" applyFont="1">
      <alignment vertical="center"/>
    </xf>
    <xf numFmtId="0" fontId="5" fillId="0" borderId="32" xfId="0" applyNumberFormat="1" applyFont="1" applyBorder="1">
      <alignment vertical="center"/>
    </xf>
    <xf numFmtId="179" fontId="43" fillId="0" borderId="1" xfId="0" applyNumberFormat="1" applyFont="1" applyBorder="1">
      <alignment vertical="center"/>
    </xf>
    <xf numFmtId="0" fontId="43" fillId="0" borderId="1" xfId="0" applyFont="1" applyBorder="1">
      <alignment vertical="center"/>
    </xf>
    <xf numFmtId="0" fontId="43" fillId="5" borderId="0" xfId="0" applyFont="1" applyFill="1">
      <alignment vertical="center"/>
    </xf>
    <xf numFmtId="0" fontId="27" fillId="5" borderId="0" xfId="0" applyFont="1" applyFill="1">
      <alignment vertical="center"/>
    </xf>
    <xf numFmtId="0" fontId="59" fillId="0" borderId="0" xfId="0" applyFont="1" applyFill="1">
      <alignment vertical="center"/>
    </xf>
    <xf numFmtId="0" fontId="43" fillId="0" borderId="0" xfId="0" applyFont="1" applyFill="1">
      <alignment vertical="center"/>
    </xf>
    <xf numFmtId="0" fontId="60" fillId="0" borderId="17" xfId="0" applyFont="1" applyBorder="1">
      <alignment vertical="center"/>
    </xf>
    <xf numFmtId="179" fontId="43" fillId="3" borderId="0" xfId="0" applyNumberFormat="1" applyFont="1" applyFill="1">
      <alignment vertical="center"/>
    </xf>
    <xf numFmtId="0" fontId="43" fillId="3" borderId="0" xfId="0" applyFont="1" applyFill="1">
      <alignment vertical="center"/>
    </xf>
    <xf numFmtId="0" fontId="5" fillId="0" borderId="25" xfId="0" applyFont="1" applyBorder="1">
      <alignment vertical="center"/>
    </xf>
    <xf numFmtId="0" fontId="60" fillId="0" borderId="17" xfId="0" applyNumberFormat="1" applyFont="1" applyBorder="1">
      <alignment vertical="center"/>
    </xf>
    <xf numFmtId="0" fontId="60" fillId="0" borderId="31" xfId="0" applyNumberFormat="1" applyFont="1" applyBorder="1">
      <alignment vertical="center"/>
    </xf>
    <xf numFmtId="0" fontId="60" fillId="0" borderId="28" xfId="0" applyNumberFormat="1" applyFont="1" applyBorder="1">
      <alignment vertical="center"/>
    </xf>
    <xf numFmtId="0" fontId="28" fillId="5" borderId="17" xfId="0" applyFont="1" applyFill="1" applyBorder="1">
      <alignment vertical="center"/>
    </xf>
    <xf numFmtId="0" fontId="28" fillId="16" borderId="17" xfId="0" applyFont="1" applyFill="1" applyBorder="1">
      <alignment vertical="center"/>
    </xf>
    <xf numFmtId="0" fontId="5" fillId="19" borderId="17" xfId="0" applyFont="1" applyFill="1" applyBorder="1">
      <alignment vertical="center"/>
    </xf>
    <xf numFmtId="0" fontId="5" fillId="19" borderId="19" xfId="0" applyFont="1" applyFill="1" applyBorder="1">
      <alignment vertical="center"/>
    </xf>
    <xf numFmtId="0" fontId="5" fillId="4" borderId="17" xfId="0" applyFont="1" applyFill="1" applyBorder="1">
      <alignment vertical="center"/>
    </xf>
    <xf numFmtId="0" fontId="5" fillId="4" borderId="19" xfId="0" applyFont="1" applyFill="1" applyBorder="1">
      <alignment vertical="center"/>
    </xf>
    <xf numFmtId="176" fontId="4" fillId="4" borderId="0" xfId="0" applyNumberFormat="1" applyFont="1" applyFill="1">
      <alignment vertical="center"/>
    </xf>
    <xf numFmtId="179" fontId="43" fillId="4" borderId="0" xfId="0" applyNumberFormat="1" applyFont="1" applyFill="1">
      <alignment vertical="center"/>
    </xf>
    <xf numFmtId="0" fontId="5" fillId="5" borderId="19" xfId="0" applyFont="1" applyFill="1" applyBorder="1">
      <alignment vertical="center"/>
    </xf>
    <xf numFmtId="0" fontId="43" fillId="19" borderId="0" xfId="0" applyFont="1" applyFill="1">
      <alignment vertical="center"/>
    </xf>
    <xf numFmtId="0" fontId="43" fillId="4" borderId="0" xfId="0" applyFont="1" applyFill="1">
      <alignment vertical="center"/>
    </xf>
    <xf numFmtId="0" fontId="5" fillId="3" borderId="17" xfId="0" applyFont="1" applyFill="1" applyBorder="1">
      <alignment vertical="center"/>
    </xf>
    <xf numFmtId="0" fontId="5" fillId="3" borderId="27" xfId="0" applyFont="1" applyFill="1" applyBorder="1">
      <alignment vertical="center"/>
    </xf>
    <xf numFmtId="0" fontId="28" fillId="0" borderId="19" xfId="0" applyFont="1" applyBorder="1">
      <alignment vertical="center"/>
    </xf>
    <xf numFmtId="0" fontId="28" fillId="0" borderId="27" xfId="0" applyFont="1" applyBorder="1">
      <alignment vertical="center"/>
    </xf>
    <xf numFmtId="0" fontId="60" fillId="0" borderId="0" xfId="0" applyFont="1" applyFill="1">
      <alignment vertical="center"/>
    </xf>
    <xf numFmtId="0" fontId="3" fillId="0" borderId="0" xfId="0" applyFont="1" applyAlignment="1">
      <alignment vertical="center"/>
    </xf>
    <xf numFmtId="0" fontId="44" fillId="2" borderId="17" xfId="0" applyFont="1" applyFill="1" applyBorder="1">
      <alignment vertical="center"/>
    </xf>
    <xf numFmtId="0" fontId="4" fillId="2" borderId="17" xfId="0" applyFont="1" applyFill="1" applyBorder="1">
      <alignment vertical="center"/>
    </xf>
    <xf numFmtId="0" fontId="4" fillId="2" borderId="18" xfId="0" applyFont="1" applyFill="1" applyBorder="1">
      <alignment vertical="center"/>
    </xf>
    <xf numFmtId="0" fontId="61" fillId="0" borderId="18" xfId="0" applyFont="1" applyFill="1" applyBorder="1">
      <alignment vertical="center"/>
    </xf>
    <xf numFmtId="0" fontId="61" fillId="0" borderId="18" xfId="0" applyFont="1" applyBorder="1">
      <alignment vertical="center"/>
    </xf>
    <xf numFmtId="183" fontId="43" fillId="0" borderId="0" xfId="0" applyNumberFormat="1" applyFont="1">
      <alignment vertical="center"/>
    </xf>
    <xf numFmtId="0" fontId="61" fillId="4" borderId="18" xfId="0" applyFont="1" applyFill="1" applyBorder="1">
      <alignment vertical="center"/>
    </xf>
  </cellXfs>
  <cellStyles count="8">
    <cellStyle name="パーセント 2" xfId="3" xr:uid="{1E249BA6-0B53-4D3D-9295-3E06C98304A6}"/>
    <cellStyle name="桁区切り" xfId="7" builtinId="6"/>
    <cellStyle name="標準" xfId="0" builtinId="0"/>
    <cellStyle name="標準 2" xfId="1" xr:uid="{731ABE9E-3709-4EBD-8A9E-524E4B51321B}"/>
    <cellStyle name="標準 2 2" xfId="4" xr:uid="{61247DDB-DB43-429C-A6D4-7536EE39F53C}"/>
    <cellStyle name="標準 2 3" xfId="6" xr:uid="{3CAB9E27-CD3E-4321-8A05-07410404CEE3}"/>
    <cellStyle name="標準 3" xfId="2" xr:uid="{C5A46317-589A-476F-A66E-558C1E1A4A90}"/>
    <cellStyle name="標準 4" xfId="5" xr:uid="{8D474C95-CB9A-4D28-9C99-2796B220D76E}"/>
  </cellStyles>
  <dxfs count="4197">
    <dxf>
      <fill>
        <patternFill patternType="solid">
          <bgColor rgb="FFCCFF99"/>
        </patternFill>
      </fill>
    </dxf>
    <dxf>
      <fill>
        <patternFill patternType="solid">
          <bgColor rgb="FFCCFF99"/>
        </patternFill>
      </fill>
    </dxf>
    <dxf>
      <fill>
        <patternFill patternType="solid">
          <bgColor rgb="FFCCFF99"/>
        </patternFill>
      </fill>
    </dxf>
    <dxf>
      <font>
        <b/>
      </font>
    </dxf>
    <dxf>
      <font>
        <b/>
      </font>
    </dxf>
    <dxf>
      <font>
        <b/>
      </font>
    </dxf>
    <dxf>
      <font>
        <b/>
      </font>
    </dxf>
    <dxf>
      <font>
        <b/>
      </font>
    </dxf>
    <dxf>
      <font>
        <b/>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79998168889431442"/>
        </patternFill>
      </fill>
    </dxf>
    <dxf>
      <fill>
        <patternFill>
          <bgColor theme="8"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none">
          <bgColor auto="1"/>
        </patternFill>
      </fill>
    </dxf>
    <dxf>
      <fill>
        <patternFill patternType="none">
          <bgColor auto="1"/>
        </patternFill>
      </fill>
    </dxf>
    <dxf>
      <font>
        <color theme="0" tint="-0.249977111117893"/>
      </font>
    </dxf>
    <dxf>
      <font>
        <color theme="0" tint="-0.249977111117893"/>
      </font>
    </dxf>
    <dxf>
      <font>
        <color theme="0" tint="-0.24997711111789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ill>
        <patternFill patternType="none">
          <bgColor auto="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none">
          <bgColor auto="1"/>
        </patternFill>
      </fill>
    </dxf>
    <dxf>
      <font>
        <sz val="7"/>
        <family val="3"/>
      </font>
    </dxf>
    <dxf>
      <font>
        <sz val="7"/>
        <family val="3"/>
      </font>
    </dxf>
    <dxf>
      <font>
        <sz val="7"/>
        <family val="3"/>
      </font>
    </dxf>
    <dxf>
      <font>
        <sz val="7"/>
        <family val="3"/>
      </font>
    </dxf>
    <dxf>
      <font>
        <sz val="7"/>
        <family val="3"/>
      </font>
    </dxf>
    <dxf>
      <font>
        <sz val="7"/>
        <family val="3"/>
      </font>
    </dxf>
    <dxf>
      <font>
        <sz val="7"/>
        <family val="3"/>
      </font>
    </dxf>
    <dxf>
      <fill>
        <patternFill patternType="solid">
          <bgColor theme="8" tint="0.79998168889431442"/>
        </patternFill>
      </fill>
    </dxf>
    <dxf>
      <fill>
        <patternFill patternType="solid">
          <bgColor theme="8" tint="0.79998168889431442"/>
        </patternFill>
      </fill>
    </dxf>
    <dxf>
      <font>
        <b val="0"/>
      </font>
    </dxf>
    <dxf>
      <fill>
        <patternFill patternType="none">
          <bgColor auto="1"/>
        </patternFill>
      </fill>
    </dxf>
    <dxf>
      <font>
        <b val="0"/>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shrinkToFit="1"/>
    </dxf>
    <dxf>
      <alignment shrinkToFit="1"/>
    </dxf>
    <dxf>
      <alignment shrinkToFit="1"/>
    </dxf>
    <dxf>
      <font>
        <sz val="8"/>
        <family val="3"/>
      </font>
    </dxf>
    <dxf>
      <font>
        <sz val="8"/>
        <family val="3"/>
      </font>
    </dxf>
    <dxf>
      <font>
        <sz val="8"/>
        <family val="3"/>
      </font>
    </dxf>
    <dxf>
      <font>
        <sz val="8"/>
        <family val="3"/>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ill>
        <patternFill patternType="solid">
          <bgColor theme="8" tint="0.79998168889431442"/>
        </patternFill>
      </fill>
    </dxf>
    <dxf>
      <fill>
        <patternFill patternType="solid">
          <bgColor theme="8" tint="0.79998168889431442"/>
        </patternFill>
      </fill>
    </dxf>
    <dxf>
      <fill>
        <patternFill patternType="solid">
          <bgColor rgb="FFCCFF99"/>
        </patternFill>
      </fill>
    </dxf>
    <dxf>
      <fill>
        <patternFill patternType="solid">
          <bgColor rgb="FFCCFF99"/>
        </patternFill>
      </fill>
    </dxf>
    <dxf>
      <fill>
        <patternFill patternType="solid">
          <bgColor theme="8" tint="0.79998168889431442"/>
        </patternFill>
      </fill>
    </dxf>
    <dxf>
      <font>
        <color theme="0" tint="-0.14999847407452621"/>
      </font>
    </dxf>
    <dxf>
      <font>
        <color theme="0" tint="-0.14999847407452621"/>
      </font>
    </dxf>
    <dxf>
      <font>
        <b/>
      </font>
    </dxf>
    <dxf>
      <font>
        <sz val="8"/>
        <family val="3"/>
      </font>
    </dxf>
    <dxf>
      <font>
        <sz val="8"/>
        <family val="3"/>
      </font>
    </dxf>
    <dxf>
      <fill>
        <patternFill patternType="solid">
          <bgColor theme="8"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ill>
        <patternFill patternType="solid">
          <bgColor theme="8" tint="0.59999389629810485"/>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ill>
        <patternFill patternType="solid">
          <bgColor theme="8" tint="0.79998168889431442"/>
        </patternFill>
      </fill>
    </dxf>
    <dxf>
      <fill>
        <patternFill patternType="solid">
          <bgColor theme="8" tint="0.79998168889431442"/>
        </patternFill>
      </fill>
    </dxf>
    <dxf>
      <fill>
        <patternFill patternType="solid">
          <bgColor rgb="FFCCFF99"/>
        </patternFill>
      </fill>
    </dxf>
    <dxf>
      <fill>
        <patternFill patternType="solid">
          <bgColor rgb="FFCCFF99"/>
        </patternFill>
      </fill>
    </dxf>
    <dxf>
      <fill>
        <patternFill patternType="solid">
          <bgColor theme="8" tint="0.79998168889431442"/>
        </patternFill>
      </fill>
    </dxf>
    <dxf>
      <font>
        <color theme="0" tint="-0.14999847407452621"/>
      </font>
    </dxf>
    <dxf>
      <font>
        <color theme="0" tint="-0.14999847407452621"/>
      </font>
    </dxf>
    <dxf>
      <font>
        <b/>
      </font>
    </dxf>
    <dxf>
      <font>
        <sz val="8"/>
        <family val="3"/>
      </font>
    </dxf>
    <dxf>
      <font>
        <sz val="8"/>
        <family val="3"/>
      </font>
    </dxf>
    <dxf>
      <fill>
        <patternFill patternType="solid">
          <bgColor theme="8"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ill>
        <patternFill patternType="solid">
          <bgColor theme="8" tint="0.59999389629810485"/>
        </patternFill>
      </fill>
    </dxf>
    <dxf>
      <font>
        <sz val="8"/>
      </font>
    </dxf>
    <dxf>
      <font>
        <sz val="8"/>
      </font>
    </dxf>
    <dxf>
      <font>
        <sz val="8"/>
      </font>
    </dxf>
    <dxf>
      <font>
        <sz val="8"/>
      </font>
    </dxf>
    <dxf>
      <font>
        <sz val="8"/>
      </font>
    </dxf>
    <dxf>
      <font>
        <sz val="8"/>
      </font>
    </dxf>
    <dxf>
      <font>
        <sz val="8"/>
      </font>
    </dxf>
    <dxf>
      <font>
        <sz val="8"/>
      </font>
    </dxf>
    <dxf>
      <font>
        <sz val="8"/>
      </font>
    </dxf>
    <dxf>
      <fill>
        <patternFill patternType="solid">
          <bgColor theme="8" tint="0.79998168889431442"/>
        </patternFill>
      </fill>
    </dxf>
    <dxf>
      <fill>
        <patternFill patternType="solid">
          <bgColor rgb="FFCCFF99"/>
        </patternFill>
      </fill>
    </dxf>
    <dxf>
      <fill>
        <patternFill patternType="solid">
          <bgColor rgb="FFCCFF99"/>
        </patternFill>
      </fill>
    </dxf>
    <dxf>
      <fill>
        <patternFill patternType="solid">
          <bgColor theme="8" tint="0.79998168889431442"/>
        </patternFill>
      </fill>
    </dxf>
    <dxf>
      <fill>
        <patternFill patternType="solid">
          <bgColor theme="8" tint="0.79998168889431442"/>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color theme="0" tint="-0.14999847407452621"/>
      </font>
    </dxf>
    <dxf>
      <font>
        <color theme="0" tint="-0.14999847407452621"/>
      </font>
    </dxf>
    <dxf>
      <font>
        <b/>
      </font>
    </dxf>
    <dxf>
      <font>
        <sz val="8"/>
        <family val="3"/>
      </font>
    </dxf>
    <dxf>
      <font>
        <sz val="8"/>
        <family val="3"/>
      </font>
    </dxf>
    <dxf>
      <fill>
        <patternFill patternType="solid">
          <bgColor theme="8"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ill>
        <patternFill patternType="solid">
          <bgColor theme="8" tint="0.59999389629810485"/>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color theme="0" tint="-0.14999847407452621"/>
      </font>
    </dxf>
    <dxf>
      <font>
        <color theme="0" tint="-0.14999847407452621"/>
      </font>
    </dxf>
    <dxf>
      <font>
        <b/>
      </font>
    </dxf>
    <dxf>
      <font>
        <sz val="8"/>
        <family val="3"/>
      </font>
    </dxf>
    <dxf>
      <font>
        <sz val="8"/>
        <family val="3"/>
      </font>
    </dxf>
    <dxf>
      <fill>
        <patternFill patternType="solid">
          <bgColor theme="8"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ill>
        <patternFill patternType="solid">
          <bgColor theme="8" tint="0.59999389629810485"/>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sz val="8"/>
        <family val="3"/>
      </font>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79998168889431442"/>
        </patternFill>
      </fill>
    </dxf>
    <dxf>
      <fill>
        <patternFill>
          <bgColor theme="8"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none">
          <bgColor auto="1"/>
        </patternFill>
      </fill>
    </dxf>
    <dxf>
      <fill>
        <patternFill patternType="none">
          <bgColor auto="1"/>
        </patternFill>
      </fill>
    </dxf>
    <dxf>
      <font>
        <color theme="0" tint="-0.249977111117893"/>
      </font>
    </dxf>
    <dxf>
      <font>
        <color theme="0" tint="-0.249977111117893"/>
      </font>
    </dxf>
    <dxf>
      <font>
        <color theme="0" tint="-0.24997711111789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ill>
        <patternFill patternType="none">
          <bgColor auto="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none">
          <bgColor auto="1"/>
        </patternFill>
      </fill>
    </dxf>
    <dxf>
      <font>
        <sz val="7"/>
        <family val="3"/>
      </font>
    </dxf>
    <dxf>
      <font>
        <sz val="7"/>
        <family val="3"/>
      </font>
    </dxf>
    <dxf>
      <font>
        <sz val="7"/>
        <family val="3"/>
      </font>
    </dxf>
    <dxf>
      <font>
        <sz val="7"/>
        <family val="3"/>
      </font>
    </dxf>
    <dxf>
      <font>
        <sz val="7"/>
        <family val="3"/>
      </font>
    </dxf>
    <dxf>
      <font>
        <sz val="7"/>
        <family val="3"/>
      </font>
    </dxf>
    <dxf>
      <font>
        <sz val="7"/>
        <family val="3"/>
      </font>
    </dxf>
    <dxf>
      <fill>
        <patternFill patternType="solid">
          <bgColor theme="8" tint="0.79998168889431442"/>
        </patternFill>
      </fill>
    </dxf>
    <dxf>
      <fill>
        <patternFill patternType="solid">
          <bgColor theme="8" tint="0.79998168889431442"/>
        </patternFill>
      </fill>
    </dxf>
    <dxf>
      <font>
        <b val="0"/>
      </font>
    </dxf>
    <dxf>
      <fill>
        <patternFill patternType="none">
          <bgColor auto="1"/>
        </patternFill>
      </fill>
    </dxf>
    <dxf>
      <font>
        <b val="0"/>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shrinkToFit="1"/>
    </dxf>
    <dxf>
      <alignment shrinkToFit="1"/>
    </dxf>
    <dxf>
      <alignment shrinkToFit="1"/>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6"/>
      </font>
    </dxf>
    <dxf>
      <alignment horizontal="right" readingOrder="0"/>
    </dxf>
    <dxf>
      <font>
        <sz val="7"/>
      </font>
    </dxf>
    <dxf>
      <font>
        <sz val="6"/>
      </font>
    </dxf>
    <dxf>
      <font>
        <color theme="0" tint="-0.249977111117893"/>
      </font>
    </dxf>
    <dxf>
      <font>
        <b/>
      </font>
    </dxf>
    <dxf>
      <fill>
        <patternFill patternType="solid">
          <bgColor rgb="FFCCFF66"/>
        </patternFill>
      </fill>
    </dxf>
    <dxf>
      <fill>
        <patternFill>
          <bgColor rgb="FFCCFF99"/>
        </patternFill>
      </fill>
    </dxf>
    <dxf>
      <fill>
        <patternFill patternType="solid">
          <bgColor rgb="FFCCFF99"/>
        </patternFill>
      </fill>
    </dxf>
    <dxf>
      <font>
        <b/>
      </font>
    </dxf>
    <dxf>
      <fill>
        <patternFill patternType="solid">
          <bgColor rgb="FFCCFF99"/>
        </patternFill>
      </fill>
    </dxf>
    <dxf>
      <font>
        <b/>
      </font>
    </dxf>
    <dxf>
      <fill>
        <patternFill patternType="solid">
          <bgColor theme="0" tint="-4.9989318521683403E-2"/>
        </patternFill>
      </fill>
    </dxf>
    <dxf>
      <font>
        <b/>
      </font>
    </dxf>
    <dxf>
      <font>
        <b val="0"/>
      </font>
    </dxf>
    <dxf>
      <font>
        <color theme="0" tint="-0.249977111117893"/>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color theme="0" tint="-0.14999847407452621"/>
      </font>
    </dxf>
    <dxf>
      <font>
        <color theme="0" tint="-0.14999847407452621"/>
      </font>
    </dxf>
    <dxf>
      <font>
        <b/>
      </font>
    </dxf>
    <dxf>
      <font>
        <sz val="8"/>
        <family val="3"/>
      </font>
    </dxf>
    <dxf>
      <font>
        <sz val="8"/>
        <family val="3"/>
      </font>
    </dxf>
    <dxf>
      <fill>
        <patternFill patternType="solid">
          <bgColor theme="8"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ill>
        <patternFill patternType="solid">
          <bgColor theme="8" tint="0.59999389629810485"/>
        </patternFill>
      </fill>
    </dxf>
    <dxf>
      <font>
        <sz val="8"/>
      </font>
    </dxf>
    <dxf>
      <font>
        <sz val="8"/>
      </font>
    </dxf>
    <dxf>
      <font>
        <sz val="8"/>
      </font>
    </dxf>
    <dxf>
      <font>
        <sz val="8"/>
      </font>
    </dxf>
    <dxf>
      <font>
        <sz val="8"/>
      </font>
    </dxf>
    <dxf>
      <font>
        <sz val="8"/>
      </font>
    </dxf>
    <dxf>
      <font>
        <sz val="8"/>
      </font>
    </dxf>
    <dxf>
      <font>
        <sz val="8"/>
      </font>
    </dxf>
    <dxf>
      <font>
        <sz val="8"/>
      </font>
    </dxf>
    <dxf>
      <font>
        <b/>
        <i val="0"/>
        <color rgb="FF0070C0"/>
      </font>
      <fill>
        <patternFill patternType="none">
          <bgColor auto="1"/>
        </patternFill>
      </fill>
    </dxf>
    <dxf>
      <font>
        <b/>
        <i val="0"/>
        <color rgb="FF0070C0"/>
      </font>
      <fill>
        <patternFill patternType="none">
          <bgColor auto="1"/>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9" tint="0.79998168889431442"/>
        </patternFill>
      </fill>
    </dxf>
    <dxf>
      <fill>
        <patternFill patternType="none">
          <bgColor auto="1"/>
        </patternFill>
      </fill>
    </dxf>
    <dxf>
      <font>
        <b/>
      </font>
    </dxf>
    <dxf>
      <fill>
        <patternFill patternType="none">
          <bgColor auto="1"/>
        </patternFill>
      </fill>
    </dxf>
    <dxf>
      <font>
        <b/>
      </font>
    </dxf>
    <dxf>
      <font>
        <color rgb="FF0070C0"/>
      </font>
    </dxf>
    <dxf>
      <font>
        <color rgb="FF0070C0"/>
      </font>
    </dxf>
    <dxf>
      <font>
        <color rgb="FF0070C0"/>
      </font>
    </dxf>
    <dxf>
      <font>
        <b/>
      </font>
    </dxf>
    <dxf>
      <font>
        <b/>
      </font>
    </dxf>
    <dxf>
      <font>
        <color rgb="FF0070C0"/>
      </font>
    </dxf>
    <dxf>
      <font>
        <color rgb="FF0070C0"/>
      </font>
    </dxf>
    <dxf>
      <font>
        <color rgb="FF0070C0"/>
      </font>
    </dxf>
    <dxf>
      <font>
        <b/>
      </font>
    </dxf>
    <dxf>
      <fill>
        <patternFill patternType="solid">
          <bgColor theme="8" tint="0.79998168889431442"/>
        </patternFill>
      </fill>
    </dxf>
    <dxf>
      <fill>
        <patternFill patternType="none">
          <bgColor auto="1"/>
        </patternFill>
      </fill>
    </dxf>
    <dxf>
      <font>
        <b/>
      </font>
    </dxf>
    <dxf>
      <fill>
        <patternFill patternType="solid">
          <bgColor theme="8" tint="0.79998168889431442"/>
        </patternFill>
      </fill>
    </dxf>
    <dxf>
      <fill>
        <patternFill patternType="none">
          <bgColor auto="1"/>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ont>
        <color theme="0" tint="-0.14999847407452621"/>
      </font>
    </dxf>
    <dxf>
      <font>
        <color theme="0" tint="-0.14999847407452621"/>
      </font>
    </dxf>
    <dxf>
      <font>
        <b/>
      </font>
    </dxf>
    <dxf>
      <font>
        <sz val="8"/>
        <family val="3"/>
      </font>
    </dxf>
    <dxf>
      <font>
        <sz val="8"/>
        <family val="3"/>
      </font>
    </dxf>
    <dxf>
      <fill>
        <patternFill patternType="solid">
          <bgColor theme="8"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ill>
        <patternFill patternType="solid">
          <bgColor theme="8" tint="0.59999389629810485"/>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ont>
        <color theme="0" tint="-0.14999847407452621"/>
      </font>
    </dxf>
    <dxf>
      <font>
        <color theme="0" tint="-0.14999847407452621"/>
      </font>
    </dxf>
    <dxf>
      <font>
        <b/>
      </font>
    </dxf>
    <dxf>
      <font>
        <sz val="8"/>
        <family val="3"/>
      </font>
    </dxf>
    <dxf>
      <font>
        <sz val="8"/>
        <family val="3"/>
      </font>
    </dxf>
    <dxf>
      <fill>
        <patternFill patternType="solid">
          <bgColor theme="8"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ill>
        <patternFill patternType="solid">
          <bgColor theme="8" tint="0.59999389629810485"/>
        </patternFill>
      </fill>
    </dxf>
    <dxf>
      <font>
        <sz val="8"/>
      </font>
    </dxf>
    <dxf>
      <font>
        <sz val="8"/>
      </font>
    </dxf>
    <dxf>
      <font>
        <sz val="8"/>
      </font>
    </dxf>
    <dxf>
      <font>
        <sz val="8"/>
      </font>
    </dxf>
    <dxf>
      <font>
        <sz val="8"/>
      </font>
    </dxf>
    <dxf>
      <font>
        <sz val="8"/>
      </font>
    </dxf>
    <dxf>
      <font>
        <sz val="8"/>
      </font>
    </dxf>
    <dxf>
      <font>
        <sz val="8"/>
      </font>
    </dxf>
    <dxf>
      <font>
        <sz val="8"/>
      </font>
    </dxf>
    <dxf>
      <fill>
        <patternFill patternType="solid">
          <bgColor theme="9" tint="0.79998168889431442"/>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ont>
        <color theme="0" tint="-0.14999847407452621"/>
      </font>
    </dxf>
    <dxf>
      <font>
        <color theme="0" tint="-0.14999847407452621"/>
      </font>
    </dxf>
    <dxf>
      <font>
        <b/>
      </font>
    </dxf>
    <dxf>
      <font>
        <sz val="8"/>
        <family val="3"/>
      </font>
    </dxf>
    <dxf>
      <font>
        <sz val="8"/>
        <family val="3"/>
      </font>
    </dxf>
    <dxf>
      <fill>
        <patternFill patternType="solid">
          <bgColor theme="8" tint="0.79998168889431442"/>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ill>
        <patternFill patternType="solid">
          <bgColor theme="8" tint="0.59999389629810485"/>
        </patternFill>
      </fill>
    </dxf>
    <dxf>
      <font>
        <sz val="8"/>
      </font>
    </dxf>
    <dxf>
      <font>
        <sz val="8"/>
      </font>
    </dxf>
    <dxf>
      <font>
        <sz val="8"/>
      </font>
    </dxf>
    <dxf>
      <font>
        <sz val="8"/>
      </font>
    </dxf>
    <dxf>
      <font>
        <sz val="8"/>
      </font>
    </dxf>
    <dxf>
      <font>
        <sz val="8"/>
      </font>
    </dxf>
    <dxf>
      <font>
        <sz val="8"/>
      </font>
    </dxf>
    <dxf>
      <font>
        <sz val="8"/>
      </font>
    </dxf>
    <dxf>
      <font>
        <sz val="8"/>
      </font>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ont>
        <color theme="0" tint="-0.14999847407452621"/>
      </font>
    </dxf>
    <dxf>
      <font>
        <color theme="0" tint="-0.14999847407452621"/>
      </font>
    </dxf>
    <dxf>
      <font>
        <b/>
      </font>
    </dxf>
    <dxf>
      <font>
        <sz val="8"/>
        <family val="3"/>
      </font>
    </dxf>
    <dxf>
      <font>
        <sz val="8"/>
        <family val="3"/>
      </font>
    </dxf>
    <dxf>
      <font>
        <sz val="8"/>
        <family val="3"/>
      </font>
    </dxf>
    <dxf>
      <font>
        <sz val="8"/>
        <family val="3"/>
      </font>
    </dxf>
    <dxf>
      <font>
        <sz val="8"/>
        <family val="3"/>
      </font>
    </dxf>
    <dxf>
      <font>
        <b/>
      </font>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7"/>
      </font>
    </dxf>
    <dxf>
      <font>
        <sz val="7"/>
      </font>
    </dxf>
    <dxf>
      <font>
        <sz val="7"/>
      </font>
    </dxf>
    <dxf>
      <font>
        <sz val="7"/>
      </font>
    </dxf>
    <dxf>
      <font>
        <sz val="7"/>
      </font>
    </dxf>
    <dxf>
      <font>
        <sz val="7"/>
      </font>
    </dxf>
    <dxf>
      <font>
        <sz val="7"/>
      </font>
    </dxf>
    <dxf>
      <fill>
        <patternFill patternType="solid">
          <bgColor theme="8" tint="0.79998168889431442"/>
        </patternFill>
      </fill>
    </dxf>
    <dxf>
      <fill>
        <patternFill patternType="solid">
          <bgColor theme="8" tint="0.79998168889431442"/>
        </patternFill>
      </fill>
    </dxf>
    <dxf>
      <font>
        <strike val="0"/>
        <color theme="0" tint="-0.24994659260841701"/>
      </font>
      <fill>
        <patternFill>
          <bgColor theme="0" tint="-4.9989318521683403E-2"/>
        </patternFill>
      </fill>
    </dxf>
    <dxf>
      <font>
        <strike val="0"/>
        <color theme="0" tint="-0.24994659260841701"/>
      </font>
      <fill>
        <patternFill>
          <bgColor theme="0" tint="-4.9989318521683403E-2"/>
        </patternFill>
      </fill>
    </dxf>
    <dxf>
      <font>
        <color theme="0" tint="-0.249977111117893"/>
      </font>
    </dxf>
    <dxf>
      <font>
        <b val="0"/>
      </font>
    </dxf>
    <dxf>
      <font>
        <b/>
      </font>
    </dxf>
    <dxf>
      <fill>
        <patternFill patternType="solid">
          <bgColor theme="0" tint="-4.9989318521683403E-2"/>
        </patternFill>
      </fill>
    </dxf>
    <dxf>
      <font>
        <b/>
      </font>
    </dxf>
    <dxf>
      <fill>
        <patternFill patternType="solid">
          <bgColor rgb="FFCCFF99"/>
        </patternFill>
      </fill>
    </dxf>
    <dxf>
      <font>
        <b/>
      </font>
    </dxf>
    <dxf>
      <fill>
        <patternFill patternType="solid">
          <bgColor rgb="FFCCFF99"/>
        </patternFill>
      </fill>
    </dxf>
    <dxf>
      <fill>
        <patternFill>
          <bgColor rgb="FFCCFF99"/>
        </patternFill>
      </fill>
    </dxf>
    <dxf>
      <fill>
        <patternFill patternType="solid">
          <bgColor rgb="FFCCFF66"/>
        </patternFill>
      </fill>
    </dxf>
    <dxf>
      <font>
        <b/>
      </font>
    </dxf>
    <dxf>
      <font>
        <color theme="0" tint="-0.249977111117893"/>
      </font>
    </dxf>
    <dxf>
      <font>
        <sz val="6"/>
      </font>
    </dxf>
    <dxf>
      <font>
        <sz val="7"/>
      </font>
    </dxf>
    <dxf>
      <alignment horizontal="right" readingOrder="0"/>
    </dxf>
    <dxf>
      <font>
        <sz val="6"/>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color theme="0" tint="-0.249977111117893"/>
      </font>
    </dxf>
    <dxf>
      <font>
        <b val="0"/>
      </font>
    </dxf>
    <dxf>
      <font>
        <b/>
      </font>
    </dxf>
    <dxf>
      <fill>
        <patternFill patternType="solid">
          <bgColor theme="0" tint="-4.9989318521683403E-2"/>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ill>
        <patternFill>
          <bgColor rgb="FFCCFF99"/>
        </patternFill>
      </fill>
    </dxf>
    <dxf>
      <fill>
        <patternFill patternType="solid">
          <bgColor rgb="FFCCFF66"/>
        </patternFill>
      </fill>
    </dxf>
    <dxf>
      <font>
        <b/>
      </font>
    </dxf>
    <dxf>
      <font>
        <color theme="0" tint="-0.249977111117893"/>
      </font>
    </dxf>
    <dxf>
      <font>
        <sz val="6"/>
      </font>
    </dxf>
    <dxf>
      <font>
        <sz val="7"/>
      </font>
    </dxf>
    <dxf>
      <alignment horizontal="right" readingOrder="0"/>
    </dxf>
    <dxf>
      <font>
        <sz val="6"/>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color theme="0" tint="-0.249977111117893"/>
      </font>
    </dxf>
    <dxf>
      <font>
        <b val="0"/>
      </font>
    </dxf>
    <dxf>
      <font>
        <b/>
      </font>
    </dxf>
    <dxf>
      <fill>
        <patternFill patternType="solid">
          <bgColor theme="0" tint="-4.9989318521683403E-2"/>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ill>
        <patternFill>
          <bgColor rgb="FFCCFF99"/>
        </patternFill>
      </fill>
    </dxf>
    <dxf>
      <fill>
        <patternFill patternType="solid">
          <bgColor rgb="FFCCFF66"/>
        </patternFill>
      </fill>
    </dxf>
    <dxf>
      <font>
        <b/>
      </font>
    </dxf>
    <dxf>
      <font>
        <color theme="0" tint="-0.249977111117893"/>
      </font>
    </dxf>
    <dxf>
      <font>
        <sz val="6"/>
      </font>
    </dxf>
    <dxf>
      <font>
        <sz val="7"/>
      </font>
    </dxf>
    <dxf>
      <alignment horizontal="right" readingOrder="0"/>
    </dxf>
    <dxf>
      <font>
        <sz val="6"/>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color theme="0" tint="-0.249977111117893"/>
      </font>
    </dxf>
    <dxf>
      <font>
        <b val="0"/>
      </font>
    </dxf>
    <dxf>
      <font>
        <b/>
      </font>
    </dxf>
    <dxf>
      <fill>
        <patternFill patternType="solid">
          <bgColor theme="0" tint="-4.9989318521683403E-2"/>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ont>
        <b/>
      </font>
    </dxf>
    <dxf>
      <fill>
        <patternFill patternType="solid">
          <bgColor rgb="FFCCFF99"/>
        </patternFill>
      </fill>
    </dxf>
    <dxf>
      <fill>
        <patternFill>
          <bgColor rgb="FFCCFF99"/>
        </patternFill>
      </fill>
    </dxf>
    <dxf>
      <fill>
        <patternFill patternType="solid">
          <bgColor rgb="FFCCFF66"/>
        </patternFill>
      </fill>
    </dxf>
    <dxf>
      <font>
        <b/>
      </font>
    </dxf>
    <dxf>
      <font>
        <color theme="0" tint="-0.249977111117893"/>
      </font>
    </dxf>
    <dxf>
      <font>
        <sz val="6"/>
      </font>
    </dxf>
    <dxf>
      <font>
        <sz val="7"/>
      </font>
    </dxf>
    <dxf>
      <alignment horizontal="right" readingOrder="0"/>
    </dxf>
    <dxf>
      <font>
        <sz val="6"/>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color theme="0" tint="-0.249977111117893"/>
      </font>
    </dxf>
    <dxf>
      <font>
        <b val="0"/>
      </font>
    </dxf>
    <dxf>
      <font>
        <b/>
      </font>
    </dxf>
    <dxf>
      <fill>
        <patternFill patternType="solid">
          <bgColor theme="0" tint="-4.9989318521683403E-2"/>
        </patternFill>
      </fill>
    </dxf>
    <dxf>
      <fill>
        <patternFill>
          <bgColor rgb="FFCCFF99"/>
        </patternFill>
      </fill>
    </dxf>
    <dxf>
      <fill>
        <patternFill patternType="solid">
          <bgColor rgb="FFCCFF66"/>
        </patternFill>
      </fill>
    </dxf>
    <dxf>
      <font>
        <b/>
      </font>
    </dxf>
    <dxf>
      <font>
        <color theme="0" tint="-0.249977111117893"/>
      </font>
    </dxf>
    <dxf>
      <font>
        <sz val="6"/>
      </font>
    </dxf>
    <dxf>
      <font>
        <sz val="7"/>
      </font>
    </dxf>
    <dxf>
      <alignment horizontal="right" readingOrder="0"/>
    </dxf>
    <dxf>
      <font>
        <sz val="6"/>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color theme="0" tint="-0.249977111117893"/>
      </font>
    </dxf>
    <dxf>
      <font>
        <b val="0"/>
      </font>
    </dxf>
    <dxf>
      <font>
        <b/>
      </font>
    </dxf>
    <dxf>
      <fill>
        <patternFill patternType="solid">
          <bgColor theme="0" tint="-4.9989318521683403E-2"/>
        </patternFill>
      </fill>
    </dxf>
    <dxf>
      <font>
        <b/>
      </font>
    </dxf>
    <dxf>
      <fill>
        <patternFill patternType="solid">
          <bgColor rgb="FFCCFF99"/>
        </patternFill>
      </fill>
    </dxf>
    <dxf>
      <fill>
        <patternFill>
          <bgColor rgb="FFCCFF99"/>
        </patternFill>
      </fill>
    </dxf>
    <dxf>
      <fill>
        <patternFill patternType="solid">
          <bgColor rgb="FFCCFF66"/>
        </patternFill>
      </fill>
    </dxf>
    <dxf>
      <font>
        <b/>
      </font>
    </dxf>
    <dxf>
      <font>
        <color theme="0" tint="-0.249977111117893"/>
      </font>
    </dxf>
    <dxf>
      <font>
        <sz val="6"/>
      </font>
    </dxf>
    <dxf>
      <font>
        <sz val="7"/>
      </font>
    </dxf>
    <dxf>
      <alignment horizontal="right" readingOrder="0"/>
    </dxf>
    <dxf>
      <font>
        <sz val="6"/>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sz val="8"/>
      </font>
    </dxf>
    <dxf>
      <font>
        <sz val="8"/>
      </font>
    </dxf>
    <dxf>
      <font>
        <sz val="8"/>
      </font>
    </dxf>
    <dxf>
      <font>
        <sz val="8"/>
      </font>
    </dxf>
    <dxf>
      <font>
        <sz val="8"/>
      </font>
    </dxf>
    <dxf>
      <font>
        <sz val="8"/>
      </font>
    </dxf>
    <dxf>
      <font>
        <sz val="8"/>
      </font>
    </dxf>
    <dxf>
      <font>
        <sz val="9"/>
      </font>
    </dxf>
    <dxf>
      <font>
        <sz val="9"/>
      </font>
    </dxf>
    <dxf>
      <font>
        <sz val="9"/>
      </font>
    </dxf>
    <dxf>
      <font>
        <sz val="9"/>
      </font>
    </dxf>
    <dxf>
      <font>
        <sz val="9"/>
      </font>
    </dxf>
    <dxf>
      <font>
        <sz val="9"/>
      </font>
    </dxf>
    <dxf>
      <font>
        <sz val="9"/>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strike val="0"/>
        <outline val="0"/>
        <shadow val="0"/>
        <u val="none"/>
        <vertAlign val="baseline"/>
        <sz val="7"/>
        <name val="Meiryo UI"/>
        <family val="3"/>
        <charset val="128"/>
        <scheme val="none"/>
      </font>
      <alignment horizontal="general" vertical="top" textRotation="0" wrapText="1" indent="0" justifyLastLine="0" shrinkToFit="0" readingOrder="0"/>
    </dxf>
    <dxf>
      <font>
        <strike val="0"/>
        <outline val="0"/>
        <shadow val="0"/>
        <u val="none"/>
        <vertAlign val="baseline"/>
        <sz val="7"/>
        <name val="Meiryo UI"/>
        <family val="3"/>
        <charset val="128"/>
        <scheme val="none"/>
      </font>
      <alignment horizontal="general" vertical="top" textRotation="0" wrapText="1" indent="0" justifyLastLine="0" shrinkToFit="0" readingOrder="0"/>
    </dxf>
    <dxf>
      <font>
        <strike val="0"/>
        <outline val="0"/>
        <shadow val="0"/>
        <u val="none"/>
        <vertAlign val="baseline"/>
        <sz val="7"/>
        <name val="Meiryo UI"/>
        <family val="3"/>
        <charset val="128"/>
        <scheme val="none"/>
      </font>
      <alignment horizontal="center" vertical="top" textRotation="0" wrapText="0" indent="0" justifyLastLine="0" shrinkToFit="0" readingOrder="0"/>
    </dxf>
    <dxf>
      <font>
        <strike val="0"/>
        <outline val="0"/>
        <shadow val="0"/>
        <u val="none"/>
        <vertAlign val="baseline"/>
        <sz val="7"/>
        <name val="Meiryo UI"/>
        <family val="3"/>
        <charset val="128"/>
        <scheme val="none"/>
      </font>
      <alignment vertical="top" textRotation="0" wrapText="1" indent="0" justifyLastLine="0" shrinkToFit="0" readingOrder="0"/>
    </dxf>
    <dxf>
      <font>
        <strike val="0"/>
        <outline val="0"/>
        <shadow val="0"/>
        <u val="none"/>
        <vertAlign val="baseline"/>
        <sz val="7"/>
        <name val="Meiryo UI"/>
        <family val="3"/>
        <charset val="128"/>
        <scheme val="none"/>
      </font>
      <alignment vertical="top" textRotation="0" wrapText="1" indent="0" justifyLastLine="0" shrinkToFit="0" readingOrder="0"/>
    </dxf>
    <dxf>
      <font>
        <strike val="0"/>
        <outline val="0"/>
        <shadow val="0"/>
        <u val="none"/>
        <vertAlign val="baseline"/>
        <sz val="7"/>
        <name val="Meiryo UI"/>
        <family val="3"/>
        <charset val="128"/>
        <scheme val="none"/>
      </font>
      <alignment vertical="top" textRotation="0" wrapText="1" indent="0" justifyLastLine="0" shrinkToFit="0" readingOrder="0"/>
    </dxf>
    <dxf>
      <font>
        <strike val="0"/>
        <outline val="0"/>
        <shadow val="0"/>
        <u val="none"/>
        <vertAlign val="baseline"/>
        <sz val="7"/>
        <name val="Meiryo UI"/>
        <family val="3"/>
        <charset val="128"/>
        <scheme val="none"/>
      </font>
      <alignment vertical="top" textRotation="0" wrapText="1" indent="0" justifyLastLine="0" shrinkToFit="0" readingOrder="0"/>
    </dxf>
    <dxf>
      <font>
        <strike val="0"/>
        <outline val="0"/>
        <shadow val="0"/>
        <u val="none"/>
        <vertAlign val="baseline"/>
        <sz val="7"/>
        <name val="Meiryo UI"/>
        <family val="3"/>
        <charset val="128"/>
        <scheme val="none"/>
      </font>
      <alignment vertical="top" textRotation="0" indent="0" justifyLastLine="0" shrinkToFit="0" readingOrder="0"/>
    </dxf>
    <dxf>
      <font>
        <strike val="0"/>
        <outline val="0"/>
        <shadow val="0"/>
        <u val="none"/>
        <vertAlign val="baseline"/>
        <sz val="7"/>
        <name val="Meiryo UI"/>
        <family val="3"/>
        <charset val="128"/>
        <scheme val="none"/>
      </font>
      <alignment vertical="top" textRotation="0" indent="0" justifyLastLine="0" shrinkToFit="0" readingOrder="0"/>
    </dxf>
    <dxf>
      <font>
        <strike val="0"/>
        <outline val="0"/>
        <shadow val="0"/>
        <u val="none"/>
        <vertAlign val="baseline"/>
        <sz val="7"/>
        <name val="Meiryo UI"/>
        <family val="3"/>
        <charset val="128"/>
        <scheme val="none"/>
      </font>
      <numFmt numFmtId="19" formatCode="yyyy/m/d"/>
      <alignment vertical="top" textRotation="0" indent="0" justifyLastLine="0" shrinkToFit="0" readingOrder="0"/>
    </dxf>
    <dxf>
      <font>
        <strike val="0"/>
        <outline val="0"/>
        <shadow val="0"/>
        <u val="none"/>
        <vertAlign val="baseline"/>
        <sz val="7"/>
        <name val="Meiryo UI"/>
        <family val="3"/>
        <charset val="128"/>
        <scheme val="none"/>
      </font>
      <alignment vertical="top" textRotation="0" indent="0" justifyLastLine="0" shrinkToFit="0" readingOrder="0"/>
    </dxf>
    <dxf>
      <font>
        <strike val="0"/>
        <outline val="0"/>
        <shadow val="0"/>
        <u val="none"/>
        <vertAlign val="baseline"/>
        <sz val="7"/>
        <name val="Meiryo UI"/>
        <family val="3"/>
        <charset val="128"/>
        <scheme val="none"/>
      </font>
      <alignment vertical="top" textRotation="0" indent="0" justifyLastLine="0" shrinkToFit="0" readingOrder="0"/>
    </dxf>
    <dxf>
      <font>
        <strike val="0"/>
        <outline val="0"/>
        <shadow val="0"/>
        <u val="none"/>
        <vertAlign val="baseline"/>
        <sz val="7"/>
        <color theme="0"/>
        <name val="Meiryo UI"/>
        <family val="3"/>
        <charset val="128"/>
        <scheme val="none"/>
      </font>
      <alignment vertical="top" textRotation="0" indent="0" justifyLastLine="0" shrinkToFit="0" readingOrder="0"/>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ill>
        <patternFill patternType="none">
          <bgColor auto="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none">
          <bgColor auto="1"/>
        </patternFill>
      </fill>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sz val="8"/>
        <family val="3"/>
      </font>
    </dxf>
    <dxf>
      <font>
        <color theme="0" tint="-0.249977111117893"/>
      </font>
    </dxf>
    <dxf>
      <font>
        <color theme="0" tint="-0.249977111117893"/>
      </font>
    </dxf>
    <dxf>
      <font>
        <color theme="0" tint="-0.249977111117893"/>
      </font>
    </dxf>
    <dxf>
      <fill>
        <patternFill patternType="none">
          <bgColor auto="1"/>
        </patternFill>
      </fill>
    </dxf>
    <dxf>
      <fill>
        <patternFill patternType="none">
          <bgColor auto="1"/>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8" tint="0.59999389629810485"/>
        </patternFill>
      </fill>
    </dxf>
    <dxf>
      <fill>
        <patternFill patternType="solid">
          <bgColor theme="8" tint="0.79998168889431442"/>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sz val="8"/>
        <family val="3"/>
      </font>
    </dxf>
    <dxf>
      <alignment shrinkToFit="1"/>
    </dxf>
    <dxf>
      <alignment shrinkToFit="1"/>
    </dxf>
    <dxf>
      <alignment shrinkToFi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val="0"/>
      </font>
    </dxf>
    <dxf>
      <fill>
        <patternFill patternType="none">
          <bgColor auto="1"/>
        </patternFill>
      </fill>
    </dxf>
    <dxf>
      <font>
        <b val="0"/>
      </font>
    </dxf>
    <dxf>
      <fill>
        <patternFill patternType="solid">
          <bgColor theme="8" tint="0.79998168889431442"/>
        </patternFill>
      </fill>
    </dxf>
    <dxf>
      <fill>
        <patternFill patternType="solid">
          <bgColor theme="8" tint="0.79998168889431442"/>
        </patternFill>
      </fill>
    </dxf>
    <dxf>
      <font>
        <sz val="7"/>
        <family val="3"/>
      </font>
    </dxf>
    <dxf>
      <font>
        <sz val="7"/>
        <family val="3"/>
      </font>
    </dxf>
    <dxf>
      <font>
        <sz val="7"/>
        <family val="3"/>
      </font>
    </dxf>
    <dxf>
      <font>
        <sz val="7"/>
        <family val="3"/>
      </font>
    </dxf>
    <dxf>
      <font>
        <sz val="7"/>
        <family val="3"/>
      </font>
    </dxf>
    <dxf>
      <font>
        <sz val="7"/>
        <family val="3"/>
      </font>
    </dxf>
    <dxf>
      <font>
        <sz val="7"/>
        <family val="3"/>
      </font>
    </dxf>
    <dxf>
      <font>
        <sz val="8"/>
        <family val="3"/>
      </font>
    </dxf>
    <dxf>
      <font>
        <sz val="8"/>
        <family val="3"/>
      </font>
    </dxf>
    <dxf>
      <font>
        <sz val="8"/>
        <family val="3"/>
      </font>
    </dxf>
    <dxf>
      <font>
        <sz val="8"/>
        <family val="3"/>
      </font>
    </dxf>
    <dxf>
      <font>
        <sz val="8"/>
      </font>
    </dxf>
    <dxf>
      <font>
        <sz val="8"/>
      </font>
    </dxf>
    <dxf>
      <font>
        <sz val="8"/>
      </font>
    </dxf>
    <dxf>
      <font>
        <sz val="8"/>
      </font>
    </dxf>
    <dxf>
      <font>
        <sz val="8"/>
      </font>
    </dxf>
    <dxf>
      <font>
        <sz val="8"/>
      </font>
    </dxf>
    <dxf>
      <font>
        <sz val="8"/>
      </font>
    </dxf>
    <dxf>
      <font>
        <sz val="8"/>
      </font>
    </dxf>
    <dxf>
      <font>
        <sz val="8"/>
      </font>
    </dxf>
    <dxf>
      <fill>
        <patternFill patternType="solid">
          <bgColor theme="8" tint="0.59999389629810485"/>
        </patternFill>
      </fill>
    </dxf>
    <dxf>
      <font>
        <sz val="8"/>
        <family val="3"/>
      </font>
    </dxf>
    <dxf>
      <font>
        <sz val="8"/>
        <family val="3"/>
      </font>
    </dxf>
    <dxf>
      <font>
        <b/>
      </font>
    </dxf>
    <dxf>
      <font>
        <color theme="0" tint="-0.14999847407452621"/>
      </font>
    </dxf>
    <dxf>
      <font>
        <color theme="0" tint="-0.14999847407452621"/>
      </font>
    </dxf>
    <dxf>
      <font>
        <sz val="8"/>
      </font>
    </dxf>
    <dxf>
      <font>
        <sz val="8"/>
      </font>
    </dxf>
    <dxf>
      <font>
        <sz val="8"/>
      </font>
    </dxf>
    <dxf>
      <font>
        <sz val="8"/>
      </font>
    </dxf>
    <dxf>
      <font>
        <sz val="8"/>
      </font>
    </dxf>
    <dxf>
      <font>
        <sz val="8"/>
      </font>
    </dxf>
    <dxf>
      <font>
        <sz val="8"/>
      </font>
    </dxf>
    <dxf>
      <font>
        <sz val="8"/>
      </font>
    </dxf>
    <dxf>
      <font>
        <sz val="8"/>
      </font>
    </dxf>
    <dxf>
      <fill>
        <patternFill patternType="solid">
          <bgColor theme="8" tint="0.79998168889431442"/>
        </patternFill>
      </fill>
    </dxf>
    <dxf>
      <font>
        <sz val="8"/>
        <family val="3"/>
      </font>
    </dxf>
    <dxf>
      <font>
        <sz val="8"/>
        <family val="3"/>
      </font>
    </dxf>
    <dxf>
      <font>
        <b/>
      </font>
    </dxf>
    <dxf>
      <font>
        <color theme="0" tint="-0.14999847407452621"/>
      </font>
    </dxf>
    <dxf>
      <font>
        <color theme="0" tint="-0.14999847407452621"/>
      </font>
    </dxf>
    <dxf>
      <font>
        <sz val="7"/>
      </font>
    </dxf>
    <dxf>
      <font>
        <sz val="7"/>
      </font>
    </dxf>
    <dxf>
      <font>
        <sz val="7"/>
      </font>
    </dxf>
    <dxf>
      <font>
        <sz val="7"/>
      </font>
    </dxf>
    <dxf>
      <font>
        <sz val="7"/>
      </font>
    </dxf>
    <dxf>
      <font>
        <sz val="7"/>
      </font>
    </dxf>
    <dxf>
      <font>
        <sz val="7"/>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font>
    </dxf>
    <dxf>
      <font>
        <b/>
      </font>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8" tint="0.79998168889431442"/>
        </patternFill>
      </fill>
    </dxf>
    <dxf>
      <fill>
        <patternFill patternType="solid">
          <bgColor rgb="FFCCFF99"/>
        </patternFill>
      </fill>
    </dxf>
    <dxf>
      <fill>
        <patternFill patternType="solid">
          <bgColor theme="8" tint="0.79998168889431442"/>
        </patternFill>
      </fill>
    </dxf>
    <dxf>
      <fill>
        <patternFill patternType="solid">
          <bgColor theme="9" tint="0.79998168889431442"/>
        </patternFill>
      </fill>
    </dxf>
    <dxf>
      <font>
        <b/>
      </font>
    </dxf>
    <dxf>
      <font>
        <sz val="8"/>
        <family val="3"/>
      </font>
    </dxf>
    <dxf>
      <font>
        <sz val="8"/>
        <family val="3"/>
      </font>
    </dxf>
    <dxf>
      <font>
        <sz val="8"/>
        <family val="3"/>
      </font>
    </dxf>
    <dxf>
      <font>
        <sz val="8"/>
        <family val="3"/>
      </font>
    </dxf>
    <dxf>
      <font>
        <sz val="8"/>
        <family val="3"/>
      </font>
    </dxf>
    <dxf>
      <font>
        <b/>
      </font>
    </dxf>
    <dxf>
      <font>
        <color theme="0" tint="-0.14999847407452621"/>
      </font>
    </dxf>
    <dxf>
      <font>
        <color theme="0" tint="-0.14999847407452621"/>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フォームの回答 1-style" pivot="0" count="4" xr9:uid="{67736EF0-5E61-4BFF-8CA4-15CFBD10C81C}">
      <tableStyleElement type="wholeTable" size="0" dxfId="4196"/>
      <tableStyleElement type="headerRow" dxfId="4195"/>
      <tableStyleElement type="firstRowStripe" dxfId="4194"/>
      <tableStyleElement type="secondRowStripe" dxfId="4193"/>
    </tableStyle>
  </tableStyles>
  <colors>
    <mruColors>
      <color rgb="FFCCFF99"/>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髙野愛子" refreshedDate="46105.461499305558" missingItemsLimit="0" createdVersion="8" refreshedVersion="8" minRefreshableVersion="3" recordCount="39" xr:uid="{0C245551-1851-4E26-82EE-DF85D5488D72}">
  <cacheSource type="worksheet">
    <worksheetSource ref="A1:E1048576" sheet="全体"/>
  </cacheSource>
  <cacheFields count="9">
    <cacheField name="開始" numFmtId="179">
      <sharedItems containsNonDate="0" containsDate="1" containsString="0" containsBlank="1" minDate="2026-02-01T00:00:00" maxDate="2026-09-02T00:00:00" count="13">
        <d v="2026-03-25T00:00:00"/>
        <d v="2026-07-01T00:00:00"/>
        <d v="2026-09-01T00:00:00"/>
        <d v="2026-04-01T00:00:00"/>
        <d v="2026-04-15T00:00:00"/>
        <d v="2026-06-01T00:00:00"/>
        <d v="2026-05-01T00:00:00"/>
        <d v="2026-08-01T00:00:00"/>
        <d v="2026-04-21T00:00:00"/>
        <d v="2026-05-05T00:00:00"/>
        <d v="2026-05-19T00:00:00"/>
        <d v="2026-02-01T00:00:00"/>
        <m/>
      </sharedItems>
      <fieldGroup par="8"/>
    </cacheField>
    <cacheField name="完了(目標)" numFmtId="179">
      <sharedItems containsNonDate="0" containsDate="1" containsString="0" containsBlank="1" minDate="2026-04-30T00:00:00" maxDate="2027-01-01T00:00:00" count="14">
        <d v="2026-04-30T00:00:00"/>
        <d v="2026-05-31T00:00:00"/>
        <d v="2026-11-30T00:00:00"/>
        <d v="2026-09-30T00:00:00"/>
        <d v="2026-10-31T00:00:00"/>
        <d v="2026-06-30T00:00:00"/>
        <d v="2026-08-20T00:00:00"/>
        <d v="2026-08-31T00:00:00"/>
        <d v="2026-07-31T00:00:00"/>
        <d v="2026-05-12T00:00:00"/>
        <d v="2026-05-26T00:00:00"/>
        <d v="2026-06-09T00:00:00"/>
        <d v="2026-12-31T00:00:00"/>
        <m/>
      </sharedItems>
      <fieldGroup par="6"/>
    </cacheField>
    <cacheField name="1区分" numFmtId="0">
      <sharedItems containsBlank="1" count="8">
        <s v="1.サーバ環境"/>
        <s v="2.クラウド環境"/>
        <s v="3.業務データ"/>
        <s v="4.ナレッジ共有"/>
        <s v="4.ナレッジ"/>
        <s v="5.リテラシー向上"/>
        <s v="-"/>
        <m/>
      </sharedItems>
    </cacheField>
    <cacheField name="2区分" numFmtId="0">
      <sharedItems containsBlank="1" count="12">
        <s v="▶サーバリプレイス後の動作改善確認"/>
        <s v="▶MS365"/>
        <s v="▶クラウドバックアップ整備"/>
        <s v="▶共有フォルダ整備"/>
        <s v="▶事務作業自動化(AI化)"/>
        <s v="▶データ形式標準化"/>
        <s v="▶PDM・PLM環境整備"/>
        <s v="▶ペーパーレス化・データ化"/>
        <s v="▶ナレッジ共有（平準化）"/>
        <s v="▶セキュリティ対策・IT基礎知識勉強会"/>
        <s v="-"/>
        <m/>
      </sharedItems>
    </cacheField>
    <cacheField name="3区分" numFmtId="0">
      <sharedItems containsBlank="1" count="27">
        <m/>
        <s v="ログイン・接続：時間帯、切断、フリーズ、速さ"/>
        <s v="アプリ動作：Outlook（メール検索、迷惑メール）"/>
        <s v="アプリ動作：Excel、PDF、Word、ブラウザ"/>
        <s v="その他1：デスクトップアイコン位置・既定プリンタの固定"/>
        <s v="その他2：テプラ"/>
        <s v="Wi-Fi接続：製造エリア、自動⇄手動"/>
        <s v="TPiCS・PI-navi：現品票発行、タブレット、ハンディターミナル"/>
        <s v="奉行クラウド主担当･TPiCS主担当・営業担当　アカウント導入"/>
        <s v="部署別・業務別アカウント　導入"/>
        <s v="部署別OneDrive"/>
        <s v="専用サービス導入　有無判断➡一次整備完了"/>
        <s v="共有フォルダ：可視化ツール➡削除範囲特定"/>
        <s v="共有フォルダ：コピー移行ツール➡バックアップ・削除"/>
        <s v="共有フォルダ：検索ツール➡使用頻度順位付け"/>
        <s v="共有フォルダ：データリンク集➡Excelハイパーリンク"/>
        <s v="共有フォルダ：定期メンテナンス方法確定"/>
        <s v="議事録"/>
        <s v="Excel-製造関連"/>
        <s v="日報　改善"/>
        <s v="(▶事務作業自動化(AI化)、▶共有フォルダ整備　進捗に応じて検討開始）"/>
        <s v="サービス調査～開発・品管ヒアリング～具体化～"/>
        <s v="マニュアル作成（属人化回避）"/>
        <s v="日報　活用"/>
        <s v="セキュリティ対策・IT基礎知識勉強会①【？？？】"/>
        <s v="セキュリティ対策・IT基礎知識勉強会②【？？？】"/>
        <s v="セキュリティ対策・IT基礎知識勉強会③【？？？】"/>
      </sharedItems>
    </cacheField>
    <cacheField name="月 (完了(目標))" numFmtId="0" databaseField="0">
      <fieldGroup base="1">
        <rangePr groupBy="months" startDate="2026-04-30T00:00:00" endDate="2027-01-01T00:00:00"/>
        <groupItems count="14">
          <s v="&lt;2026/4/30"/>
          <s v="1月"/>
          <s v="2月"/>
          <s v="3月"/>
          <s v="4月"/>
          <s v="5月"/>
          <s v="6月"/>
          <s v="7月"/>
          <s v="8月"/>
          <s v="9月"/>
          <s v="10月"/>
          <s v="11月"/>
          <s v="12月"/>
          <s v="&gt;2027/1/1"/>
        </groupItems>
      </fieldGroup>
    </cacheField>
    <cacheField name="年 (完了(目標))" numFmtId="0" databaseField="0">
      <fieldGroup base="1">
        <rangePr groupBy="years" startDate="2026-04-30T00:00:00" endDate="2027-01-01T00:00:00"/>
        <groupItems count="4">
          <s v="&lt;2026/4/30"/>
          <s v="2026年"/>
          <s v="2027年"/>
          <s v="&gt;2027/1/1"/>
        </groupItems>
      </fieldGroup>
    </cacheField>
    <cacheField name="月 (開始)" numFmtId="0" databaseField="0">
      <fieldGroup base="0">
        <rangePr groupBy="months" startDate="2026-02-01T00:00:00" endDate="2026-09-02T00:00:00"/>
        <groupItems count="14">
          <s v="&lt;2026/2/1"/>
          <s v="1月"/>
          <s v="2月"/>
          <s v="3月"/>
          <s v="4月"/>
          <s v="5月"/>
          <s v="6月"/>
          <s v="7月"/>
          <s v="8月"/>
          <s v="9月"/>
          <s v="10月"/>
          <s v="11月"/>
          <s v="12月"/>
          <s v="&gt;2026/9/2"/>
        </groupItems>
      </fieldGroup>
    </cacheField>
    <cacheField name="年 (開始)" numFmtId="0" databaseField="0">
      <fieldGroup base="0">
        <rangePr groupBy="years" startDate="2026-02-01T00:00:00" endDate="2026-09-02T00:00:00"/>
        <groupItems count="3">
          <s v="&lt;2026/2/1"/>
          <s v="2026年"/>
          <s v="&gt;2026/9/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髙野愛子" refreshedDate="46105.461499652774" missingItemsLimit="0" createdVersion="8" refreshedVersion="8" minRefreshableVersion="3" recordCount="556" xr:uid="{6AC962AA-28DB-4F34-9461-D6070DAB5782}">
  <cacheSource type="worksheet">
    <worksheetSource ref="A6:AA562" sheet="データベース"/>
  </cacheSource>
  <cacheFields count="29">
    <cacheField name="No" numFmtId="0">
      <sharedItems containsSemiMixedTypes="0" containsString="0" containsNumber="1" containsInteger="1" minValue="1" maxValue="556" count="55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sharedItems>
    </cacheField>
    <cacheField name="回答時期" numFmtId="179">
      <sharedItems containsSemiMixedTypes="0" containsNonDate="0" containsDate="1" containsString="0" minDate="2025-03-30T00:00:00" maxDate="2026-02-20T00:00:00" count="8">
        <d v="2025-03-30T00:00:00"/>
        <d v="2025-06-30T00:00:00"/>
        <d v="2025-07-25T00:00:00"/>
        <d v="2026-02-13T00:00:00"/>
        <d v="2026-02-16T00:00:00"/>
        <d v="2026-02-17T00:00:00"/>
        <d v="2026-02-18T00:00:00"/>
        <d v="2026-02-19T00:00:00"/>
      </sharedItems>
      <fieldGroup par="28"/>
    </cacheField>
    <cacheField name="計画No" numFmtId="0">
      <sharedItems containsNonDate="0" containsString="0" containsBlank="1"/>
    </cacheField>
    <cacheField name="計画着手" numFmtId="179">
      <sharedItems containsNonDate="0" containsDate="1" containsString="0" containsBlank="1" minDate="2025-06-10T00:00:00" maxDate="2026-03-18T00:00:00"/>
    </cacheField>
    <cacheField name="期間" numFmtId="0">
      <sharedItems containsString="0" containsBlank="1" containsNumber="1" containsInteger="1" minValue="1" maxValue="2"/>
    </cacheField>
    <cacheField name="ヒアリング項目" numFmtId="0">
      <sharedItems containsBlank="1" count="18">
        <m/>
        <s v="共有フォルダ"/>
        <s v="MS365(基礎)"/>
        <s v="セキュリティ"/>
        <s v="MS365(活用)"/>
        <s v="IT基礎知識"/>
        <s v="①データ管理"/>
        <s v="②仕組み・ルール"/>
        <s v="③MS365"/>
        <s v="④セキュリティ"/>
        <s v="⑤ITスキル向上"/>
        <s v="⑥その他(自由意見)"/>
        <s v="Q1.不便・非効率"/>
        <s v="Q2.ミス・時間"/>
        <s v="Q3.工数"/>
        <s v="Q4.ペーパーレス化"/>
        <s v="Q5.AI・ツール活用"/>
        <s v="Q6.業務改善(自由意見)"/>
      </sharedItems>
    </cacheField>
    <cacheField name="キーワード" numFmtId="0">
      <sharedItems containsBlank="1" count="41">
        <m/>
        <s v="ハイパーリンク"/>
        <s v="PDF"/>
        <s v="デュアルモニター"/>
        <s v="ハンディターミナル"/>
        <s v="メール検索"/>
        <s v="メール振分"/>
        <s v="現品票発行"/>
        <s v="TPiCS・PI-navi"/>
        <s v="共有フォルダ"/>
        <s v="時間帯"/>
        <s v="Wi-Fi設定"/>
        <s v="タブレット"/>
        <s v="プリンタ既定"/>
        <s v="デスクトップアイコン"/>
        <s v="テプラ"/>
        <s v="ブラウザ"/>
        <s v="バックアップ"/>
        <s v="最適化・高速化"/>
        <s v="Excel"/>
        <s v="Outlook"/>
        <s v="Excel・Word"/>
        <s v="Excel・PDF"/>
        <s v="Explorer"/>
        <s v="マニュアル・ナレッジ"/>
        <s v="Lanscope"/>
        <s v="迷惑メール"/>
        <s v="拠点外作業"/>
        <s v="リアルタイム共有"/>
        <s v="案件タスク管理"/>
        <s v="自動通知"/>
        <s v="AI・自動化"/>
        <s v="ワークフロー"/>
        <s v="日報改善"/>
        <s v="日報活用"/>
        <s v="履歴管理"/>
        <s v="Excel-製造関連"/>
        <s v="議事録"/>
        <s v="参照先整備"/>
        <s v="マニュアル作成"/>
        <s v="データ化"/>
      </sharedItems>
    </cacheField>
    <cacheField name="サーバ/端末" numFmtId="0">
      <sharedItems containsString="0" containsBlank="1" containsNumber="1" containsInteger="1" minValue="1" maxValue="1" count="2">
        <n v="1"/>
        <m/>
      </sharedItems>
    </cacheField>
    <cacheField name="接続/動作" numFmtId="0">
      <sharedItems containsString="0" containsBlank="1" containsNumber="1" containsInteger="1" minValue="1" maxValue="1" count="2">
        <n v="1"/>
        <m/>
      </sharedItems>
    </cacheField>
    <cacheField name="アプリ/操作" numFmtId="0">
      <sharedItems containsString="0" containsBlank="1" containsNumber="1" containsInteger="1" minValue="1" maxValue="1" count="2">
        <n v="1"/>
        <m/>
      </sharedItems>
    </cacheField>
    <cacheField name="体制/管理" numFmtId="0">
      <sharedItems containsString="0" containsBlank="1" containsNumber="1" containsInteger="1" minValue="1" maxValue="1" count="2">
        <m/>
        <n v="1"/>
      </sharedItems>
    </cacheField>
    <cacheField name="基礎向上" numFmtId="0">
      <sharedItems containsString="0" containsBlank="1" containsNumber="1" containsInteger="1" minValue="1" maxValue="1"/>
    </cacheField>
    <cacheField name="マニュアル/ナレッジ" numFmtId="0">
      <sharedItems containsString="0" containsBlank="1" containsNumber="1" containsInteger="1" minValue="1" maxValue="1"/>
    </cacheField>
    <cacheField name="AI/DB化" numFmtId="0">
      <sharedItems containsString="0" containsBlank="1" containsNumber="1" containsInteger="1" minValue="1" maxValue="1"/>
    </cacheField>
    <cacheField name="課題/提案" numFmtId="0">
      <sharedItems containsString="0" containsBlank="1" containsNumber="1" containsInteger="1" minValue="1" maxValue="1"/>
    </cacheField>
    <cacheField name="意識/姿勢" numFmtId="0">
      <sharedItems containsString="0" containsBlank="1" containsNumber="1" containsInteger="1" minValue="1" maxValue="5"/>
    </cacheField>
    <cacheField name="候補者" numFmtId="0">
      <sharedItems containsString="0" containsBlank="1" containsNumber="1" containsInteger="1" minValue="1" maxValue="5" count="6">
        <m/>
        <n v="4"/>
        <n v="1"/>
        <n v="5"/>
        <n v="3"/>
        <n v="2"/>
      </sharedItems>
    </cacheField>
    <cacheField name="原文" numFmtId="0">
      <sharedItems containsBlank="1" count="406" longText="1">
        <s v="・サーバーのフリーズが多い、ローカルのSkype立ち上がりなど少し遅い印象"/>
        <s v="・定期的にハイパーリンクがリンクしなくなる。"/>
        <s v="・定期的にデスクトップのアイコン位置シャッフルされる"/>
        <s v="・たまにハイパーリンクが死亡する(どういった場合かは不明。突然発生する)"/>
        <s v="・PDFの文字化け(最近落ち着いた気がしますが…)"/>
        <s v="・概ねPDFが重い気がします"/>
        <s v="・天気が悪いとPCの動きが鈍い"/>
        <s v="・受注時に「クライアント名」「製品名」に読み仮名をつけるようにして欲しい。様々の物をフォルダ分けする際に名前が不明な事が多く困る為。"/>
        <s v="・ローカル、サーバー共にフリーズが多い"/>
        <s v="・パソコンの起動が遅く、シンクラの接続にも時間が掛かる、電源入～デスクトップの画面表示まで約3分30秒、Aサーバー接続アイコン選択～シンクラ画面まで約2分30秒"/>
        <s v="・ローカルのブラウザやSkypeの起動が遅い(1～3分くらい掛かる)"/>
        <s v="・複数のデータを見ながら処理を進めることが多いので、デュアルモニターだと作業効率が上がりそうです"/>
        <s v="・Bサーバー基本的に重い"/>
        <s v="・ハンディの動作反応が年々遅くなっている→データ蓄積されているため？"/>
        <s v="・メールの検索がしにくく困ってます。これはOutlookだからなのか、Gmailだと変わるのはわかりません。"/>
        <s v="・エクセルのハイパーリンクはバグりやすいです"/>
        <s v="・デュアルモニターの対応ができてデータを並べられたら、効率は上がる可能性あります。　例えば、製造予定とTPCIS等を並べて確認や、充填バルクの製造予定並べて見れたら、画面が広分確認はしやすいです。"/>
        <s v="・サーバーのフリーズが多い"/>
        <s v="・Rグループが重いのとSkypeも終わるタイミングで、チャットやweb会議、スケジュール管理を、　Microsoft系かGoogle系にまとめられたら、各自予定の登録や確認がしやすいかなと思います。"/>
        <s v="・メールの検索がしにくく困る。"/>
        <s v="・パソコンの起動が遅く、シンクラの接続にも時間が掛かる(中島くんと同等の所要時間)　※島田主任と中島くんのPCスペックは同等です"/>
        <s v="・メーリングリストで受信したbouncesのせい？でメールの振り分けが僕には対応できなくなってます。"/>
        <s v="・シンクラサーバーの動作が全体的に重い。（シンクラが原因なのか、PC自体が古いからなのかは分からないです）"/>
        <s v="・フリーズが頻発する。社員のパソコン使用が集中する時間帯（主に9時頃、18時頃）は特に多く、長くフリーズする。"/>
        <s v="・サーバーにつながりにくい（特に朝９時ぐらい）"/>
        <s v="・ネットの環境か分からないが、現品票の発行（印刷）に時間がかかる。"/>
        <s v="・朝の９時以外でもメールやTPiCS・PI-naviが遅い時がある。時間は見てないです。あきらめて製造に戻る時もあります。"/>
        <s v="・要望はパソコンはスムーズに使いたい。　製造してる合間に打ち込んだりメール見ることがあるので、ネットがつながらないとかあると、作業効率が悪いです。"/>
        <s v="私的には以前に容量削減の対策をやってからフリーズすることがかなり改善したように思います。ただ大川リーダー、伊澤Ｌは今でも動作が重たくなる時はあるとのことです。"/>
        <s v="製造フォルダの中はかなりフォルダ数多く複雑です。「製造用」とか「元製造」とか「製造用１」がありあまり分別もできていないと思います。探すのが大変なので自分の必要なものはショートカットを作成しまとめていますが大昔のデータも多く処分していいかわからないので皆さん放置状態になっているのかと思います。"/>
        <s v="サーバーの動作が遅く、すぐ切断される。開発、BeGardenの出勤時刻9時頃が最もサーバーにつながりにくい。"/>
        <s v="移動していないのにWi-fiが途切れ、他のWi-fiにつながってしまう。"/>
        <s v="サーバーの動作が遅く、切断されがち"/>
        <s v="ネット環境が関係あるか分かりませんが以前からタブレットの動作は常に重いのでそちらも改善できればと思います。"/>
        <s v="・サーバーのファンの音が激しい時と静かな時があり、激しい時は重くなっている気がする"/>
        <s v="・一定期間作業していない時（昼休みなど）ログイン画面が表示され入るとプリンター指定が解除されて毎回ＰＤＦ指定になる"/>
        <s v="・会計処理をする際、管理部用のノートＰＣでサーバー接続しCSVデータを取り込んでいますが、デスクトップPCに戻りログインするとデスクトップ上のアイコンの配列がバラバラになり少しストレスです"/>
        <s v="･サーバーの置いてある場所が暖房の風が直接あたっていて熱くなっているのではないかと思います。"/>
        <s v="・毎日最初の一回共有フォルダにはじかれる"/>
        <s v="・毎日プリンターを選択する必要がある　→既定にできるのは毎日設定　→既定にできないのは都度プリンター選択"/>
        <s v="・印刷するとき用紙設定がカスタムになってるか毎回確認しないといけない"/>
        <s v="・テプラの印刷がサーバーでできない　ローカルでアプリ？いれても次の日には消える"/>
        <s v="・昔よりは改善されてますがPCが固まったり遅かったりする"/>
        <s v="・事務長がサーバーになかなか入れないときがある"/>
        <s v="･アマゾンサイトなどへ接続している時、サイト内の動きがとても遅いです。"/>
        <s v="･突然サーバーからはじき出される。ログインしなおすと作業途中の画面には戻れます。"/>
        <s v="サーバ本体の設置環境の改善。電圧・換気・空調の効いた鍵付き個室へ設置したい。"/>
        <s v="ブラウザ処理の負荷に耐えれていない"/>
        <s v="接続・描写遅延"/>
        <s v="共有フォルダが複雑"/>
        <s v="各部署ローカルバックアップ強化"/>
        <s v="ストレージの最適化 データアクセスの高速化"/>
        <s v="昼頃・夕方に遅延がする"/>
        <s v="受注が多い日に受注管理システム（ブラウザ）からデータをDLすると重たい"/>
        <s v="エクセルの操作が固まりやすい"/>
        <s v="ブラウザ上の業務が多い中、固まることで遅延してしまう。"/>
        <s v="・朝立ち上げ時、アウトルックの起動に5分程かかる"/>
        <s v="・エクセル・ワードにて、タイピングした内容が反映されるまでのタイムラグがかなりある時がある。"/>
        <s v="・重すぎて、文字が明瞭ではない時がある。ボケてる。"/>
        <s v="・一定の手順で必ずエクセルとワードが落ちることがある。"/>
        <s v="・アウトルックの検索が遅い"/>
        <s v="・慢性的に動作が遅くてフリーズします。書類（処方、提案書、報告書、成績書、指図書など）作成、メール対応、調査など、本社で作業していた時と比べ、完了するまでの時間が長くなっています。"/>
        <s v="・コスメは本社に比べ不具合の時間が多いです。"/>
        <s v="・急に切れる。"/>
        <s v="・Outlook使用時に急に落ちる。"/>
        <s v="・Word、EXcel使用時に急に落ちる。"/>
        <s v="・急に止まる。"/>
        <s v="・タイピングが遅れて反応。"/>
        <s v="・ログインできない。"/>
        <s v="・サーバーが重い、遅い。毎日午前9時と午後6時前後は必ず発生。その他の時間帯も突発的に発生。"/>
        <s v="・エクセル、PDF使用時は遅くなりやすい。"/>
        <s v="・サーバーが止まることで打ち損じや誤入力が発生しやすくなっている。電子管理が増える中で、この現象は致命的だと思う。"/>
        <s v="・パソコンが止まることで、進行中の作業が一旦止まる。再開時に誤入力していないか確認することからスタートするので、作業効率が低下。"/>
        <s v="・グループメールが振り分けられないのが困る。"/>
        <s v="・サーバーの動作が重い。"/>
        <s v="・Ｂサーバーから突然はじき出される。ログインしなおすと作業途中の画面には戻れる。"/>
        <s v="・シンクライアントサーバーの動きが悪く、何度もフリーズする日がある"/>
        <s v="・動きが悪い日はその状態が一日中続くことが多く、仕事の作業効率が悪くなる（以前に比べると頻度は落ち着いているように感じます…）"/>
        <s v="・シンクライアントからはじき出されることが数日おきにある"/>
        <s v="・最近PDFの立ち上がりが遅い"/>
        <s v="・outlookのメールの検索が遅い"/>
        <s v="・サーバーが重く、フリーズが多い"/>
        <s v="・ログイン情報が合っているのにサーバーに入れない。（4,5回ログインし直すと入れる）"/>
        <s v="・サーバーに関係あるか分かりませんが、開いている全てのエクスプローラーが勝手に閉じる"/>
        <s v="・サーバーへ入るのに時間がかかる"/>
        <s v="・サーバー内で作業中、画面が真っ暗になり強制終了せざるを得ない"/>
        <s v="・Outlookの動きが遅い、フリーズする"/>
        <s v="・Excelの動きが遅い、フリーズして消えることがある"/>
        <s v="・インターネット検索に時間がかかる、サーバー外でも時間がかかる"/>
        <s v="共有フォルダ整理の具体的な手順や進め方のレクチャー"/>
        <s v="適切な共有フォルダ運用ルールの作成についてのレクチャー"/>
        <s v="共有フォルダの5Sの具体的な進め方"/>
        <s v="可視化ツール導入における管理について　具体的にどのようなことが可能で、どう管理を行うことができるのか"/>
        <s v="製造予定等、関係者が共通の認識を持つ必要があるデータは、メールで周知だと見落としもあるため、指定フォルダや、スプレットシート（ＭＳ版のやつで）みたいに、「各自が見に行く形」を希望です。　「更新しました」連絡だけメールで貰えれば、全員が同じデータを閲覧しながら、話す環境が出来るやすいかなと思います。"/>
        <s v="各機能と使い方の基本～応用のレクチャー"/>
        <s v="社内コミュニケーションツールとしての活用方法詳細　大畑様が仰られていたところの詳細な内容を教えていただきたい"/>
        <s v="基本OJTが欲しいです。マニュアルだけだと、導入しても一部機能しか使わない気がします"/>
        <s v="利用者のトレーニング方法詳細　トレーニングの内容や頻度など教えていただきたい"/>
        <s v="各セキュリティの導入範囲のご相談　それぞれのセキュリティの内容教えていただき　弊社にとっての最適なセキュリティの導入をしたい"/>
        <s v="Lanscopeを使った具体的な管理方法"/>
        <s v="各ユーザーレベルで必要な知識はマニュアルが欲しいですが、　OJTはお願したいです。特にセキュリティはハードルが高いと感じてます・・・　個人的には、メールは迷惑メールが来てるのと、SPAM認識されてるメールも多く、　何かしら各個人で対応ができるのか等、教えて頂きたいです。　　　　"/>
        <s v="商談時や移動時にVPN接続をしなければ共有フォルダなど見られず、よりクイックにスマホやPCから閲覧・操作をしたい。"/>
        <s v="新幹線移動が多く、電波が悪い時にローカルで作業できそれがサーバーと紐づけると良い。"/>
        <s v="スマホである程度のメールチェックなどしたいが、全て入ると量が多すぎて困る。メールもアプリで管理できると。。現在チャットなどは保存機能を活用。"/>
        <s v="サーバーや回線等による作業待ち時間を減らしたい"/>
        <s v="スマホから資料を作成、確認、送付できるようにしたい（見積書、発注書、試作概要書、受注フォーマット、裏面原稿、仕様書、製造予定、倉庫在庫、営業資料etc...）"/>
        <s v="売上、粗利、数量などの予実を極力リアルタイムで共有、把握できるようにしたい。"/>
        <s v="案件全体の進捗状況を一覧でタスク化（把握、確認）したい。（試作、原価、見積、安定性試験、容器相性試験、受注、契約書締結、校正、資材納期、製造予定、出荷etc...）"/>
        <s v="メールやcahtの連絡時間を省略したい（保存や更新をしたら共有者へ自動通知など）"/>
        <s v="生成AIなどで試作概要書や提案書を自動作成したい"/>
        <s v="必要な情報をすぐに見つけられるようにしたい（例：ワークフローからその資料へアクセスなど）"/>
        <s v="ワークフローを誰でもすぐに確認して実行できるようにしたい（ISOの手順書のような紙ベースでは、手順通りの実行が難しいと感じる）"/>
        <s v="売上機会損失を減らしたい（納品から一定期間が空いたら担当営業へ自動通知など）"/>
        <s v="日報が属人的な内容にならないようメール以外の簡単な方法で見やすくしたい"/>
        <s v="気づきや改善要望は日報ではなく別の共有方法にしたい"/>
        <s v="IT、セキュリティー、MS365などのリテラシーを高める勉強会"/>
        <s v="サーバーやアプリに繋がらないなどの時の簡易トラブル対処マニュアル作成"/>
        <s v="PCに負荷がかかる動作についてしっかり理解できていないため、教わりたいです。ゴミ箱を定期的に空にするなど、心がけることや、どういった動作で負荷をかけてしまっているのか、教えていただきたいです。"/>
        <s v="ファイルを間違って削除したとき、元に戻せるのか。　→ 自分で復元できるのか、誰かに頼まないといけないのか知りたいです。"/>
        <s v="メールやファイルって、どれくらいの期間保存されるのか。　→ 必要な情報が消えてしまわないか不安です。"/>
        <s v="誰がどのファイルを編集したのか、あとから確認できる？　→ 使うときに「上書き」が怖いので、履歴の見方を知りたいです。"/>
        <s v="特になし"/>
        <s v="原料資料等、添付ファイルが重いものがアウトルックに残っているがなかなか消せない。共通サーバーにアップするようにルール化しているが、一部守れていない社員がいる。処方や製造指図書のような重要ファイルが持ち出せる状況になっている。"/>
        <s v="部署内では特にありませんが、受注～製造までをエクセル管理ではなくシステムなどで一元管理になるのが理想だと思っています"/>
        <s v="発注書や見積書の保管が個人でバラバラで管理出来ていない。"/>
        <s v="保存場所がバラバラ"/>
        <s v="何がどこにあって、どれが最新か分からない・分かりづらい。"/>
        <s v="主に06コスメファクトリー(08Ｑ美共有も）フォルダを使用しているが、ファイルの保存場所に明確なルールが無く探すのに時間がかかり、検索しても重く見つからない場合がある。"/>
        <s v="保存場所が統一されておらず、各自保管しているものもあり皆が共有できていない。不必要なフォルダもあるので削除したい"/>
        <s v="今のところありません。"/>
        <s v="使用していないファイルがたくさんあり、必要なファイルやデータが探しづらい"/>
        <s v="共有フォルダ内のフォルダの移動・削除に権限を設けてほしい（パソコンの動きが遅かったり、手元が少し狂ったりで自分の意思に反して簡単にフォルダが移動されてしまうため）"/>
        <s v="どこに技術製造部のフォルダがあるのか知らず、まだ活用まで至っていない為、不安点は特にありません。"/>
        <s v="お客様が会社名を変更された際、データを探すのに時間がかかります。最新の会社名で登録されているものもあれば昔の会社名のまま保管されているデータもあり、戸惑うことがあります。"/>
        <s v="データ管理、保管で困ることはございません。エクセルが固まってデータが消えるぐらいです。"/>
        <s v="USBやメールでデータの持ち出しが簡単にできてしまうことが不安です。"/>
        <s v="慣れるまでファイルの保管場所が分からなくなることが多かった"/>
        <s v="不要なデータを削除するなど仕分けや整理の時間がとりにくいです。"/>
        <s v="ファイルの保存先や管理方法が人によってバラバラになっている。どれが最新ファイルか分からなくなることがあり、特に複数人で作業する時に不安を感じる。また、退職や異動があると引き継ぎ漏れで大事なデータが見つからないケースもある。"/>
        <s v="保存場所の把握に困るのと、送付側受け取り側でデータを各自データ保存のため、最新版が把握しずらくなる（クライアント様との共有資料等）・エクセル等のデータ開きっぱなしで使用できない　等"/>
        <s v="どこに何が保管されているのか、ツリー図のようなものがあれば良い気がしました。"/>
        <s v="不要なファイル、フォルダ、ショートカット等が散見される状態。要不要分からず、誰も手をつけることができていない。似たようなフォルダ、ファイルなども見受けられ、無駄なデータが多い。"/>
        <s v="同じ案件でも名前がバラバラで複数あったりrejectしきれていない。クライアント名が変わった際変更しきれていなかったり一部だけが変わっていたりする。"/>
        <s v="・ファイルの階層が多い為、探しにくい(多くても5階層までが理想)_x000a_・ファイル名に対して保管されているデータ名がマッチしないものがある_x000a_・フォルダ名に変更が必要となる場合のルールが決まっていない為、例えばクライアントに変更があった場合に、旧フォルダ名を残したままにし新たなフォルダを作成するのか、対象のフォルダの名称を直接変更するのかなど対応方法が明確になっていない_x000a_・不要なデータらしきものが結構ある"/>
        <s v="保存場所がバラバラで整理されていない為、探しにくい。昔のデータは不要か判断できない為、追加する一方で増え続けていることも原因と思われる。整理できれば要領の負担軽減につながると思う。"/>
        <s v="部署内では特になし。"/>
        <s v="見積書の保管管理でショートカットを作成し管理を行っていたがウイルス騒動時に全てショートカットが外れてしまった事があった為、また突然消えるのではと不安を感じる。"/>
        <s v="何をどう管理したらいいか分からない"/>
        <s v="入社したばかりなので現在は問題なく進めれています。昔にパソコンが飛びデータが消えたという話を聞いたのでバックアップなどは一応あるのか知っておきたいです。"/>
        <s v="ネット発注等の関係で新規ソフトのインストールを行いたいが、現状のシステムでは困難なこと"/>
        <s v="フォルダの種類が多く保存場所も統一されてないので、検索するのに時間が要する。同じようなデータが点在してるので、どれが正しいデータなのか不明である。"/>
        <s v="管理部内でも個人別で保存場所や保存方法がバラバラなので部署内共有フォルダを整理し誰が見ても分かりやすく引継ぎなどスムーズに行えるようにしたい。しかし誰でも簡単にアクセスできる環境になると不注意で削除や書き換えしてしまう心配もある。"/>
        <s v="共有フォルダとは別にデスクトップにも保存してますが、前サーバーが感染した時消えました。私のPCはローカルにも保存できないので少し不安です"/>
        <s v="必要なファイルと不必要なファイルがどれなのか考えるときがあります"/>
        <s v="ファイルの保存先が複雑である。製造で必要な情報が製造用以外にある。"/>
        <s v="保存場所がバラバラで検索に苦労する"/>
        <s v="データがどこにあるか分からない。たぶん昔と今で作業者や作業部署が違うので、点在していることが原因だと思う。平たく言うとフォルダ構成が無茶苦茶。_x000a_品保のフォルダを作って欲しい。食添とコスメの品保のフォルダを分けて欲しい。_x000a_各自が自由に使えるフォルダが欲しい（スキャンフォルダの感じ）_x000a_デバイス（プリンタ―）が多いので、「どれ？」になる。ない分は削除して欲しい。全部あるならごめんなさい。_x000a_記録しているデータの目的と実際（データ加工）に必要としている内容が合ってない_x000a_食添の試験成績書の作成関係の基準があいまい過ぎて困っている。台帳は、商品名⇒出荷先で検索すると見つけやすいが、試験成績書は商品名と出荷先名が並列であるので探すことが難しい（慣れはした）。"/>
        <m/>
        <s v="特になし（整理のルールなどは開発内のルールで不便を感じたことはありません）"/>
        <s v="ルールは作りたいですが、社員が逸脱することの方が多いので、なるべく手間のない仕組みを希望します。"/>
        <s v="整理のルール"/>
        <s v="保存場所の統一化や業者毎のフォルダ分け"/>
        <s v="なし"/>
        <s v="どのようなルールが適しているかわからないのでインフィニティさんにサポートしてもらいたい。過去の使用していないファイル、データなどもまとめるか、削除したい。"/>
        <s v="整理のルールがあれば教えて欲しいです。"/>
        <s v="ﾊﾞﾙｸﾒﾝﾊﾞｰだけ使えるフォルダがあればよい。整理などは少しづつしている。"/>
        <s v="まだ思いつきません。"/>
        <s v="特にありません"/>
        <s v="他部署が触れないようにする。"/>
        <s v="更新履歴の管理"/>
        <s v="ISOに関わる書類で、REV.が更新された時のファイルの取り扱い（別ファイルにするのかどうか）"/>
        <s v="マニュアルがない"/>
        <s v="書類名の付け方のルールも希望します。"/>
        <s v="部署単位での共通フォルダ構成ルールを決めて整理をしたい。更新履歴や編集者が分かる仕組みを使って、上書きミスや「誰が変えたか分からない問題」を減らしたい。権限管理を部署ごと・役職ごとに明確にしたいが、シンプルなフォルダ構成と権限にしたい。"/>
        <s v="現在も部署や課のフォルダはあるが、使用ルールが不明で、生産管理の名前のフォルダでも、他部署と共有で使用するフォルダだったり、誰と使ってるのかわからないし、似た名前で複数存在したら混乱する_x000a_誰と共有すべきデータか（課内？自分だけ？全体？）、共有しないのか等で、保存場所をルール化できたら、少し整理がつくのかなと感じます。"/>
        <s v="全社としてのルール、部署としてのルール、両方もしくはいずれかを決めればそれに沿えば良いのでわかりやすいです。"/>
        <s v="フォルダ作成のルール作り。個々での運用に任せきりになっており、収集がつかないので全社員統一のルールを設定し、無駄を省く_x000a_1年以上更新されていないファイルなど抽出し、不要フォルダへ移すようなシステム。"/>
        <s v="見積保管などフォルダ作成時クライアント名、製品名の頭文字読み方を入れているが新規は読み方が共有されず字面からの予測でしか作れていないのでローマ字の新規案件は読み方を教えてほしい。"/>
        <s v="・フォルダ構成のルールがほしい(階層単位での一律ルール化は使いにくい可能性がある為、条件別のフォルダ構成のパターン化)_x000a_年月日で区別する必要のない場合、1階層目(部署)、2階層目(業務内容)、3階層目(対象ファイル)など_x000a_年度別でのデータがある場合、1階層目(部署)、2階層目(業務内容)、3階層目(年度)、4階層目(対象ファイル)など_x000a_月日別でのデータがある場合、1階層目(部署)、2階層目(業務内容)、3階層目(年度)、4～5階層目(月別、日別の対象ファイル)など_x000a_クライアント毎のデータがある場合、1階層目(部署)、2階層目(業務内容)、3階層目(クライアントの頭文字)、4階層目(クライアント)、5階層目(対象データ)など"/>
        <s v="今は誰でも新規ファイル、フォルダををつくれるが、共有のフォルダは各長が許可した場合のみ追加できるようにし、その他は個人ファイルにとどめた方が良い。"/>
        <s v="更新履歴の管理。"/>
        <s v="企画で使用していたフォルダを生産管理(一部で)でも使用している為、保管場所の統一を行いたい。"/>
        <s v="整理のルール、フォルダ構成、更新履歴の管理が明確にあれば助かります。"/>
        <s v="新規ソフトのインストールを行うための手順をルール化し明確にしてほしい"/>
        <s v="他部署と共有で使用してるフォルダもあるので、全体的なルールが必要かと思われる。"/>
        <s v="部署内の他の人のフォルダを把握したいが削除上書きのミスが心配なので何かセキュリティーあると安心です。現状個人プレーで保管管理しているので部署内でルールを決めて共有したい。"/>
        <s v="パソコン自体がくわしくありませんので、どうしたらいいのかがわかりません。"/>
        <s v="パソコンが得意では無いので希望がぱっと浮かびませんが、出来るだけ簡単にして欲しいです。"/>
        <s v="似た名称のフォルダやファイルが多く「どれ？」になる。規格書も「自社FM」と「他社FM」と「食添の購入原料の規格書」「コスメの購入原料の規格書」のように複数ありそれぞれ点在している。出来れば、発行した規格書、SDS、試験成績書系と、購入原料の規格書で分けて欲しい。「01食添_規格書_自社FM_250708_第1版.xlsx」のような分けかたをしたい。_x000a__x000a_品目マスタ的なもの。品目コードと絡めて書類を作る習慣化_x000a__x000a_食添の製造が在庫管理をどうしているか存じませんが、注文がきた⇒入力⇒製品在庫のチェック⇒予定在庫から引く⇒足りない場合は製造するので、原材料のチェック⇒原材料の発注⇒入荷したら原材料のチェック⇒・・・人の手をかけすぎているように思う。_x000a_入力までしたら、何とかして欲しい。データを蓄積するのはいいが、分析や解析ができていない。簡単に出来たらいい。"/>
        <s v="どれも使ったことがないので、とりあえず使ってみたいと思っています。"/>
        <s v="ないです。"/>
        <s v="共同編集について詳しく知りたい。スプレッドシートとどう違うか"/>
        <s v="使い方がExcelしか分かりません。"/>
        <s v="Microsoft 365 公式サイトを確認したが、いまいちピンとこない。現場に常駐しているのでデスクワークが少ないが、理解して使いこなせられるようにはなりたい。"/>
        <s v="MS365自体がよくわからないです。すみません。"/>
        <s v="MS365自体よく知らない"/>
        <s v="特にありません。"/>
        <s v="分かりません"/>
        <s v="使用してから色々要望が生まれるかもわかりませんが現時点ではありません。"/>
        <s v="権限管理、セキュリティーの強化（他者による処方などの書き込み、操作をやめる。データ持ち出しさせない。）"/>
        <s v="現段階でMS365がどんなものかがわからないので、特にありません。"/>
        <s v="クラウド上の操作はネット環境の調子が良くない時も問題ないかどうかは気になります。"/>
        <s v="OneDriveとSharePointの使い分けがまだ曖昧で、どこに何を保存すればいいのか標準ルールがほしい。_x000a_共同編集やリンク共有を使ったことがないメンバーが多いため、基本操作を部署内で学べる機会が必要だと思う。"/>
        <s v="従来のフォルダ運用と、OneDriveとの使い分けは不安_x000a_共同編集、権限管理は誰がどこまで制限できたり、クライアント様との共有なども可能か知りたい"/>
        <s v="知識が無いためマニュアルが欲しいです。"/>
        <s v="全く知見が無いので、基本の使い方～応用まで教えていただきたい_x000a_大畑様が仰っていた、社内コミュニケーションツールとしての活用方法をレクチャーいただきたい"/>
        <s v="やってみないとわからないのでわからないがマニュアルやルールは明確にしてほしい。"/>
        <s v="・MS365のExcel(クラウド版)の基本操作_x000a_・OneDriveやSharePointの基本操作及び使い分け"/>
        <s v="調べてもピンとこなかったのですが、使ってみたいです。"/>
        <s v="社内で使用についてルール化すると思われる為現時点での不安は特になし。"/>
        <s v="使い分け、使い方"/>
        <s v="OneDriveの接続環境(前職で使用した際に接続がうまくいかないパソコンがあったため)"/>
        <s v="ネット環境次第で動作が左右されるのかが気になる。"/>
        <s v="MS365はインターネット回線が繋がらなくなった場合仕事がストップしてしうか不安です。必要最小限のファイルをローカルに保管できるとありがたいです。"/>
        <s v="MS365をどう使うか理解できてなく申し訳ないのですが、ツールが増えて各個人が好きなように使いだすと確認作業が増えて見逃しが起こらないか気になります。使用者によって有料・無料の区別があると認識がずれたり、受けれるサポートが違ったりしないかどうか、データの保存に制限があるのかでしょうか。ずれてる話だったらすみません"/>
        <s v="実際に触ってみないと何とも言えない"/>
        <s v="まずMS３６５を詳しく理解したいです。"/>
        <s v="日々製造がメインで事務所にいる人と違いパソコンは夕方にしか使用しません。よってMS365が何かもわかりませんので不安だらけです。"/>
        <s v="MSのOneDriveなど使い方を知らない。昔、Googleのスプレッドシートを使ったことはあるが、いまいちしっくりこなかった記憶がある。MSがサービスを止めるってなった時、どうします？"/>
        <s v="ファイルを間違って削除したとき、元に戻せるのか。→自分で復元できるのか、誰かに頼まないといけないのか知りたいです。_x000a_メールやファイルって、どれくらいの期間保存されるのか。→必要な情報が消えてしまわないか不安です。_x000a_誰がどのファイルを編集したのか、あとから確認できる？→使うときに「上書き」が怖いので、履歴の見方を知りたいです。"/>
        <s v="パスワード管理、ウイルス対策、情報漏洩"/>
        <s v="ウイルス対策"/>
        <s v="ここ最近AppleやＳＢＩ証券を名乗る迷惑メールがくることがあり、無視しているが来ないように出来ないか。"/>
        <s v="PCのデスクトップ上で保管してしまっているので、正式な保管場所や方法を教えて欲しい。"/>
        <s v="迷惑メールがよく来るので来ないようにしてほしい。削除がめんどくさい。"/>
        <s v="最近迷惑メールが来るようになっているので出来ればなくしたいです。"/>
        <s v="急な休みを取らなければいけない時などに遠隔でシンクライアントにログイン出来たら便利だと感じるが、セキュリティ上難しいのか。"/>
        <s v="情報漏洩。処方、指図書をUSB等、外部メディアで持ち出しされる。"/>
        <s v="ウイルス対策、情報漏洩"/>
        <s v="パスワード管理、アクセス権限"/>
        <s v="外部へのメール送信やデータ共有で情報漏えいしないか不安だが、情報漏えいすると雇用契約上 個人へのリスクがあることを周知したい。社外からのアクセスやウイルス感染リスクなど、何をどう防げるのか社員全体で意識を高める必要を感じる。"/>
        <s v="迷惑メールが一定数あったり、必要なメールがSPAM認定されてるので、エラーとかで届かない等にならないかは気になる"/>
        <s v="社内でのセキュリティ意識、知識の維持向上のためのトレーニング方法。弊社にあったセキュリティ導入の範囲を知りたい。Lanscopeを使った具体的な管理方法。PCやAPなどに社内機器ではないものを接続できてしまうためそれをシャットアウトできるようなセキュリティ。"/>
        <s v="最近迷惑メールが来る頻度が増えている。"/>
        <s v="具体的なNG行為とNG行為を行った場合にどのようなリスクがあるのか　事例を用いた詳細が知りたいです。"/>
        <s v="ウイルス対策と迷惑メールはなくしてほしい"/>
        <s v="毎日迷惑メールが来る。(2～3件)"/>
        <s v="アクセス権限、パスワード管理"/>
        <s v="パスワード管理について(今後MS３６５で使用する場合各自のパスワードになるのか、現在自身のoutlockなどパスワードを知らないため)"/>
        <s v="迷惑メールが多量に届くためブロックする方法や対策について相談を行いたい"/>
        <s v="ウイルス対策が強化されるのか心配。"/>
        <s v="今まで通り管理部のフォルダは他部署からアクセスできない設定にしていただきたいです。"/>
        <s v="こうした方がよいとかあれば教えてほしいです"/>
        <s v="迷惑メール(野村證券、アマゾン等)よく来ます。"/>
        <s v="操作マニュアルがあればありがたいです。"/>
        <s v="実演で教えていただきたいです。"/>
        <s v="中土主任を通さずにそれぞれがITサポートを受けられる環境"/>
        <s v="社内、取引先へのメールマナーがわからない。"/>
        <s v="マニュアルがあれば空き時間や、家でも確認できるので欲しい。ＩＴ関係の知識が全くないので基礎的な内容から研修して頂きたいです。"/>
        <s v="PCの操作マニュアル、表作成、計算式など基本的なことを教えてもらえる場があれば助かります。"/>
        <s v="製造中になるので実演や研修は製造日程を考えないといけないので難しい。質問ができすぐに答えてくれる人がいてくれると助かる。"/>
        <s v="操作マニュアルが欲しいです。"/>
        <s v="Excelのマクロの組み方?を教えてほしい（処方を組んだら、自動的に全成分表が出来上がる仕組みが欲しい）"/>
        <s v="シンコーでの作業内容で必要なスキルについては、部署ごとに集まって実演で教育してほしいです。OneDrive（個人用クラウドストレージ）、SharePoint（チーム用共有フォルダ）Teams（チャット・会議）等"/>
        <s v="いつでも見れる操作マニュアルがあればうれしいです。"/>
        <s v="質問しやすい環境"/>
        <s v="わからなくなった時にすぐに質問できる環境があると嬉しいです。"/>
        <s v="質問しやすい環境はほしいです。"/>
        <s v="MS365の基本操作（OneDrive、SharePoint、Teamsなど）を実演ベースで学ぶ研修がほしい。部署内で聞けるように少人数での勉強会も検討したい。また、IT用語が難しいく感じるので、初心者でも理解できる資料やマニュアルを用意してほしい。"/>
        <s v="各部署でどこまでを管理範囲するのか、そのためにどんなITスキルが必要なのかを先ず教えて欲しいです。範囲が見えたことで、理解不足の度合いが具体的になると思うので、質問もしやすくなると思います。現時点では求められてることがわかってないので、質問することが難しいです。"/>
        <s v="一度社内説明会のようなものがあれば嬉しい気がしました。後は覚えるためにも極力マニュアルで各個人がやってみて、行きづまってから相談するようにした方が良いと感じます。"/>
        <s v="全体的な知識の底上げの研修_x000a_・クライアントPCからサーバーに接続してサーバー内でPC業務を行っているなどの基礎知識_x000a_・サーバーに負荷をかけない日常業務の進め方の研修_x000a_・メールに極力データを添付しない、Excelなど重くならないやり方など"/>
        <s v="マニュアルが欲しい。そのうえで質問しやすい環境がほしい。"/>
        <s v="・MS365の基本操作の実演と初心者でもわかりやすいマニュアルがほしいです"/>
        <s v="製造の新入社員はエクセル、ワードのスキルがない人が多い。上司が直接教える以外のサポート環境があれば有難い。"/>
        <s v="質問しやすい環境と操作マニュアルは欲しい"/>
        <s v="気になる事があればどこの何へ質問をすれば良いか窓口が明確にあると助かる。"/>
        <s v="操作マニュアル"/>
        <s v="質問しやすい環境があれば嬉しいです。"/>
        <s v="社内のネットワーク関連について質問できる、担当者や部署を定めてほしい"/>
        <s v="MS365をネットで調べるだけでは知識が身につかないので、実務ベースでの研修をしていただきたい。パソコン用語が難しいので理解できるような資料もほしい。"/>
        <s v="ＩＴに疎いので分からない時に気軽に確認できるコールセンターやチャット相談などがあれば嬉しいです。"/>
        <s v="いつでも質問できる環境があると嬉しいです。Chatなどでもありがたいですが伝わりにくかったり説明に時間がかかるので電話でも繋がるとさらに嬉しいです"/>
        <s v="操作マニュアルがあれば非常にありがたいです"/>
        <s v="例であげていただいてるように実演や勉強会のようなもので教えてほしい。"/>
        <s v="液体製造は人員が不足の為、日々製造で手一杯です。夕方にパソコンを使用するのでわからない事があれば電話ですぐに対応して欲しい。"/>
        <s v="操作マニュアルが欲しい"/>
        <s v="エクセルのVBAを教えて欲しい（独学の限界を感じてます）。"/>
        <s v="チャットワークも人によって有料、無料プランのバラツキがあるので、Microsoft 365で同じチャットツールが使えるのは良いと思います。"/>
        <s v="現場で使用しているパソコンのスペックが良くないので固まったり再接続の回数が多く作業に時間を要している。"/>
        <s v="業務が１人作業のため使いづらい等の意見が出ませんでした。何卒よろしくお願いいたします。"/>
        <s v="パソコン本体が重たい。"/>
        <s v="ＩＴ関係の知識がないのでこれを機に向上出来る機会にしたいので、研修などには参加していきたい。"/>
        <s v="現状問題なのは製造中空いた時間にパソコン作業する際フリーズや動作が遅くなるのが一番不便を感じる。TPIXも動作が鈍い時があるので改善してほしい。_x000a_どんなふうに変わるのか分からないので、フォルダやデータ管理を個々で管理していきましょうと言われても、変わることによってどういう事をしていいか分からない。なので色々と質問されても分からないので、後々こうしたいとかは出てくる。"/>
        <s v="軽いフリーズをすることが結構あるので回線がもっといい環境になれば嬉しいです。"/>
        <s v="プレDXによってサーバー内がどのように変わるのか知りたいと思います。"/>
        <s v="回線が遅い（フリーズが多い）気がするので少しでもスムーズになってほしいと思います。"/>
        <s v="簡易になればうれしいです。"/>
        <s v="全体的にITスキルが上がり、個人差が少しでも埋まれば、もう少しスムーズな運用が可能になるのかな、と思ったりすることがあります。"/>
        <s v="操作が複雑にならない、工程が増えないことが希望です。"/>
        <s v="今すぐでなぐの要望ではないですが、会社を大きくしていきたい。していく。という前提の上で、常駐でなくて外部委託でもいいと思うので、先ず情報システム部の専任が欲しいです。_x000a_会社が大きくなれば、インフラやシステム保守は今後重要度は増すので、兼任では厳しいタイミングが来ると思うのと、サーバリプレイスで、クラウド等もうまく利用して仕事しやすい環境を目指す上で、社員や顧客の個人情報や、クライアント様が絡むような情報漏洩（イベント、商品企画・発売やコラボ情報等）を防ぐ環境作りを希望します。"/>
        <s v="専門的な内容多く、とっつきにくい印象をもたれがちではあるもののサーバーは全員が使用しており、サーバーに接続しないとPC業務が行えないので全員最低限の知識と、決められた運用守りより良いサーバー環境での業務ができるよう意識をもって取り組んでいきたいと思います"/>
        <s v="定期的にパソコンのフリーズがあるので安定してほしい。工程が複雑にならず、ダブった作業は増えないでほしい。簡易になれば嬉しい。"/>
        <s v="迷惑メールが増えている。今でもフリーズすることがある。"/>
        <s v="ルールなど決まった際はみんながきちんとルール通りにしていけることを希望です"/>
        <s v="ウイルス騒動以降ずっとメールの振り分けがおかしい(全体の設定？をやりなおすと聞いていたが何も始まらず、振り分けを一から設定しなおすべきか知りたい)。メールタイトルに「～が次の人の代理で送信しました」というのが出ないようにして欲しい。デスクトップのアイコンが頻度は低いがシャッフルされてしまう現象を止めて欲しい。"/>
        <s v="特にございません。"/>
        <s v="特になし。"/>
        <s v="ネットへアクセスできない時の日々の業務が滞ることが心配なので最悪の場合、電話・ＦＡＸ・手書き伝票で対応出来るようにローカルで作業できる保険があると安心です。"/>
        <s v="電子化が進んでるので今より電子データの容量が増えるのが心配です。ネットが繋がらなかったときに予備の回線というか別回線が使えたらなーと思います。すみません。"/>
        <s v="特にはありません。"/>
        <s v="管理のリーダーはパソコンが強い人が行った方が良いと思います。"/>
        <s v="シンクライアントを使わないなら、PCのスペックを上げて欲しい。（ラベル屋さん的なアプリを使うことがあるのですが、GPUとかって高い方がいいですか？）_x000a_サーバーに付随して思ったことですが、当社のHPに、規格書やSDSを載せれる物だけ載せれば、問い合わせ対応が減ると思う（営業や付随部署の負担軽減目的）。_x000a_調味料製剤のご要望承ります。みたいな物があればいいと思う（売上アップ目的）。"/>
        <s v="商談時や移動時にVPN接続をしなければ共有フォルダなど見られず、よりクイックにスマホやPCから閲覧・操作をしたい。新幹線移動が多く、電波が悪い時にローカルで作業できそれがサーバーと紐づけると良い。スマホである程度のメールチェックなどしたいが、全て入ると量が多すぎて困る。現在チャットなどは保存機能を活用。メールもアプリで管理できると。。"/>
        <s v="サーバーや回線等による作業待ち時間を減らしたい_x000a_スマホから資料を作成、確認、送付できるようにしたい（見積書、発注書、試作概要書、受注フォーマット、裏面原稿、仕様書、製造予定、倉庫在庫、営業資料etc...）_x000a_売上、粗利、数量などの予実を極力リアルタイムで共有、把握できるようにしたい。_x000a_案件全体の進捗状況を一覧でタスク化（把握、確認）したい。（試作、原価、見積、安定性試験、容器相性試験、受注、契約書締結、校正、資材納期、製造予定、出荷etc...）_x000a_メールやcahtの連絡時間を省略したい（保存や更新をしたら共有者へ自動通知など）_x000a_生成AIなどで試作概要書や提案書を自動作成したい_x000a_必要な情報をすぐに見つけられるようにしたい（例：ワークフローからその資料へアクセスなど）_x000a_ワークフローを誰でもすぐに確認して実行できるようにしたい（ISOの手順書のような紙ベースでは、手順通りの実行が難しいと感じる）_x000a_売上機会損失を減らしたい（納品から一定期間が空いたら担当営業へ自動通知など）_x000a_日報が属人的な内容にならないようメール以外の簡単な方法で見やすくしたい_x000a_気づきや改善要望は日報ではなく別の共有方法にしたい"/>
        <s v="パートさんの給与時間計算、社員同様にKING OF TIME化できれば負担軽減できる。"/>
        <s v="・日/週ルーティンのデータベースからの抽出/加工作業　手動作業が多く、日々時間がかかってしまうため、AIを用いて改善中_x000a_・電話での原料の在庫/入荷/使用予定の問い合わせへの対応　ヒアリングの上、ツールを作成し改善を計画している"/>
        <s v="クライアント毎のスケジュール表作成・概算コストの試算"/>
        <s v="バルク・充填製造予定表の更新、定例会議の議事録"/>
        <s v="アンファー資材の入荷日ごとの入荷記録と入出庫記録用紙の作成・ファイリング→生産管理課が出来る前からの作業。システムで大体把握できる気がするのでデータで管理したい"/>
        <s v="定期的な集計作業や、複数のExcel・CSVを扱う作業。特に、同じ内容を複数ファイルへ入力・転記する工程が当てはまると思います。"/>
        <s v="経済産業省アルコール使用簿作成、グリセリンドレー手配作業、パソコン等電化製品処分、毎日のグリセリン在庫調べ、アルタン在庫報告、裏の駐輪場他の掃除、製造中の入出荷作業"/>
        <s v="案件依頼書の作成、案件見込共有、出荷判定取次、出荷連絡、契約書チェック"/>
        <s v="毎月の社員の体温を記録する用紙の作成（ファイル名：健康管理①就業前検温測定記録 (00000003)　　内容：基本的な色付けや社員名は自動化できているが、参照が上手く出来ない部分は手で行っている）_x000a_毎週、食添（粉体）の包材の個数をチェックし、必要な物は発注を行う。（ファイル名：包材在庫管理表　　内容：包材（ダンボール、袋、ラベル）の個数をチェックし、必要な物は発注を行う。）"/>
        <s v="「月産製造結果表　2026年粉体」日毎と週間の毎月範囲指定する必要がある 　"/>
        <s v="現状特にありません"/>
        <s v="メールを送る際にどういったメーリスが存在し、どなたに配信されるのかいまだに不明です。メールアドレス一覧やメーリス配信先など閲覧しやすくなるとメールを送る際の時短になり送り漏れがなくなると感じます。メールを送る際に送り先に悩む時間が発生する事がある為まずは一覧が欲しいです。"/>
        <s v="バルク製造指図書の新規発行、原料在庫表と識別表の一元化できていない、バルクの概算原価（原料発注を開発でしなくなったため、生産管理に聞かないと解決できない場合がある）"/>
        <s v="化粧品用資材における検品用サンプルの抜取作業が、本社から第一倉庫まで移動せねばならず不便に感じています。"/>
        <s v="ない"/>
        <s v="奉行クラウド使用者が生産管理内で4人いるがアカウント数が2しかない。後者が乗っ取り出来るので使用と終了の共有をしているが手間であり、急ぎ発注の時や他人の使用を妨げそうで不便"/>
        <s v="ファイル名：週末在庫(伊澤入力分)（会長と善鐘取締役に毎週末報告しています）"/>
        <s v="業務内容：翌週の分までの包装指図書の進捗状況のリスト更新_x000a_理由：各包装指図書について、ひとつずつ状況を確認しているため、手間となっています。_x000a_ファイル名：包装製造指図書の進捗状況.xlsx"/>
        <s v="生産管理システムの実績入力などのNG数や資材ロットの選択などの入力作業。エラーの頻度が多く都度生産管理の方へ一報いれているが、エラーが出ないように出来るのであればありがたいです。"/>
        <s v="現場作業の物理的な問題になりますが、半製品置き場の収容ドラムのピッキング（有香、無香）"/>
        <s v="ほぼルーティン業務はないので、特にありません。"/>
        <s v="取引先からの書類を電子保存するとき、個別にアクセスしたり保存法に合わせた名前に変えるときに思います"/>
        <s v="・包装工程作業日報のメール配信。毎日ファックスで来たものをスキャンしてpdf化しているため、手間に感じることがあります。_x000a_・無料の本での企業調査。95年版のためデータが古く、該当企業が載ってないことが多い。"/>
        <s v="「資材入荷状況一覧」を時々使用しますが生産管理部と管理部で共有で使用するファイルのため、どなたかが使用中ですと入力できません。入力できるタイミングをお互いに確認しあわないといけないため少し面倒だなと思います。あと使用していない時にその人が使用している表示が出ることがあります。"/>
        <s v="・入荷資材検品　支給資材などで、事前連絡なく微細な改版があるものなど目視検査では見落としてしまうリスクがある"/>
        <s v="充填製造予定表で島田主任に作成いただき、そのあと、変更箇所・資材納期状況確認し色付けするなどは、意外に時間をとるため少し手間です。_x000a_バルク製造予定表は、バルクの昔からの予定表で確認・転記して、充填日・検査合格日の記載とチェックは大切ですが手間ではあります。"/>
        <s v="アンファー製造予定変更時の化粧箱納期間に合っているかの確認"/>
        <s v="数値の転記や、複数ファイル間の数値照合作業。手作業でのチェックが多く、集中力を要するため、負荷がかかっていると思います。"/>
        <s v="液体製品で別名が複数ある商品"/>
        <s v="ミス：試験成績書の作成。数値の照合_x000a_チェックに時間がかかる：ロート製薬の出荷判定書の作成。転記作業"/>
        <s v="受注商品（在庫品）のロット管理　同一商品を複数の客先に出し、受注順と納期順も異なる"/>
        <s v="武内製薬様など製品数が多い種類の在庫表の作業を行う際どうしても見落としが出てしまいます。単純にファイルの問題というよりは製品全てが同じ在庫表の為(笑栄様などは案件毎に在庫表があります)、チェック項目が多くありミス自体は個人的な問題かと思います。ただ、在庫表の中で一番作業時間がかかる業務です。"/>
        <s v="案件依頼書は他案件からのコピペで作成していること等があり、案件を取り組む前に指図があっているかのやりとりをする工程が時々ある。案件依頼書は実務する方がやりやすいように改善検討してはどうかと考えます。"/>
        <s v="納品予定資材と納品書の照合、資材ケースからの検品用サンプルの抜き取り作業"/>
        <s v="指図書等の書類の確認。"/>
        <s v="原料発注において堂島実業様納品分を記録する直送予定一覧エクセルの更新漏れが起きやすい。週1～2回TPiCSとエクセルを参照して変更漏れがないか確認はしているが発注済みの納期変更や数量変更が多くTPiCSの変更のみになっていることがたまにある"/>
        <s v="配合時に指示書と照らし合わせての数量、数字の確認"/>
        <s v="特に思い当たりません。"/>
        <s v="業務内容：包装指図書の作成(システムデータ及びExcelやpdfからのデータ転記・確認)_x000a_理由：確認する資料が複数あり、入力を間違えていても気付く仕組みができていない為_x000a_ファイル名：例 　製造指図書／包装 (Rev.03)　mamacharmママクリーム＜柑橘＞Amazon仕様300g.xlsx"/>
        <s v="製造の加工賃を比較する時に、誰が作業していたかを確認するために毎日撮影しているホワイトボードの人員割り振りの画像と各工程の加工賃を照らし合わせているので、加工賃のページで各工程と作業者がリンクしていれば捗ります。あと、製造日を記載しといて欲しいです。"/>
        <s v="概算見積もりの作成、確認に多少時間はかかっています。資材メーカーの見積もりをエクセルに詳細打ち込むのと内容あっているかの確認が面倒です。"/>
        <s v="請求金額と入金額の照合。ネットバンキングで抽出したデータを奉行クラウド内で自動照合できればミスも手間も省けるのではないかと思います。（既に方法があって、自分が知らないだけかもしれませんが）"/>
        <s v="「コスメファクトリー包装工程作業日報」を出荷送り状のチェックの際にロットナンバーや数量の確認に使用しています。現在コスメから本社へＦＡＸで受信し丸中さんがＰＤＦにしてメールでお送りいただいていますがときどき文字が見えにくい場合がありますのでエクセルなどになれば見やすくなり検索もできるかと思いますが、製造現場での作業の都合もあるかと思いますのでお互いに負担にならない感じで何かいい方法があればいいと思います。"/>
        <s v="ISO22716取得後の書類作成が多すぎる。特に製造指図書"/>
        <s v="・日/週のルーティン作業　　Q1の内容と同じです"/>
        <s v="定型フォーマットの報告資料作成や、データ収集から集計までの一連の作業。手順が多く、改善余地があると感じます。"/>
        <s v="案件依頼書、案件見込管理、出荷判定取次フロー、出荷連絡フロー、契約書チェック"/>
        <s v="包材管理。在庫がなければ製造ができないのに、在庫管理が全て人力に依存している。_x000a_管理品目の多さ。通年を通してマンパワー不足。管理名称と包材などの商品名がイコールではないことが、時間を削っている（工数がかかりすぎている）。"/>
        <s v="特に思いつきません。"/>
        <s v="予定資材の照合の際、急な予定変更が行われていると、その正否が確認できない。第一倉庫で抜き取りを行うが作業場が衛生的でないため汚れの混入が心配。"/>
        <s v="〇グリセリンを使用するとき、ドラム原料のためエアーで充填できる治具を使用しているのですが、古くなっているせいか出てくる量があまりにも遅いです。多く量を使用するときなどとても時間がかかります。新しいものを購入するなどして改善したいです。_x000a_〇常温や冬などに気温が低い状態で保管していると固まる原料があります。使用するときに加温をして溶かさないといけないのですが、加温機に入れるか湯煎をするかで対応しています。現在使用している加温機が一斗缶を最大4缶までしか入れられず、それ以上溶かさないといけない原料がある場合に困っています。大きい加温機を購入するなど改善をしたいです。_x000a_〇原料を保管する冷蔵庫もいっぱいになってきており、新しい冷蔵庫を購入するなどして改善したいです。"/>
        <s v="無い"/>
        <s v="毎週行っている1か月分の危険物保管量の計算。計算自体は足し引きだが使用日とその数量を調べるのに時間がかかる"/>
        <s v="現場での手順の多い配合などはこれまで改善もしてきており、今現在工程の多いものは今のところ仕方ないかなと思います。事務仕事では別にありません。"/>
        <s v="業務内容：バルク製造量の計算用データ作成_x000a_理由：バルク製造量の計算に必要な情報(最大充填規格値、充填予定数、危険物を考慮した最大バルク製造量、開発担当者、製造予定設備等)を集めるのに時間が掛かる_x000a_ファイル名：バルク製造量確認依頼(生産管理用).xlsx"/>
        <s v="ありません。"/>
        <s v="Q2と同じ。（概算見積もりの作成、確認に多少時間はかかっています。資材メーカーの見積もりをエクセルに詳細打ち込むのと内容あっているかの確認が面倒です。）"/>
        <s v="・食添の納品書チェック　納品日・仕入先・商品名・数量・金額のリストがあればいいなと思ってます_x000a_・経費の請求書チェック　一部は請求書が届いてから発注者を探して内容確認してもらってるのでなんか良い方法ないかなとは思ってます"/>
        <s v="BeGardenの原価計上（良い方法がないか現在、思案中です）"/>
        <s v="特に無いです。"/>
        <s v="製造指図書、製造記録表等々 包装工程は係長が常にPC入力しており作業負担のため間略化希望する。"/>
        <s v="自身の作業の中で、手書き業務で負荷の高いものはないためここに該当する作業はございません"/>
        <s v="経費申請"/>
        <s v="包材に限らず、在庫管理にPC化が必要と思う。できれば、エクセルで引き落としをして、在庫量を印刷　⇒　人がチェックして、実数と合わせる　⇒　不足分は発注する。みたいな流れが取れるといいと思う。メモからの転記はロートでよくしている。予定がわかっている分は、先に書類を出して欲しい。"/>
        <s v="打ち合わせのメモをジャンル毎で整理できれば便利かも。（衛生管理委員、製造会議等）"/>
        <s v="議事録作成"/>
        <s v="納品予定資材と納品書の照合の際の予定表カレンダー。資材抜取の際には端末を使い最新データを確認できるようにしたい。"/>
        <s v="製造したバルクの現品票にメッシュの種類や香料の有無等の記載をするのですが、手書きで書いているものもあり10枚ほど現品票があるときは時間がかかりめんどくさく感じます。それぞれの製品ごとにデータ上で記入し保存したたうえで印刷出来ると楽になると思います。"/>
        <s v="手書きの仮伝票申請"/>
        <s v="どちらかというとＰＣは苦手ですので、紙で書いているほうがかえって楽です。"/>
        <s v="ありません"/>
        <s v="いまのところありません。"/>
        <s v="色々なチェックシート"/>
        <s v="ちょっと違うかもですが議事録関係の作成は、メモして入力するのが手間です。音声の書き出しをしていくつもりではいます。"/>
        <s v="ＰＤＦや画像をエクセルで加工できたらなと思ったことあります。特に表などＰＤＦの変換機能やＷｏｒｄ，メモを経由してみましたが画像になってしまい加工できなかったので諦めてました そのときの環境や状況でどうしても手書きになることもあるのでそういう機能があれば教えてほしいです"/>
        <s v="溶融充填機設備仕様 冷却設備仕様について"/>
        <s v="・Genspark、ChatGPT　　どのようなことができるのか、試しに使った程度_x000a_・Claude　　VBA、SQL、スクリプトなどの作成と修正に日常的に使用"/>
        <s v="ChatGPTでちょっとした疑問やエクセル操作など"/>
        <s v="ChatGPT　・画像生成　・WEBやPythonのコードの改善_x000a_Ollama　・ローカル環境でのLLM実行"/>
        <s v="Copilot、Gemini、Canva、ChatGPT"/>
        <s v="ない（携帯電話のSiriとか言葉での文字入力は含まれます？）"/>
        <s v="ｃｈａｔＧＰＴ"/>
        <s v="chat GPT:調べた情報を文言をまとめるために使用、画像作成等"/>
        <s v="ChatGPT。無理なお願いをする際などメールの文章に困った際に参考にしていますが仕事上ではほぼ使わずほぼプライベートで使用しています。"/>
        <s v="現在使用しているAIはありません"/>
        <s v="使用したことがありません。"/>
        <s v="使用AI及びAIエージェント：ChatGPT、Genspark　　用途：情報収集や図解などの画像生成"/>
        <s v="コパイロット、チャットジーピーティー"/>
        <s v="ないです"/>
        <s v="使用したことがないです。"/>
        <s v="全員がAIに興味・関心を持ち、使用するような環境には恐らくならないと思われるが 社内で1名でも多くAIの使い方を知り、活用することで日常業務の細かなことでも日々改善できるような環境ができれば良いと感じる"/>
        <s v="・製品の出荷依頼済の内容を、日付順で受注番号別の一覧化で見れたらなと思います　製造が立て込んだ際やトラブルなどで、出荷依頼が出てるか現場から聞かれたり、直近の予定変更の対応の場合でも、自分のタイミングで確認ができれば問い合わせも減り、確認自体も手間が減るので助かります。また、担当者も出荷依頼したかどうかの確認もしやすいと思います。_x000a_・各製品の入数やパレット積載、納品時のルール、商品または得意先様毎の特記事項などを共有・管理できて、各自のタイミングで見れる場所があれば、担当者変更やトラブルがあっても、基本情報は確認しやすく周囲もフォローしやすいと思います。_x000a_新規の取引先・商品、納品先などの場合は、必要情報の登録などは発生しますが、それだけしておけば、毎回受注フォーマット記載も不要にできるのではと思います。_x000a_TPICSでできることもあると思いますが、各自のタイミングで確認できるのがポイントで、ログイン権限など気にせず、理想は社外にいてもできるといいなと思います。"/>
        <s v="小さな改善を積み重ねることで、現場の負担軽減と品質向上の両立ができると思います。「少し楽になった」と実感できる事例が増えると、DXも自然に浸透していくと感じます。"/>
        <s v="外出や離席が多い業務は極力作業をスマホなどで出来るようにして業務効率を上げたい。_x000a_出荷連絡や出荷判定など営業を介さずに直接CLへ連絡する形にして、営業工数や連絡のタイムラグを少なくしたい。_x000a_クライアントに提出等が必要な書類関係はスマホからでも閲覧やダウンロードなど出来るようにしたい。_x000a_案件を一覧管理（受注、契約書、取り決め書、安定性試験、容器相性試験、支給原料依頼書など）して抜けや漏れを防げるようにしたい。"/>
        <s v="AIを利用したことがないので、AIが分析をできるのかわからないですが、食添は、分析値を残せば、安定・不安定な製剤が数値から見えてくる分野だと思います。下記のエクセルファイルのようなことをしたくても、とっつきにくいようで、理解が得られないのが現状です。_x000a_（ファイル名：容器のキャビナンバーごとの重量測定と開栓トルク値の結果）_x000a_何とかしたいけど、お金もかけたくないし、情報が流出するリスクは避けたいです。"/>
        <s v="原料や資材の納期日が一覧で管理できれば便利かも。"/>
        <s v="特に今のところ問題なく業務に取り掛かれているかと思います。宜しくお願い致します。"/>
        <s v="どの部署にどなたがいるのか入れ替わりもありよくわからない為、所属部署・名前・メールアドレスなどが一覧で確認できるようになると助かるなと思います。他部署からこの人どなたですかと聞かれる事もある為、社員一覧(役職)もあると新しい人にも説明しやすいです。もしすでに存在するのであれば公に告知して欲しいです。"/>
        <s v="化粧品の検品用資材の抜取作業について、区画分けしたエリアで行ったほうがよいと思われます。開封した資材ケースにゴミが混入する可能性があります。そして物流担当者の事務作業スペースとあわせてフォークリフトの通り道にあるため接触事故が起こる危険があります。"/>
        <s v="今のところ、人員増加ができればと思います。"/>
        <s v="今回の趣旨とは外れるかもしれませんがすべての現場に放送が届くようになれば良いなと思います_x000a_急ぎの電話や用件を伝えられるようにしたいです（携帯などは持込規制がありそうなので）"/>
      </sharedItems>
    </cacheField>
    <cacheField name="主担当" numFmtId="0">
      <sharedItems containsBlank="1"/>
    </cacheField>
    <cacheField name="対策/解決" numFmtId="0">
      <sharedItems containsBlank="1"/>
    </cacheField>
    <cacheField name="完了" numFmtId="179">
      <sharedItems containsNonDate="0" containsDate="1" containsString="0" containsBlank="1" minDate="2025-10-14T00:00:00" maxDate="2025-10-15T00:00:00" count="2">
        <m/>
        <d v="2025-10-14T00:00:00"/>
      </sharedItems>
    </cacheField>
    <cacheField name="氏名" numFmtId="0">
      <sharedItems count="48">
        <s v="徳永彩花"/>
        <s v="東香里"/>
        <s v="中島和哉"/>
        <s v="池田悦彰"/>
        <s v="馬場阿弥子"/>
        <s v="島田智章"/>
        <s v="北村優樹"/>
        <s v="小田晶彦"/>
        <s v="内藤恭介"/>
        <s v="小田勇雄"/>
        <s v="東口智一"/>
        <s v="図書杏子"/>
        <s v="越智絵美子"/>
        <s v="丸中都"/>
        <s v="中土陽介"/>
        <s v="大前道仁"/>
        <s v="酒井絢音"/>
        <s v="近藤雅人"/>
        <s v="宗近倶枝"/>
        <s v="山下基宏"/>
        <s v="直木美佐子"/>
        <s v="津田宝加"/>
        <s v="矢野恵"/>
        <s v="西村穂乃果"/>
        <s v="橋口千聖"/>
        <s v="鳥山一洋/中島和哉"/>
        <s v="鳥山一洋"/>
        <s v="南光彦"/>
        <s v="橋本悠司"/>
        <s v="堀真紀"/>
        <s v="野田健治"/>
        <s v="松山丈弘"/>
        <s v="藤本洸平"/>
        <s v="田中裕一"/>
        <s v="阿部俊樹"/>
        <s v="外間裕貴人"/>
        <s v="松井敬視"/>
        <s v="松下賢"/>
        <s v="寺石歩実"/>
        <s v="濱西藍伽"/>
        <s v="杉尾瑞樹"/>
        <s v="野村秀太朗"/>
        <s v="大川泰弘"/>
        <s v="伊澤浩司"/>
        <s v="森尾直浩"/>
        <s v="井上幸哉"/>
        <s v="森山貴史"/>
        <s v="中村剛"/>
      </sharedItems>
    </cacheField>
    <cacheField name="部" numFmtId="0">
      <sharedItems count="6">
        <s v="技術製造部"/>
        <s v="管理部"/>
        <s v="EC事業部"/>
        <s v="研究開発部"/>
        <s v="品質保証部"/>
        <s v="企画営業部"/>
      </sharedItems>
    </cacheField>
    <cacheField name="課" numFmtId="0">
      <sharedItems count="9">
        <s v="生産管理課"/>
        <s v="製造課"/>
        <s v="管理課"/>
        <s v="EC事業課"/>
        <s v="研究開発課"/>
        <s v="品質管理課"/>
        <s v="-"/>
        <s v="営業課"/>
        <s v="企画課"/>
      </sharedItems>
    </cacheField>
    <cacheField name="係" numFmtId="0">
      <sharedItems count="8">
        <s v="生産管理事務"/>
        <s v="生産管理"/>
        <s v="物流"/>
        <s v="バルク・顆粒"/>
        <s v="粉体"/>
        <s v="充填包装"/>
        <s v="-"/>
        <s v="液体"/>
      </sharedItems>
    </cacheField>
    <cacheField name="勤務拠点" numFmtId="0">
      <sharedItems count="5">
        <s v="本社"/>
        <s v="第一倉庫"/>
        <s v="コスメファクトリー"/>
        <s v="コスメラボラトリー"/>
        <s v="東京営業所"/>
      </sharedItems>
    </cacheField>
    <cacheField name="接続エリア" numFmtId="0">
      <sharedItems/>
    </cacheField>
    <cacheField name="月 (回答時期)" numFmtId="0" databaseField="0">
      <fieldGroup base="1">
        <rangePr groupBy="months" startDate="2025-03-30T00:00:00" endDate="2026-02-20T00:00:00"/>
        <groupItems count="14">
          <s v="&lt;2025/3/30"/>
          <s v="1月"/>
          <s v="2月"/>
          <s v="3月"/>
          <s v="4月"/>
          <s v="5月"/>
          <s v="6月"/>
          <s v="7月"/>
          <s v="8月"/>
          <s v="9月"/>
          <s v="10月"/>
          <s v="11月"/>
          <s v="12月"/>
          <s v="&gt;2026/2/20"/>
        </groupItems>
      </fieldGroup>
    </cacheField>
    <cacheField name="年 (回答時期)" numFmtId="0" databaseField="0">
      <fieldGroup base="1">
        <rangePr groupBy="years" startDate="2025-03-30T00:00:00" endDate="2026-02-20T00:00:00"/>
        <groupItems count="4">
          <s v="&lt;2025/3/30"/>
          <s v="2025年"/>
          <s v="2026年"/>
          <s v="&gt;2026/2/2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髙野愛子" refreshedDate="46105.461500810183" missingItemsLimit="0" createdVersion="8" refreshedVersion="8" minRefreshableVersion="3" recordCount="18" xr:uid="{3F6FAFAE-6200-496D-8A6E-362EF7A14673}">
  <cacheSource type="worksheet">
    <worksheetSource ref="A3:D21" sheet="🔑"/>
  </cacheSource>
  <cacheFields count="4">
    <cacheField name="氏名" numFmtId="0">
      <sharedItems/>
    </cacheField>
    <cacheField name="部" numFmtId="0">
      <sharedItems count="5">
        <s v="EC事業部"/>
        <s v="技術製造部"/>
        <s v="研究開発部"/>
        <s v="企画営業部"/>
        <s v="品質保証部"/>
      </sharedItems>
    </cacheField>
    <cacheField name="課" numFmtId="0">
      <sharedItems count="6">
        <s v="EC事業課"/>
        <s v="製造課"/>
        <s v="生産管理課"/>
        <s v="研究開発課"/>
        <s v="企画課"/>
        <s v="品質管理課"/>
      </sharedItems>
    </cacheField>
    <cacheField name="係" numFmtId="0">
      <sharedItems count="4">
        <s v="-"/>
        <s v="充填包装"/>
        <s v="物流"/>
        <s v="バルク・顆粒"/>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髙野愛子" refreshedDate="46105.461500810183" createdVersion="8" refreshedVersion="8" minRefreshableVersion="3" recordCount="45" xr:uid="{33686CD4-55F7-4780-ADB9-896258BD70F0}">
  <cacheSource type="worksheet">
    <worksheetSource ref="A1:P46" sheet="250725"/>
  </cacheSource>
  <cacheFields count="16">
    <cacheField name="No" numFmtId="0">
      <sharedItems containsSemiMixedTypes="0" containsString="0" containsNumber="1" containsInteger="1" minValue="1" maxValue="45"/>
    </cacheField>
    <cacheField name="拠点" numFmtId="0">
      <sharedItems/>
    </cacheField>
    <cacheField name="部署名 " numFmtId="0">
      <sharedItems count="8">
        <s v="研究開発部"/>
        <s v="品質保証部"/>
        <s v="直販事業部"/>
        <s v="技術製造部"/>
        <s v="生産管理課"/>
        <s v="企画課"/>
        <s v="管理部"/>
        <s v="営業課"/>
      </sharedItems>
    </cacheField>
    <cacheField name="回答者名" numFmtId="0">
      <sharedItems/>
    </cacheField>
    <cacheField name="①  今、部署で「データ管理や保管」で困っていることや不安なことは何ですか？_x000a_例：どのファイルが最新かわからない、勝手に消される、保存場所がバラバラなど  " numFmtId="0">
      <sharedItems containsBlank="1" longText="1"/>
    </cacheField>
    <cacheField name="①データ管理" numFmtId="0">
      <sharedItems containsSemiMixedTypes="0" containsString="0" containsNumber="1" containsInteger="1" minValue="0" maxValue="2" count="3">
        <n v="0"/>
        <n v="2"/>
        <n v="1"/>
      </sharedItems>
    </cacheField>
    <cacheField name="② 部署やチームで責任を持って管理するために「こんな仕組み・ルールがほしい」という希望はありますか？_x000a_例：整理のルール、フォルダ構成、更新履歴の管理など  " numFmtId="0">
      <sharedItems containsBlank="1" longText="1"/>
    </cacheField>
    <cacheField name="②仕組み・ルール" numFmtId="0">
      <sharedItems containsSemiMixedTypes="0" containsString="0" containsNumber="1" containsInteger="1" minValue="0" maxValue="2" count="3">
        <n v="0"/>
        <n v="2"/>
        <n v="1"/>
      </sharedItems>
    </cacheField>
    <cacheField name="③ MS365を使う上で「よくわからないこと」「不安なこと」「こんなサポートがほしい」ということはありますか？_x000a_例：OneDrive/SharePointの使い分け、共同編集、権限管理など  " numFmtId="0">
      <sharedItems containsBlank="1"/>
    </cacheField>
    <cacheField name="③MS365" numFmtId="0">
      <sharedItems containsSemiMixedTypes="0" containsString="0" containsNumber="1" containsInteger="1" minValue="0" maxValue="2" count="3">
        <n v="1"/>
        <n v="0"/>
        <n v="2"/>
      </sharedItems>
    </cacheField>
    <cacheField name="④ セキュリティ面で「心配なこと」「もっと知りたいこと」はありますか？_x000a_例：パスワード管理、ウイルス対策、情報漏洩、アクセス権限の設定など" numFmtId="0">
      <sharedItems containsBlank="1"/>
    </cacheField>
    <cacheField name="④セキュリティ" numFmtId="0">
      <sharedItems containsSemiMixedTypes="0" containsString="0" containsNumber="1" containsInteger="1" minValue="0" maxValue="2" count="3">
        <n v="0"/>
        <n v="2"/>
        <n v="1"/>
      </sharedItems>
    </cacheField>
    <cacheField name="⑤ 部署でITスキルを上げるために「こういうサポートや研修があればいい」という希望はありますか？_x000a_例：操作マニュアルがほしい、実演で教えてほしい、質問しやすい環境など  " numFmtId="0">
      <sharedItems containsBlank="1"/>
    </cacheField>
    <cacheField name="⑤ITスキル向上" numFmtId="0">
      <sharedItems containsSemiMixedTypes="0" containsString="0" containsNumber="1" containsInteger="1" minValue="0" maxValue="2" count="3">
        <n v="2"/>
        <n v="1"/>
        <n v="0"/>
      </sharedItems>
    </cacheField>
    <cacheField name="⑥ その他、自由に意見・要望があればご記入ください  _x000a_（例：小さいことでも何でもOKです）  " numFmtId="0">
      <sharedItems containsBlank="1" longText="1"/>
    </cacheField>
    <cacheField name="⑥その他" numFmtId="0">
      <sharedItems containsSemiMixedTypes="0" containsString="0" containsNumber="1" containsInteger="1" minValue="0" maxValue="2" count="3">
        <n v="0"/>
        <n v="2"/>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x v="0"/>
    <x v="0"/>
  </r>
  <r>
    <x v="0"/>
    <x v="0"/>
    <x v="0"/>
    <x v="0"/>
    <x v="1"/>
  </r>
  <r>
    <x v="0"/>
    <x v="0"/>
    <x v="0"/>
    <x v="0"/>
    <x v="2"/>
  </r>
  <r>
    <x v="0"/>
    <x v="0"/>
    <x v="0"/>
    <x v="0"/>
    <x v="3"/>
  </r>
  <r>
    <x v="0"/>
    <x v="0"/>
    <x v="0"/>
    <x v="0"/>
    <x v="4"/>
  </r>
  <r>
    <x v="0"/>
    <x v="0"/>
    <x v="0"/>
    <x v="0"/>
    <x v="5"/>
  </r>
  <r>
    <x v="0"/>
    <x v="1"/>
    <x v="0"/>
    <x v="0"/>
    <x v="6"/>
  </r>
  <r>
    <x v="0"/>
    <x v="1"/>
    <x v="0"/>
    <x v="0"/>
    <x v="7"/>
  </r>
  <r>
    <x v="0"/>
    <x v="2"/>
    <x v="1"/>
    <x v="1"/>
    <x v="0"/>
  </r>
  <r>
    <x v="0"/>
    <x v="0"/>
    <x v="1"/>
    <x v="1"/>
    <x v="8"/>
  </r>
  <r>
    <x v="1"/>
    <x v="3"/>
    <x v="1"/>
    <x v="1"/>
    <x v="9"/>
  </r>
  <r>
    <x v="2"/>
    <x v="2"/>
    <x v="1"/>
    <x v="2"/>
    <x v="0"/>
  </r>
  <r>
    <x v="2"/>
    <x v="4"/>
    <x v="1"/>
    <x v="2"/>
    <x v="10"/>
  </r>
  <r>
    <x v="2"/>
    <x v="4"/>
    <x v="1"/>
    <x v="2"/>
    <x v="11"/>
  </r>
  <r>
    <x v="0"/>
    <x v="5"/>
    <x v="2"/>
    <x v="3"/>
    <x v="0"/>
  </r>
  <r>
    <x v="3"/>
    <x v="0"/>
    <x v="2"/>
    <x v="3"/>
    <x v="12"/>
  </r>
  <r>
    <x v="4"/>
    <x v="1"/>
    <x v="2"/>
    <x v="3"/>
    <x v="13"/>
  </r>
  <r>
    <x v="3"/>
    <x v="5"/>
    <x v="2"/>
    <x v="3"/>
    <x v="14"/>
  </r>
  <r>
    <x v="1"/>
    <x v="6"/>
    <x v="2"/>
    <x v="3"/>
    <x v="15"/>
  </r>
  <r>
    <x v="1"/>
    <x v="7"/>
    <x v="2"/>
    <x v="3"/>
    <x v="16"/>
  </r>
  <r>
    <x v="0"/>
    <x v="4"/>
    <x v="2"/>
    <x v="4"/>
    <x v="0"/>
  </r>
  <r>
    <x v="0"/>
    <x v="1"/>
    <x v="2"/>
    <x v="4"/>
    <x v="17"/>
  </r>
  <r>
    <x v="0"/>
    <x v="1"/>
    <x v="2"/>
    <x v="4"/>
    <x v="18"/>
  </r>
  <r>
    <x v="5"/>
    <x v="8"/>
    <x v="2"/>
    <x v="4"/>
    <x v="19"/>
  </r>
  <r>
    <x v="5"/>
    <x v="2"/>
    <x v="2"/>
    <x v="5"/>
    <x v="0"/>
  </r>
  <r>
    <x v="5"/>
    <x v="2"/>
    <x v="2"/>
    <x v="5"/>
    <x v="20"/>
  </r>
  <r>
    <x v="6"/>
    <x v="2"/>
    <x v="2"/>
    <x v="6"/>
    <x v="0"/>
  </r>
  <r>
    <x v="6"/>
    <x v="2"/>
    <x v="2"/>
    <x v="6"/>
    <x v="21"/>
  </r>
  <r>
    <x v="5"/>
    <x v="4"/>
    <x v="2"/>
    <x v="7"/>
    <x v="0"/>
  </r>
  <r>
    <x v="5"/>
    <x v="4"/>
    <x v="2"/>
    <x v="7"/>
    <x v="20"/>
  </r>
  <r>
    <x v="6"/>
    <x v="4"/>
    <x v="3"/>
    <x v="8"/>
    <x v="0"/>
  </r>
  <r>
    <x v="3"/>
    <x v="4"/>
    <x v="4"/>
    <x v="8"/>
    <x v="22"/>
  </r>
  <r>
    <x v="7"/>
    <x v="4"/>
    <x v="4"/>
    <x v="8"/>
    <x v="23"/>
  </r>
  <r>
    <x v="6"/>
    <x v="5"/>
    <x v="5"/>
    <x v="9"/>
    <x v="0"/>
  </r>
  <r>
    <x v="8"/>
    <x v="9"/>
    <x v="5"/>
    <x v="9"/>
    <x v="24"/>
  </r>
  <r>
    <x v="9"/>
    <x v="10"/>
    <x v="5"/>
    <x v="9"/>
    <x v="25"/>
  </r>
  <r>
    <x v="10"/>
    <x v="11"/>
    <x v="5"/>
    <x v="9"/>
    <x v="26"/>
  </r>
  <r>
    <x v="11"/>
    <x v="12"/>
    <x v="6"/>
    <x v="10"/>
    <x v="0"/>
  </r>
  <r>
    <x v="12"/>
    <x v="13"/>
    <x v="7"/>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6">
  <r>
    <x v="0"/>
    <x v="0"/>
    <m/>
    <m/>
    <m/>
    <x v="0"/>
    <x v="0"/>
    <x v="0"/>
    <x v="0"/>
    <x v="0"/>
    <x v="0"/>
    <m/>
    <m/>
    <m/>
    <m/>
    <m/>
    <x v="0"/>
    <x v="0"/>
    <m/>
    <m/>
    <x v="0"/>
    <x v="0"/>
    <x v="0"/>
    <x v="0"/>
    <x v="0"/>
    <x v="0"/>
    <s v="3F/シンク前"/>
  </r>
  <r>
    <x v="1"/>
    <x v="0"/>
    <m/>
    <m/>
    <m/>
    <x v="0"/>
    <x v="1"/>
    <x v="0"/>
    <x v="0"/>
    <x v="0"/>
    <x v="0"/>
    <m/>
    <m/>
    <m/>
    <m/>
    <m/>
    <x v="0"/>
    <x v="1"/>
    <m/>
    <m/>
    <x v="0"/>
    <x v="0"/>
    <x v="0"/>
    <x v="0"/>
    <x v="0"/>
    <x v="0"/>
    <s v="3F/シンク前"/>
  </r>
  <r>
    <x v="2"/>
    <x v="0"/>
    <m/>
    <m/>
    <m/>
    <x v="0"/>
    <x v="0"/>
    <x v="0"/>
    <x v="0"/>
    <x v="1"/>
    <x v="0"/>
    <m/>
    <m/>
    <m/>
    <m/>
    <m/>
    <x v="0"/>
    <x v="2"/>
    <m/>
    <m/>
    <x v="0"/>
    <x v="0"/>
    <x v="0"/>
    <x v="0"/>
    <x v="0"/>
    <x v="0"/>
    <s v="3F/シンク前"/>
  </r>
  <r>
    <x v="3"/>
    <x v="0"/>
    <m/>
    <m/>
    <m/>
    <x v="0"/>
    <x v="1"/>
    <x v="0"/>
    <x v="0"/>
    <x v="0"/>
    <x v="0"/>
    <m/>
    <m/>
    <m/>
    <m/>
    <m/>
    <x v="0"/>
    <x v="3"/>
    <m/>
    <m/>
    <x v="0"/>
    <x v="1"/>
    <x v="0"/>
    <x v="0"/>
    <x v="0"/>
    <x v="0"/>
    <s v="3F/シンク前"/>
  </r>
  <r>
    <x v="4"/>
    <x v="0"/>
    <m/>
    <m/>
    <m/>
    <x v="0"/>
    <x v="2"/>
    <x v="0"/>
    <x v="0"/>
    <x v="0"/>
    <x v="0"/>
    <m/>
    <m/>
    <m/>
    <m/>
    <m/>
    <x v="0"/>
    <x v="4"/>
    <m/>
    <m/>
    <x v="0"/>
    <x v="1"/>
    <x v="0"/>
    <x v="0"/>
    <x v="0"/>
    <x v="0"/>
    <s v="3F/シンク前"/>
  </r>
  <r>
    <x v="5"/>
    <x v="0"/>
    <m/>
    <m/>
    <m/>
    <x v="0"/>
    <x v="2"/>
    <x v="0"/>
    <x v="0"/>
    <x v="0"/>
    <x v="0"/>
    <m/>
    <m/>
    <m/>
    <m/>
    <m/>
    <x v="0"/>
    <x v="5"/>
    <m/>
    <m/>
    <x v="0"/>
    <x v="1"/>
    <x v="0"/>
    <x v="0"/>
    <x v="0"/>
    <x v="0"/>
    <s v="3F/シンク前"/>
  </r>
  <r>
    <x v="6"/>
    <x v="0"/>
    <m/>
    <m/>
    <m/>
    <x v="0"/>
    <x v="0"/>
    <x v="0"/>
    <x v="0"/>
    <x v="1"/>
    <x v="0"/>
    <m/>
    <m/>
    <m/>
    <m/>
    <m/>
    <x v="0"/>
    <x v="6"/>
    <m/>
    <m/>
    <x v="0"/>
    <x v="1"/>
    <x v="0"/>
    <x v="0"/>
    <x v="0"/>
    <x v="0"/>
    <s v="3F/シンク前"/>
  </r>
  <r>
    <x v="7"/>
    <x v="0"/>
    <m/>
    <m/>
    <m/>
    <x v="0"/>
    <x v="0"/>
    <x v="1"/>
    <x v="1"/>
    <x v="1"/>
    <x v="1"/>
    <m/>
    <m/>
    <m/>
    <m/>
    <m/>
    <x v="0"/>
    <x v="7"/>
    <m/>
    <m/>
    <x v="0"/>
    <x v="0"/>
    <x v="0"/>
    <x v="0"/>
    <x v="0"/>
    <x v="0"/>
    <s v="3F/シンク前"/>
  </r>
  <r>
    <x v="8"/>
    <x v="0"/>
    <m/>
    <m/>
    <m/>
    <x v="0"/>
    <x v="0"/>
    <x v="1"/>
    <x v="1"/>
    <x v="1"/>
    <x v="1"/>
    <m/>
    <m/>
    <m/>
    <m/>
    <m/>
    <x v="0"/>
    <x v="7"/>
    <m/>
    <m/>
    <x v="0"/>
    <x v="1"/>
    <x v="0"/>
    <x v="0"/>
    <x v="0"/>
    <x v="0"/>
    <s v="3F/シンク前"/>
  </r>
  <r>
    <x v="9"/>
    <x v="0"/>
    <m/>
    <m/>
    <m/>
    <x v="0"/>
    <x v="0"/>
    <x v="0"/>
    <x v="0"/>
    <x v="1"/>
    <x v="0"/>
    <m/>
    <m/>
    <m/>
    <m/>
    <m/>
    <x v="0"/>
    <x v="8"/>
    <m/>
    <m/>
    <x v="0"/>
    <x v="2"/>
    <x v="0"/>
    <x v="0"/>
    <x v="1"/>
    <x v="0"/>
    <s v="3F/シンク前"/>
  </r>
  <r>
    <x v="10"/>
    <x v="0"/>
    <m/>
    <m/>
    <m/>
    <x v="0"/>
    <x v="0"/>
    <x v="0"/>
    <x v="0"/>
    <x v="1"/>
    <x v="0"/>
    <m/>
    <m/>
    <m/>
    <m/>
    <m/>
    <x v="0"/>
    <x v="9"/>
    <m/>
    <m/>
    <x v="0"/>
    <x v="2"/>
    <x v="0"/>
    <x v="0"/>
    <x v="1"/>
    <x v="0"/>
    <s v="3F/シンク前"/>
  </r>
  <r>
    <x v="11"/>
    <x v="0"/>
    <m/>
    <m/>
    <m/>
    <x v="0"/>
    <x v="0"/>
    <x v="0"/>
    <x v="0"/>
    <x v="0"/>
    <x v="0"/>
    <m/>
    <m/>
    <m/>
    <m/>
    <m/>
    <x v="0"/>
    <x v="10"/>
    <m/>
    <m/>
    <x v="0"/>
    <x v="2"/>
    <x v="0"/>
    <x v="0"/>
    <x v="1"/>
    <x v="0"/>
    <s v="3F/シンク前"/>
  </r>
  <r>
    <x v="12"/>
    <x v="0"/>
    <m/>
    <m/>
    <m/>
    <x v="0"/>
    <x v="3"/>
    <x v="0"/>
    <x v="1"/>
    <x v="1"/>
    <x v="1"/>
    <m/>
    <m/>
    <m/>
    <n v="1"/>
    <m/>
    <x v="0"/>
    <x v="11"/>
    <m/>
    <m/>
    <x v="0"/>
    <x v="2"/>
    <x v="0"/>
    <x v="0"/>
    <x v="1"/>
    <x v="0"/>
    <s v="3F/シンク前"/>
  </r>
  <r>
    <x v="13"/>
    <x v="0"/>
    <m/>
    <m/>
    <m/>
    <x v="0"/>
    <x v="0"/>
    <x v="0"/>
    <x v="0"/>
    <x v="1"/>
    <x v="0"/>
    <m/>
    <m/>
    <m/>
    <m/>
    <m/>
    <x v="0"/>
    <x v="12"/>
    <m/>
    <m/>
    <x v="0"/>
    <x v="3"/>
    <x v="0"/>
    <x v="0"/>
    <x v="2"/>
    <x v="1"/>
    <s v="1F/南西角"/>
  </r>
  <r>
    <x v="14"/>
    <x v="0"/>
    <m/>
    <m/>
    <m/>
    <x v="0"/>
    <x v="4"/>
    <x v="0"/>
    <x v="0"/>
    <x v="1"/>
    <x v="1"/>
    <m/>
    <m/>
    <m/>
    <m/>
    <m/>
    <x v="0"/>
    <x v="13"/>
    <m/>
    <m/>
    <x v="0"/>
    <x v="3"/>
    <x v="0"/>
    <x v="0"/>
    <x v="2"/>
    <x v="1"/>
    <s v="1F/南西角"/>
  </r>
  <r>
    <x v="15"/>
    <x v="0"/>
    <m/>
    <m/>
    <m/>
    <x v="0"/>
    <x v="5"/>
    <x v="1"/>
    <x v="0"/>
    <x v="0"/>
    <x v="0"/>
    <m/>
    <m/>
    <m/>
    <m/>
    <m/>
    <x v="0"/>
    <x v="14"/>
    <m/>
    <m/>
    <x v="0"/>
    <x v="4"/>
    <x v="0"/>
    <x v="0"/>
    <x v="1"/>
    <x v="0"/>
    <s v="3F/シンク前"/>
  </r>
  <r>
    <x v="16"/>
    <x v="0"/>
    <m/>
    <m/>
    <m/>
    <x v="0"/>
    <x v="1"/>
    <x v="0"/>
    <x v="0"/>
    <x v="0"/>
    <x v="0"/>
    <m/>
    <m/>
    <m/>
    <m/>
    <m/>
    <x v="0"/>
    <x v="15"/>
    <m/>
    <m/>
    <x v="0"/>
    <x v="4"/>
    <x v="0"/>
    <x v="0"/>
    <x v="1"/>
    <x v="0"/>
    <s v="3F/シンク前"/>
  </r>
  <r>
    <x v="17"/>
    <x v="0"/>
    <m/>
    <m/>
    <m/>
    <x v="0"/>
    <x v="3"/>
    <x v="0"/>
    <x v="1"/>
    <x v="1"/>
    <x v="1"/>
    <m/>
    <m/>
    <m/>
    <n v="1"/>
    <m/>
    <x v="0"/>
    <x v="16"/>
    <m/>
    <m/>
    <x v="0"/>
    <x v="4"/>
    <x v="0"/>
    <x v="0"/>
    <x v="1"/>
    <x v="0"/>
    <s v="3F/シンク前"/>
  </r>
  <r>
    <x v="18"/>
    <x v="0"/>
    <m/>
    <m/>
    <m/>
    <x v="0"/>
    <x v="0"/>
    <x v="0"/>
    <x v="0"/>
    <x v="1"/>
    <x v="0"/>
    <m/>
    <m/>
    <m/>
    <m/>
    <m/>
    <x v="0"/>
    <x v="17"/>
    <m/>
    <m/>
    <x v="0"/>
    <x v="4"/>
    <x v="0"/>
    <x v="0"/>
    <x v="1"/>
    <x v="0"/>
    <s v="3F/シンク前"/>
  </r>
  <r>
    <x v="19"/>
    <x v="0"/>
    <m/>
    <m/>
    <m/>
    <x v="0"/>
    <x v="0"/>
    <x v="0"/>
    <x v="0"/>
    <x v="0"/>
    <x v="0"/>
    <m/>
    <m/>
    <m/>
    <m/>
    <m/>
    <x v="0"/>
    <x v="18"/>
    <m/>
    <m/>
    <x v="0"/>
    <x v="4"/>
    <x v="0"/>
    <x v="0"/>
    <x v="1"/>
    <x v="0"/>
    <s v="3F/シンク前"/>
  </r>
  <r>
    <x v="20"/>
    <x v="0"/>
    <m/>
    <m/>
    <m/>
    <x v="0"/>
    <x v="5"/>
    <x v="1"/>
    <x v="0"/>
    <x v="0"/>
    <x v="0"/>
    <m/>
    <m/>
    <m/>
    <m/>
    <m/>
    <x v="0"/>
    <x v="19"/>
    <m/>
    <m/>
    <x v="0"/>
    <x v="5"/>
    <x v="0"/>
    <x v="0"/>
    <x v="1"/>
    <x v="0"/>
    <s v="3F/シンク前"/>
  </r>
  <r>
    <x v="21"/>
    <x v="0"/>
    <m/>
    <m/>
    <m/>
    <x v="0"/>
    <x v="0"/>
    <x v="0"/>
    <x v="0"/>
    <x v="1"/>
    <x v="0"/>
    <m/>
    <m/>
    <m/>
    <m/>
    <m/>
    <x v="0"/>
    <x v="10"/>
    <m/>
    <m/>
    <x v="0"/>
    <x v="5"/>
    <x v="0"/>
    <x v="0"/>
    <x v="1"/>
    <x v="0"/>
    <s v="3F/シンク前"/>
  </r>
  <r>
    <x v="22"/>
    <x v="0"/>
    <m/>
    <m/>
    <m/>
    <x v="0"/>
    <x v="0"/>
    <x v="0"/>
    <x v="0"/>
    <x v="1"/>
    <x v="0"/>
    <m/>
    <m/>
    <m/>
    <m/>
    <m/>
    <x v="0"/>
    <x v="20"/>
    <m/>
    <m/>
    <x v="0"/>
    <x v="5"/>
    <x v="0"/>
    <x v="0"/>
    <x v="1"/>
    <x v="0"/>
    <s v="3F/シンク前"/>
  </r>
  <r>
    <x v="23"/>
    <x v="0"/>
    <m/>
    <m/>
    <m/>
    <x v="0"/>
    <x v="6"/>
    <x v="1"/>
    <x v="0"/>
    <x v="0"/>
    <x v="0"/>
    <m/>
    <m/>
    <m/>
    <m/>
    <m/>
    <x v="0"/>
    <x v="21"/>
    <m/>
    <m/>
    <x v="0"/>
    <x v="5"/>
    <x v="0"/>
    <x v="0"/>
    <x v="1"/>
    <x v="0"/>
    <s v="3F/シンク前"/>
  </r>
  <r>
    <x v="24"/>
    <x v="0"/>
    <m/>
    <m/>
    <m/>
    <x v="0"/>
    <x v="0"/>
    <x v="0"/>
    <x v="0"/>
    <x v="1"/>
    <x v="0"/>
    <m/>
    <m/>
    <m/>
    <m/>
    <m/>
    <x v="0"/>
    <x v="22"/>
    <m/>
    <m/>
    <x v="0"/>
    <x v="6"/>
    <x v="0"/>
    <x v="0"/>
    <x v="2"/>
    <x v="2"/>
    <s v="1F/事務所"/>
  </r>
  <r>
    <x v="25"/>
    <x v="0"/>
    <m/>
    <m/>
    <m/>
    <x v="0"/>
    <x v="0"/>
    <x v="0"/>
    <x v="0"/>
    <x v="1"/>
    <x v="0"/>
    <m/>
    <m/>
    <m/>
    <m/>
    <m/>
    <x v="0"/>
    <x v="23"/>
    <m/>
    <m/>
    <x v="0"/>
    <x v="6"/>
    <x v="0"/>
    <x v="0"/>
    <x v="2"/>
    <x v="2"/>
    <s v="1F/事務所"/>
  </r>
  <r>
    <x v="26"/>
    <x v="0"/>
    <m/>
    <m/>
    <m/>
    <x v="0"/>
    <x v="0"/>
    <x v="0"/>
    <x v="0"/>
    <x v="1"/>
    <x v="0"/>
    <m/>
    <m/>
    <m/>
    <m/>
    <m/>
    <x v="0"/>
    <x v="24"/>
    <m/>
    <m/>
    <x v="0"/>
    <x v="7"/>
    <x v="0"/>
    <x v="1"/>
    <x v="3"/>
    <x v="3"/>
    <s v="2F/事務所"/>
  </r>
  <r>
    <x v="27"/>
    <x v="0"/>
    <m/>
    <m/>
    <m/>
    <x v="0"/>
    <x v="7"/>
    <x v="0"/>
    <x v="0"/>
    <x v="0"/>
    <x v="1"/>
    <m/>
    <m/>
    <m/>
    <m/>
    <m/>
    <x v="0"/>
    <x v="25"/>
    <m/>
    <m/>
    <x v="0"/>
    <x v="7"/>
    <x v="0"/>
    <x v="1"/>
    <x v="3"/>
    <x v="3"/>
    <s v="2F/事務所"/>
  </r>
  <r>
    <x v="28"/>
    <x v="0"/>
    <m/>
    <d v="2026-03-17T00:00:00"/>
    <m/>
    <x v="0"/>
    <x v="8"/>
    <x v="0"/>
    <x v="0"/>
    <x v="0"/>
    <x v="0"/>
    <m/>
    <m/>
    <m/>
    <m/>
    <m/>
    <x v="0"/>
    <x v="26"/>
    <s v="鳥山"/>
    <s v="3/17PI-navi完了操作遅滞-TA調査依頼　3/18最大限チューニング済"/>
    <x v="0"/>
    <x v="7"/>
    <x v="0"/>
    <x v="1"/>
    <x v="3"/>
    <x v="3"/>
    <s v="2F/事務所"/>
  </r>
  <r>
    <x v="29"/>
    <x v="0"/>
    <m/>
    <m/>
    <m/>
    <x v="0"/>
    <x v="0"/>
    <x v="0"/>
    <x v="0"/>
    <x v="1"/>
    <x v="0"/>
    <m/>
    <m/>
    <m/>
    <m/>
    <m/>
    <x v="0"/>
    <x v="27"/>
    <m/>
    <m/>
    <x v="0"/>
    <x v="7"/>
    <x v="0"/>
    <x v="1"/>
    <x v="3"/>
    <x v="3"/>
    <s v="2F/事務所"/>
  </r>
  <r>
    <x v="30"/>
    <x v="0"/>
    <m/>
    <m/>
    <m/>
    <x v="0"/>
    <x v="0"/>
    <x v="0"/>
    <x v="0"/>
    <x v="1"/>
    <x v="0"/>
    <m/>
    <m/>
    <m/>
    <m/>
    <m/>
    <x v="0"/>
    <x v="28"/>
    <m/>
    <m/>
    <x v="0"/>
    <x v="8"/>
    <x v="0"/>
    <x v="1"/>
    <x v="4"/>
    <x v="0"/>
    <s v="3F/シンク前"/>
  </r>
  <r>
    <x v="31"/>
    <x v="0"/>
    <m/>
    <m/>
    <m/>
    <x v="0"/>
    <x v="9"/>
    <x v="1"/>
    <x v="1"/>
    <x v="1"/>
    <x v="1"/>
    <m/>
    <m/>
    <m/>
    <m/>
    <n v="4"/>
    <x v="0"/>
    <x v="29"/>
    <s v="中村"/>
    <s v="3/11～構造可視化ツール/検索ツール/データコピーツール作成中　3/23完成"/>
    <x v="0"/>
    <x v="8"/>
    <x v="0"/>
    <x v="1"/>
    <x v="4"/>
    <x v="0"/>
    <s v="3F/シンク前"/>
  </r>
  <r>
    <x v="32"/>
    <x v="0"/>
    <m/>
    <m/>
    <m/>
    <x v="0"/>
    <x v="10"/>
    <x v="0"/>
    <x v="0"/>
    <x v="1"/>
    <x v="0"/>
    <m/>
    <m/>
    <m/>
    <m/>
    <m/>
    <x v="0"/>
    <x v="30"/>
    <m/>
    <m/>
    <x v="0"/>
    <x v="9"/>
    <x v="0"/>
    <x v="1"/>
    <x v="5"/>
    <x v="3"/>
    <s v="2F/事務所"/>
  </r>
  <r>
    <x v="33"/>
    <x v="0"/>
    <m/>
    <m/>
    <m/>
    <x v="0"/>
    <x v="11"/>
    <x v="1"/>
    <x v="0"/>
    <x v="1"/>
    <x v="0"/>
    <m/>
    <m/>
    <m/>
    <m/>
    <m/>
    <x v="0"/>
    <x v="31"/>
    <m/>
    <m/>
    <x v="0"/>
    <x v="9"/>
    <x v="0"/>
    <x v="1"/>
    <x v="5"/>
    <x v="3"/>
    <s v="2F/事務所"/>
  </r>
  <r>
    <x v="34"/>
    <x v="0"/>
    <m/>
    <m/>
    <m/>
    <x v="0"/>
    <x v="0"/>
    <x v="0"/>
    <x v="0"/>
    <x v="1"/>
    <x v="0"/>
    <m/>
    <m/>
    <m/>
    <m/>
    <m/>
    <x v="0"/>
    <x v="32"/>
    <m/>
    <m/>
    <x v="0"/>
    <x v="10"/>
    <x v="0"/>
    <x v="1"/>
    <x v="5"/>
    <x v="2"/>
    <s v="2F/充填ライン南"/>
  </r>
  <r>
    <x v="35"/>
    <x v="0"/>
    <m/>
    <m/>
    <m/>
    <x v="0"/>
    <x v="12"/>
    <x v="0"/>
    <x v="0"/>
    <x v="1"/>
    <x v="0"/>
    <m/>
    <m/>
    <m/>
    <m/>
    <m/>
    <x v="0"/>
    <x v="33"/>
    <m/>
    <m/>
    <x v="0"/>
    <x v="10"/>
    <x v="0"/>
    <x v="1"/>
    <x v="5"/>
    <x v="2"/>
    <s v="2F/充填ライン南"/>
  </r>
  <r>
    <x v="36"/>
    <x v="0"/>
    <m/>
    <d v="2025-06-10T00:00:00"/>
    <n v="1"/>
    <x v="0"/>
    <x v="0"/>
    <x v="0"/>
    <x v="1"/>
    <x v="1"/>
    <x v="0"/>
    <m/>
    <m/>
    <m/>
    <m/>
    <m/>
    <x v="0"/>
    <x v="34"/>
    <m/>
    <s v="サーバ室設置済"/>
    <x v="1"/>
    <x v="11"/>
    <x v="1"/>
    <x v="2"/>
    <x v="6"/>
    <x v="0"/>
    <s v="3F/シンク前"/>
  </r>
  <r>
    <x v="37"/>
    <x v="0"/>
    <m/>
    <m/>
    <m/>
    <x v="0"/>
    <x v="13"/>
    <x v="0"/>
    <x v="0"/>
    <x v="1"/>
    <x v="0"/>
    <m/>
    <m/>
    <m/>
    <m/>
    <m/>
    <x v="0"/>
    <x v="35"/>
    <m/>
    <m/>
    <x v="0"/>
    <x v="11"/>
    <x v="1"/>
    <x v="2"/>
    <x v="6"/>
    <x v="0"/>
    <s v="3F/シンク前"/>
  </r>
  <r>
    <x v="38"/>
    <x v="0"/>
    <m/>
    <m/>
    <m/>
    <x v="0"/>
    <x v="14"/>
    <x v="0"/>
    <x v="0"/>
    <x v="1"/>
    <x v="0"/>
    <m/>
    <m/>
    <m/>
    <m/>
    <m/>
    <x v="0"/>
    <x v="36"/>
    <m/>
    <m/>
    <x v="0"/>
    <x v="11"/>
    <x v="1"/>
    <x v="2"/>
    <x v="6"/>
    <x v="0"/>
    <s v="3F/シンク前"/>
  </r>
  <r>
    <x v="39"/>
    <x v="0"/>
    <m/>
    <d v="2025-06-10T00:00:00"/>
    <n v="1"/>
    <x v="0"/>
    <x v="0"/>
    <x v="0"/>
    <x v="1"/>
    <x v="1"/>
    <x v="0"/>
    <m/>
    <m/>
    <m/>
    <m/>
    <m/>
    <x v="0"/>
    <x v="37"/>
    <m/>
    <s v="サーバ室設置済"/>
    <x v="1"/>
    <x v="11"/>
    <x v="1"/>
    <x v="2"/>
    <x v="6"/>
    <x v="0"/>
    <s v="3F/シンク前"/>
  </r>
  <r>
    <x v="40"/>
    <x v="0"/>
    <m/>
    <m/>
    <m/>
    <x v="0"/>
    <x v="9"/>
    <x v="0"/>
    <x v="0"/>
    <x v="1"/>
    <x v="0"/>
    <m/>
    <m/>
    <m/>
    <m/>
    <m/>
    <x v="0"/>
    <x v="38"/>
    <m/>
    <m/>
    <x v="0"/>
    <x v="12"/>
    <x v="1"/>
    <x v="2"/>
    <x v="6"/>
    <x v="0"/>
    <s v="3F/シンク前"/>
  </r>
  <r>
    <x v="41"/>
    <x v="0"/>
    <m/>
    <m/>
    <m/>
    <x v="0"/>
    <x v="13"/>
    <x v="1"/>
    <x v="0"/>
    <x v="1"/>
    <x v="0"/>
    <m/>
    <m/>
    <m/>
    <m/>
    <m/>
    <x v="0"/>
    <x v="39"/>
    <m/>
    <m/>
    <x v="0"/>
    <x v="12"/>
    <x v="1"/>
    <x v="2"/>
    <x v="6"/>
    <x v="0"/>
    <s v="3F/シンク前"/>
  </r>
  <r>
    <x v="42"/>
    <x v="0"/>
    <m/>
    <m/>
    <m/>
    <x v="0"/>
    <x v="13"/>
    <x v="1"/>
    <x v="0"/>
    <x v="1"/>
    <x v="0"/>
    <m/>
    <m/>
    <m/>
    <m/>
    <m/>
    <x v="0"/>
    <x v="40"/>
    <m/>
    <m/>
    <x v="0"/>
    <x v="12"/>
    <x v="1"/>
    <x v="2"/>
    <x v="6"/>
    <x v="0"/>
    <s v="3F/シンク前"/>
  </r>
  <r>
    <x v="43"/>
    <x v="0"/>
    <m/>
    <m/>
    <m/>
    <x v="0"/>
    <x v="15"/>
    <x v="1"/>
    <x v="0"/>
    <x v="0"/>
    <x v="0"/>
    <m/>
    <m/>
    <m/>
    <m/>
    <m/>
    <x v="0"/>
    <x v="41"/>
    <m/>
    <m/>
    <x v="0"/>
    <x v="12"/>
    <x v="1"/>
    <x v="2"/>
    <x v="6"/>
    <x v="0"/>
    <s v="3F/シンク前"/>
  </r>
  <r>
    <x v="44"/>
    <x v="0"/>
    <m/>
    <m/>
    <m/>
    <x v="0"/>
    <x v="0"/>
    <x v="0"/>
    <x v="0"/>
    <x v="1"/>
    <x v="0"/>
    <m/>
    <m/>
    <m/>
    <m/>
    <m/>
    <x v="0"/>
    <x v="42"/>
    <m/>
    <m/>
    <x v="0"/>
    <x v="12"/>
    <x v="1"/>
    <x v="2"/>
    <x v="6"/>
    <x v="0"/>
    <s v="3F/シンク前"/>
  </r>
  <r>
    <x v="45"/>
    <x v="0"/>
    <m/>
    <m/>
    <m/>
    <x v="0"/>
    <x v="0"/>
    <x v="0"/>
    <x v="0"/>
    <x v="1"/>
    <x v="0"/>
    <m/>
    <m/>
    <m/>
    <m/>
    <m/>
    <x v="0"/>
    <x v="43"/>
    <m/>
    <m/>
    <x v="0"/>
    <x v="12"/>
    <x v="1"/>
    <x v="2"/>
    <x v="6"/>
    <x v="0"/>
    <s v="3F/シンク前"/>
  </r>
  <r>
    <x v="46"/>
    <x v="0"/>
    <m/>
    <m/>
    <m/>
    <x v="0"/>
    <x v="16"/>
    <x v="0"/>
    <x v="0"/>
    <x v="1"/>
    <x v="0"/>
    <m/>
    <m/>
    <m/>
    <m/>
    <m/>
    <x v="0"/>
    <x v="44"/>
    <m/>
    <m/>
    <x v="0"/>
    <x v="13"/>
    <x v="1"/>
    <x v="2"/>
    <x v="6"/>
    <x v="0"/>
    <s v="3F/シンク前"/>
  </r>
  <r>
    <x v="47"/>
    <x v="0"/>
    <m/>
    <m/>
    <m/>
    <x v="0"/>
    <x v="0"/>
    <x v="0"/>
    <x v="0"/>
    <x v="1"/>
    <x v="0"/>
    <m/>
    <m/>
    <m/>
    <m/>
    <m/>
    <x v="0"/>
    <x v="45"/>
    <m/>
    <m/>
    <x v="0"/>
    <x v="13"/>
    <x v="1"/>
    <x v="2"/>
    <x v="6"/>
    <x v="0"/>
    <s v="3F/シンク前"/>
  </r>
  <r>
    <x v="48"/>
    <x v="0"/>
    <m/>
    <d v="2025-06-10T00:00:00"/>
    <n v="1"/>
    <x v="0"/>
    <x v="0"/>
    <x v="0"/>
    <x v="1"/>
    <x v="1"/>
    <x v="0"/>
    <m/>
    <m/>
    <m/>
    <m/>
    <m/>
    <x v="0"/>
    <x v="46"/>
    <m/>
    <s v="サーバ室設置済"/>
    <x v="1"/>
    <x v="14"/>
    <x v="2"/>
    <x v="3"/>
    <x v="6"/>
    <x v="3"/>
    <s v="3F/事務所"/>
  </r>
  <r>
    <x v="49"/>
    <x v="0"/>
    <m/>
    <m/>
    <m/>
    <x v="0"/>
    <x v="16"/>
    <x v="0"/>
    <x v="0"/>
    <x v="0"/>
    <x v="0"/>
    <m/>
    <m/>
    <m/>
    <m/>
    <m/>
    <x v="0"/>
    <x v="47"/>
    <m/>
    <m/>
    <x v="0"/>
    <x v="14"/>
    <x v="2"/>
    <x v="3"/>
    <x v="6"/>
    <x v="3"/>
    <s v="3F/事務所"/>
  </r>
  <r>
    <x v="50"/>
    <x v="0"/>
    <m/>
    <m/>
    <m/>
    <x v="0"/>
    <x v="0"/>
    <x v="1"/>
    <x v="0"/>
    <x v="0"/>
    <x v="0"/>
    <m/>
    <m/>
    <m/>
    <m/>
    <m/>
    <x v="0"/>
    <x v="48"/>
    <m/>
    <m/>
    <x v="0"/>
    <x v="14"/>
    <x v="2"/>
    <x v="3"/>
    <x v="6"/>
    <x v="3"/>
    <s v="3F/事務所"/>
  </r>
  <r>
    <x v="51"/>
    <x v="0"/>
    <m/>
    <m/>
    <m/>
    <x v="0"/>
    <x v="9"/>
    <x v="1"/>
    <x v="1"/>
    <x v="1"/>
    <x v="1"/>
    <m/>
    <m/>
    <m/>
    <m/>
    <n v="4"/>
    <x v="0"/>
    <x v="49"/>
    <s v="中村"/>
    <s v="3/11～構造可視化ツール/検索ツール/データコピーツール作成中　3/23完成"/>
    <x v="0"/>
    <x v="14"/>
    <x v="2"/>
    <x v="3"/>
    <x v="6"/>
    <x v="3"/>
    <s v="3F/事務所"/>
  </r>
  <r>
    <x v="52"/>
    <x v="0"/>
    <m/>
    <m/>
    <m/>
    <x v="0"/>
    <x v="17"/>
    <x v="1"/>
    <x v="1"/>
    <x v="1"/>
    <x v="1"/>
    <m/>
    <m/>
    <m/>
    <m/>
    <m/>
    <x v="0"/>
    <x v="50"/>
    <m/>
    <m/>
    <x v="0"/>
    <x v="14"/>
    <x v="2"/>
    <x v="3"/>
    <x v="6"/>
    <x v="3"/>
    <s v="3F/事務所"/>
  </r>
  <r>
    <x v="53"/>
    <x v="0"/>
    <m/>
    <m/>
    <m/>
    <x v="0"/>
    <x v="18"/>
    <x v="1"/>
    <x v="0"/>
    <x v="1"/>
    <x v="1"/>
    <m/>
    <m/>
    <m/>
    <m/>
    <m/>
    <x v="0"/>
    <x v="51"/>
    <m/>
    <m/>
    <x v="0"/>
    <x v="14"/>
    <x v="2"/>
    <x v="3"/>
    <x v="6"/>
    <x v="3"/>
    <s v="3F/事務所"/>
  </r>
  <r>
    <x v="54"/>
    <x v="0"/>
    <m/>
    <m/>
    <m/>
    <x v="0"/>
    <x v="10"/>
    <x v="0"/>
    <x v="0"/>
    <x v="1"/>
    <x v="0"/>
    <m/>
    <m/>
    <m/>
    <m/>
    <m/>
    <x v="0"/>
    <x v="52"/>
    <m/>
    <m/>
    <x v="0"/>
    <x v="15"/>
    <x v="2"/>
    <x v="3"/>
    <x v="6"/>
    <x v="3"/>
    <s v="3F/事務所"/>
  </r>
  <r>
    <x v="55"/>
    <x v="0"/>
    <m/>
    <m/>
    <m/>
    <x v="0"/>
    <x v="16"/>
    <x v="0"/>
    <x v="0"/>
    <x v="0"/>
    <x v="0"/>
    <m/>
    <m/>
    <m/>
    <m/>
    <m/>
    <x v="0"/>
    <x v="53"/>
    <m/>
    <m/>
    <x v="0"/>
    <x v="15"/>
    <x v="2"/>
    <x v="3"/>
    <x v="6"/>
    <x v="3"/>
    <s v="3F/事務所"/>
  </r>
  <r>
    <x v="56"/>
    <x v="0"/>
    <m/>
    <m/>
    <m/>
    <x v="0"/>
    <x v="19"/>
    <x v="0"/>
    <x v="0"/>
    <x v="0"/>
    <x v="0"/>
    <m/>
    <m/>
    <m/>
    <m/>
    <m/>
    <x v="0"/>
    <x v="54"/>
    <m/>
    <m/>
    <x v="0"/>
    <x v="15"/>
    <x v="2"/>
    <x v="3"/>
    <x v="6"/>
    <x v="3"/>
    <s v="3F/事務所"/>
  </r>
  <r>
    <x v="57"/>
    <x v="0"/>
    <m/>
    <m/>
    <m/>
    <x v="0"/>
    <x v="16"/>
    <x v="0"/>
    <x v="0"/>
    <x v="0"/>
    <x v="0"/>
    <m/>
    <m/>
    <m/>
    <m/>
    <m/>
    <x v="0"/>
    <x v="55"/>
    <m/>
    <m/>
    <x v="0"/>
    <x v="16"/>
    <x v="2"/>
    <x v="3"/>
    <x v="6"/>
    <x v="3"/>
    <s v="3F/事務所"/>
  </r>
  <r>
    <x v="58"/>
    <x v="0"/>
    <m/>
    <m/>
    <m/>
    <x v="0"/>
    <x v="20"/>
    <x v="0"/>
    <x v="0"/>
    <x v="0"/>
    <x v="0"/>
    <m/>
    <m/>
    <m/>
    <m/>
    <m/>
    <x v="0"/>
    <x v="56"/>
    <m/>
    <m/>
    <x v="0"/>
    <x v="17"/>
    <x v="3"/>
    <x v="4"/>
    <x v="6"/>
    <x v="3"/>
    <s v="3F/事務所"/>
  </r>
  <r>
    <x v="59"/>
    <x v="0"/>
    <m/>
    <m/>
    <m/>
    <x v="0"/>
    <x v="21"/>
    <x v="0"/>
    <x v="0"/>
    <x v="0"/>
    <x v="0"/>
    <m/>
    <m/>
    <m/>
    <m/>
    <m/>
    <x v="0"/>
    <x v="57"/>
    <m/>
    <m/>
    <x v="0"/>
    <x v="17"/>
    <x v="3"/>
    <x v="4"/>
    <x v="6"/>
    <x v="3"/>
    <s v="3F/事務所"/>
  </r>
  <r>
    <x v="60"/>
    <x v="0"/>
    <m/>
    <m/>
    <m/>
    <x v="0"/>
    <x v="0"/>
    <x v="0"/>
    <x v="0"/>
    <x v="1"/>
    <x v="0"/>
    <m/>
    <m/>
    <m/>
    <m/>
    <m/>
    <x v="0"/>
    <x v="58"/>
    <m/>
    <m/>
    <x v="0"/>
    <x v="17"/>
    <x v="3"/>
    <x v="4"/>
    <x v="6"/>
    <x v="3"/>
    <s v="3F/事務所"/>
  </r>
  <r>
    <x v="61"/>
    <x v="0"/>
    <m/>
    <m/>
    <m/>
    <x v="0"/>
    <x v="19"/>
    <x v="0"/>
    <x v="0"/>
    <x v="0"/>
    <x v="0"/>
    <m/>
    <m/>
    <m/>
    <m/>
    <m/>
    <x v="0"/>
    <x v="59"/>
    <m/>
    <m/>
    <x v="0"/>
    <x v="17"/>
    <x v="3"/>
    <x v="4"/>
    <x v="6"/>
    <x v="3"/>
    <s v="3F/事務所"/>
  </r>
  <r>
    <x v="62"/>
    <x v="0"/>
    <m/>
    <m/>
    <m/>
    <x v="0"/>
    <x v="5"/>
    <x v="1"/>
    <x v="0"/>
    <x v="0"/>
    <x v="0"/>
    <m/>
    <m/>
    <m/>
    <m/>
    <m/>
    <x v="0"/>
    <x v="60"/>
    <m/>
    <m/>
    <x v="0"/>
    <x v="17"/>
    <x v="3"/>
    <x v="4"/>
    <x v="6"/>
    <x v="3"/>
    <s v="3F/事務所"/>
  </r>
  <r>
    <x v="63"/>
    <x v="0"/>
    <m/>
    <m/>
    <m/>
    <x v="0"/>
    <x v="0"/>
    <x v="0"/>
    <x v="0"/>
    <x v="1"/>
    <x v="0"/>
    <m/>
    <m/>
    <m/>
    <m/>
    <m/>
    <x v="0"/>
    <x v="61"/>
    <m/>
    <m/>
    <x v="0"/>
    <x v="18"/>
    <x v="3"/>
    <x v="4"/>
    <x v="6"/>
    <x v="3"/>
    <s v="3F/事務所"/>
  </r>
  <r>
    <x v="64"/>
    <x v="0"/>
    <m/>
    <m/>
    <m/>
    <x v="0"/>
    <x v="0"/>
    <x v="0"/>
    <x v="0"/>
    <x v="1"/>
    <x v="0"/>
    <m/>
    <m/>
    <m/>
    <m/>
    <m/>
    <x v="0"/>
    <x v="62"/>
    <m/>
    <m/>
    <x v="0"/>
    <x v="18"/>
    <x v="3"/>
    <x v="4"/>
    <x v="6"/>
    <x v="3"/>
    <s v="3F/事務所"/>
  </r>
  <r>
    <x v="65"/>
    <x v="0"/>
    <m/>
    <m/>
    <m/>
    <x v="0"/>
    <x v="0"/>
    <x v="0"/>
    <x v="0"/>
    <x v="1"/>
    <x v="0"/>
    <m/>
    <m/>
    <m/>
    <m/>
    <m/>
    <x v="0"/>
    <x v="63"/>
    <m/>
    <m/>
    <x v="0"/>
    <x v="19"/>
    <x v="3"/>
    <x v="4"/>
    <x v="6"/>
    <x v="3"/>
    <s v="3F/事務所"/>
  </r>
  <r>
    <x v="66"/>
    <x v="0"/>
    <m/>
    <m/>
    <m/>
    <x v="0"/>
    <x v="20"/>
    <x v="0"/>
    <x v="0"/>
    <x v="0"/>
    <x v="0"/>
    <m/>
    <m/>
    <m/>
    <m/>
    <m/>
    <x v="0"/>
    <x v="64"/>
    <m/>
    <m/>
    <x v="0"/>
    <x v="19"/>
    <x v="3"/>
    <x v="4"/>
    <x v="6"/>
    <x v="3"/>
    <s v="3F/事務所"/>
  </r>
  <r>
    <x v="67"/>
    <x v="0"/>
    <m/>
    <m/>
    <m/>
    <x v="0"/>
    <x v="21"/>
    <x v="0"/>
    <x v="0"/>
    <x v="0"/>
    <x v="0"/>
    <m/>
    <m/>
    <m/>
    <m/>
    <m/>
    <x v="0"/>
    <x v="65"/>
    <m/>
    <m/>
    <x v="0"/>
    <x v="19"/>
    <x v="3"/>
    <x v="4"/>
    <x v="6"/>
    <x v="3"/>
    <s v="3F/事務所"/>
  </r>
  <r>
    <x v="68"/>
    <x v="0"/>
    <m/>
    <m/>
    <m/>
    <x v="0"/>
    <x v="0"/>
    <x v="0"/>
    <x v="0"/>
    <x v="1"/>
    <x v="0"/>
    <m/>
    <m/>
    <m/>
    <m/>
    <m/>
    <x v="0"/>
    <x v="66"/>
    <m/>
    <m/>
    <x v="0"/>
    <x v="19"/>
    <x v="3"/>
    <x v="4"/>
    <x v="6"/>
    <x v="3"/>
    <s v="3F/事務所"/>
  </r>
  <r>
    <x v="69"/>
    <x v="0"/>
    <m/>
    <m/>
    <m/>
    <x v="0"/>
    <x v="0"/>
    <x v="0"/>
    <x v="0"/>
    <x v="1"/>
    <x v="0"/>
    <m/>
    <m/>
    <m/>
    <m/>
    <m/>
    <x v="0"/>
    <x v="67"/>
    <m/>
    <m/>
    <x v="0"/>
    <x v="19"/>
    <x v="3"/>
    <x v="4"/>
    <x v="6"/>
    <x v="3"/>
    <s v="3F/事務所"/>
  </r>
  <r>
    <x v="70"/>
    <x v="0"/>
    <m/>
    <m/>
    <m/>
    <x v="0"/>
    <x v="0"/>
    <x v="0"/>
    <x v="0"/>
    <x v="1"/>
    <x v="0"/>
    <m/>
    <m/>
    <m/>
    <m/>
    <m/>
    <x v="0"/>
    <x v="68"/>
    <m/>
    <m/>
    <x v="0"/>
    <x v="19"/>
    <x v="3"/>
    <x v="4"/>
    <x v="6"/>
    <x v="3"/>
    <s v="3F/事務所"/>
  </r>
  <r>
    <x v="71"/>
    <x v="0"/>
    <m/>
    <m/>
    <m/>
    <x v="0"/>
    <x v="0"/>
    <x v="0"/>
    <x v="0"/>
    <x v="1"/>
    <x v="0"/>
    <m/>
    <m/>
    <m/>
    <m/>
    <m/>
    <x v="0"/>
    <x v="69"/>
    <m/>
    <m/>
    <x v="0"/>
    <x v="20"/>
    <x v="3"/>
    <x v="4"/>
    <x v="6"/>
    <x v="3"/>
    <s v="3F/事務所"/>
  </r>
  <r>
    <x v="72"/>
    <x v="0"/>
    <m/>
    <m/>
    <m/>
    <x v="0"/>
    <x v="22"/>
    <x v="0"/>
    <x v="0"/>
    <x v="0"/>
    <x v="0"/>
    <m/>
    <m/>
    <m/>
    <m/>
    <m/>
    <x v="0"/>
    <x v="70"/>
    <m/>
    <m/>
    <x v="0"/>
    <x v="20"/>
    <x v="3"/>
    <x v="4"/>
    <x v="6"/>
    <x v="3"/>
    <s v="3F/事務所"/>
  </r>
  <r>
    <x v="73"/>
    <x v="0"/>
    <m/>
    <m/>
    <m/>
    <x v="0"/>
    <x v="0"/>
    <x v="0"/>
    <x v="0"/>
    <x v="1"/>
    <x v="0"/>
    <m/>
    <m/>
    <m/>
    <m/>
    <m/>
    <x v="0"/>
    <x v="71"/>
    <m/>
    <m/>
    <x v="0"/>
    <x v="20"/>
    <x v="3"/>
    <x v="4"/>
    <x v="6"/>
    <x v="3"/>
    <s v="3F/事務所"/>
  </r>
  <r>
    <x v="74"/>
    <x v="0"/>
    <m/>
    <m/>
    <m/>
    <x v="0"/>
    <x v="0"/>
    <x v="0"/>
    <x v="0"/>
    <x v="1"/>
    <x v="0"/>
    <m/>
    <m/>
    <m/>
    <m/>
    <m/>
    <x v="0"/>
    <x v="72"/>
    <m/>
    <m/>
    <x v="0"/>
    <x v="20"/>
    <x v="3"/>
    <x v="4"/>
    <x v="6"/>
    <x v="3"/>
    <s v="3F/事務所"/>
  </r>
  <r>
    <x v="75"/>
    <x v="0"/>
    <m/>
    <m/>
    <m/>
    <x v="0"/>
    <x v="6"/>
    <x v="1"/>
    <x v="0"/>
    <x v="0"/>
    <x v="0"/>
    <m/>
    <m/>
    <m/>
    <m/>
    <m/>
    <x v="0"/>
    <x v="73"/>
    <m/>
    <m/>
    <x v="0"/>
    <x v="20"/>
    <x v="3"/>
    <x v="4"/>
    <x v="6"/>
    <x v="3"/>
    <s v="3F/事務所"/>
  </r>
  <r>
    <x v="76"/>
    <x v="0"/>
    <m/>
    <m/>
    <m/>
    <x v="0"/>
    <x v="0"/>
    <x v="0"/>
    <x v="0"/>
    <x v="1"/>
    <x v="0"/>
    <m/>
    <m/>
    <m/>
    <m/>
    <m/>
    <x v="0"/>
    <x v="74"/>
    <m/>
    <m/>
    <x v="0"/>
    <x v="21"/>
    <x v="3"/>
    <x v="4"/>
    <x v="6"/>
    <x v="3"/>
    <s v="3F/事務所"/>
  </r>
  <r>
    <x v="77"/>
    <x v="0"/>
    <m/>
    <m/>
    <m/>
    <x v="0"/>
    <x v="0"/>
    <x v="0"/>
    <x v="0"/>
    <x v="1"/>
    <x v="0"/>
    <m/>
    <m/>
    <m/>
    <m/>
    <m/>
    <x v="0"/>
    <x v="75"/>
    <m/>
    <m/>
    <x v="0"/>
    <x v="21"/>
    <x v="3"/>
    <x v="4"/>
    <x v="6"/>
    <x v="3"/>
    <s v="3F/事務所"/>
  </r>
  <r>
    <x v="78"/>
    <x v="0"/>
    <m/>
    <m/>
    <m/>
    <x v="0"/>
    <x v="0"/>
    <x v="0"/>
    <x v="0"/>
    <x v="1"/>
    <x v="0"/>
    <m/>
    <m/>
    <m/>
    <m/>
    <m/>
    <x v="0"/>
    <x v="76"/>
    <m/>
    <m/>
    <x v="0"/>
    <x v="22"/>
    <x v="3"/>
    <x v="4"/>
    <x v="6"/>
    <x v="3"/>
    <s v="3F/事務所"/>
  </r>
  <r>
    <x v="79"/>
    <x v="0"/>
    <m/>
    <m/>
    <m/>
    <x v="0"/>
    <x v="0"/>
    <x v="0"/>
    <x v="0"/>
    <x v="1"/>
    <x v="0"/>
    <m/>
    <m/>
    <m/>
    <m/>
    <m/>
    <x v="0"/>
    <x v="77"/>
    <m/>
    <m/>
    <x v="0"/>
    <x v="22"/>
    <x v="3"/>
    <x v="4"/>
    <x v="6"/>
    <x v="3"/>
    <s v="3F/事務所"/>
  </r>
  <r>
    <x v="80"/>
    <x v="0"/>
    <m/>
    <m/>
    <m/>
    <x v="0"/>
    <x v="0"/>
    <x v="0"/>
    <x v="0"/>
    <x v="1"/>
    <x v="0"/>
    <m/>
    <m/>
    <m/>
    <m/>
    <m/>
    <x v="0"/>
    <x v="78"/>
    <m/>
    <m/>
    <x v="0"/>
    <x v="22"/>
    <x v="3"/>
    <x v="4"/>
    <x v="6"/>
    <x v="3"/>
    <s v="3F/事務所"/>
  </r>
  <r>
    <x v="81"/>
    <x v="0"/>
    <m/>
    <m/>
    <m/>
    <x v="0"/>
    <x v="2"/>
    <x v="0"/>
    <x v="0"/>
    <x v="0"/>
    <x v="0"/>
    <m/>
    <m/>
    <m/>
    <m/>
    <m/>
    <x v="0"/>
    <x v="79"/>
    <m/>
    <m/>
    <x v="0"/>
    <x v="22"/>
    <x v="3"/>
    <x v="4"/>
    <x v="6"/>
    <x v="3"/>
    <s v="3F/事務所"/>
  </r>
  <r>
    <x v="82"/>
    <x v="0"/>
    <m/>
    <m/>
    <m/>
    <x v="0"/>
    <x v="5"/>
    <x v="0"/>
    <x v="0"/>
    <x v="0"/>
    <x v="0"/>
    <m/>
    <m/>
    <m/>
    <m/>
    <m/>
    <x v="0"/>
    <x v="80"/>
    <m/>
    <m/>
    <x v="0"/>
    <x v="22"/>
    <x v="3"/>
    <x v="4"/>
    <x v="6"/>
    <x v="3"/>
    <s v="3F/事務所"/>
  </r>
  <r>
    <x v="83"/>
    <x v="0"/>
    <m/>
    <m/>
    <m/>
    <x v="0"/>
    <x v="0"/>
    <x v="0"/>
    <x v="0"/>
    <x v="1"/>
    <x v="0"/>
    <m/>
    <m/>
    <m/>
    <m/>
    <m/>
    <x v="0"/>
    <x v="81"/>
    <m/>
    <m/>
    <x v="0"/>
    <x v="23"/>
    <x v="4"/>
    <x v="5"/>
    <x v="6"/>
    <x v="3"/>
    <s v="3F/事務所"/>
  </r>
  <r>
    <x v="84"/>
    <x v="0"/>
    <m/>
    <m/>
    <m/>
    <x v="0"/>
    <x v="0"/>
    <x v="0"/>
    <x v="0"/>
    <x v="1"/>
    <x v="0"/>
    <m/>
    <m/>
    <m/>
    <m/>
    <m/>
    <x v="0"/>
    <x v="82"/>
    <m/>
    <m/>
    <x v="0"/>
    <x v="23"/>
    <x v="4"/>
    <x v="5"/>
    <x v="6"/>
    <x v="3"/>
    <s v="3F/事務所"/>
  </r>
  <r>
    <x v="85"/>
    <x v="0"/>
    <m/>
    <m/>
    <m/>
    <x v="0"/>
    <x v="23"/>
    <x v="0"/>
    <x v="0"/>
    <x v="0"/>
    <x v="0"/>
    <m/>
    <m/>
    <m/>
    <m/>
    <m/>
    <x v="0"/>
    <x v="83"/>
    <m/>
    <m/>
    <x v="0"/>
    <x v="23"/>
    <x v="4"/>
    <x v="5"/>
    <x v="6"/>
    <x v="3"/>
    <s v="3F/事務所"/>
  </r>
  <r>
    <x v="86"/>
    <x v="0"/>
    <m/>
    <m/>
    <m/>
    <x v="0"/>
    <x v="0"/>
    <x v="0"/>
    <x v="0"/>
    <x v="1"/>
    <x v="0"/>
    <m/>
    <m/>
    <m/>
    <m/>
    <m/>
    <x v="0"/>
    <x v="84"/>
    <m/>
    <m/>
    <x v="0"/>
    <x v="24"/>
    <x v="3"/>
    <x v="4"/>
    <x v="6"/>
    <x v="3"/>
    <s v="3F/試験室"/>
  </r>
  <r>
    <x v="87"/>
    <x v="0"/>
    <m/>
    <m/>
    <m/>
    <x v="0"/>
    <x v="0"/>
    <x v="0"/>
    <x v="0"/>
    <x v="1"/>
    <x v="0"/>
    <m/>
    <m/>
    <m/>
    <m/>
    <m/>
    <x v="0"/>
    <x v="85"/>
    <m/>
    <m/>
    <x v="0"/>
    <x v="24"/>
    <x v="3"/>
    <x v="4"/>
    <x v="6"/>
    <x v="3"/>
    <s v="3F/試験室"/>
  </r>
  <r>
    <x v="88"/>
    <x v="0"/>
    <m/>
    <m/>
    <m/>
    <x v="0"/>
    <x v="20"/>
    <x v="0"/>
    <x v="0"/>
    <x v="0"/>
    <x v="0"/>
    <m/>
    <m/>
    <m/>
    <m/>
    <m/>
    <x v="0"/>
    <x v="86"/>
    <m/>
    <m/>
    <x v="0"/>
    <x v="24"/>
    <x v="3"/>
    <x v="4"/>
    <x v="6"/>
    <x v="3"/>
    <s v="3F/試験室"/>
  </r>
  <r>
    <x v="89"/>
    <x v="0"/>
    <m/>
    <m/>
    <m/>
    <x v="0"/>
    <x v="19"/>
    <x v="0"/>
    <x v="0"/>
    <x v="0"/>
    <x v="0"/>
    <m/>
    <m/>
    <m/>
    <m/>
    <m/>
    <x v="0"/>
    <x v="87"/>
    <m/>
    <m/>
    <x v="0"/>
    <x v="24"/>
    <x v="3"/>
    <x v="4"/>
    <x v="6"/>
    <x v="3"/>
    <s v="3F/試験室"/>
  </r>
  <r>
    <x v="90"/>
    <x v="0"/>
    <m/>
    <m/>
    <m/>
    <x v="0"/>
    <x v="16"/>
    <x v="0"/>
    <x v="0"/>
    <x v="0"/>
    <x v="0"/>
    <m/>
    <m/>
    <m/>
    <m/>
    <m/>
    <x v="0"/>
    <x v="88"/>
    <m/>
    <m/>
    <x v="0"/>
    <x v="24"/>
    <x v="3"/>
    <x v="4"/>
    <x v="6"/>
    <x v="3"/>
    <s v="3F/試験室"/>
  </r>
  <r>
    <x v="91"/>
    <x v="1"/>
    <m/>
    <m/>
    <m/>
    <x v="1"/>
    <x v="9"/>
    <x v="1"/>
    <x v="1"/>
    <x v="0"/>
    <x v="1"/>
    <m/>
    <m/>
    <m/>
    <m/>
    <n v="4"/>
    <x v="0"/>
    <x v="89"/>
    <s v="中村"/>
    <s v="3/11～構造可視化ツール/検索ツール/データコピーツール作成中　3/23完成"/>
    <x v="0"/>
    <x v="25"/>
    <x v="0"/>
    <x v="0"/>
    <x v="1"/>
    <x v="0"/>
    <s v="3F/シンク前"/>
  </r>
  <r>
    <x v="92"/>
    <x v="1"/>
    <m/>
    <m/>
    <m/>
    <x v="1"/>
    <x v="9"/>
    <x v="1"/>
    <x v="1"/>
    <x v="0"/>
    <x v="1"/>
    <m/>
    <m/>
    <m/>
    <m/>
    <n v="4"/>
    <x v="0"/>
    <x v="90"/>
    <s v="中村"/>
    <s v="3/11～構造可視化ツール/検索ツール/データコピーツール作成中　3/23完成"/>
    <x v="0"/>
    <x v="25"/>
    <x v="0"/>
    <x v="0"/>
    <x v="1"/>
    <x v="0"/>
    <s v="3F/シンク前"/>
  </r>
  <r>
    <x v="93"/>
    <x v="1"/>
    <m/>
    <m/>
    <m/>
    <x v="1"/>
    <x v="9"/>
    <x v="1"/>
    <x v="1"/>
    <x v="0"/>
    <x v="1"/>
    <m/>
    <m/>
    <m/>
    <m/>
    <n v="5"/>
    <x v="0"/>
    <x v="91"/>
    <s v="中村"/>
    <s v="3/11～構造可視化ツール/検索ツール/データコピーツール作成中　3/23完成"/>
    <x v="0"/>
    <x v="26"/>
    <x v="0"/>
    <x v="0"/>
    <x v="1"/>
    <x v="0"/>
    <s v="3F/シンク前"/>
  </r>
  <r>
    <x v="94"/>
    <x v="1"/>
    <m/>
    <m/>
    <m/>
    <x v="1"/>
    <x v="9"/>
    <x v="1"/>
    <x v="1"/>
    <x v="0"/>
    <x v="1"/>
    <m/>
    <m/>
    <m/>
    <m/>
    <n v="5"/>
    <x v="0"/>
    <x v="92"/>
    <s v="中村"/>
    <s v="3/11～構造可視化ツール/検索ツール/データコピーツール作成中　3/23完成"/>
    <x v="0"/>
    <x v="26"/>
    <x v="0"/>
    <x v="0"/>
    <x v="1"/>
    <x v="0"/>
    <s v="3F/シンク前"/>
  </r>
  <r>
    <x v="95"/>
    <x v="1"/>
    <m/>
    <m/>
    <m/>
    <x v="1"/>
    <x v="0"/>
    <x v="1"/>
    <x v="1"/>
    <x v="0"/>
    <x v="1"/>
    <m/>
    <m/>
    <m/>
    <n v="1"/>
    <n v="5"/>
    <x v="0"/>
    <x v="93"/>
    <m/>
    <m/>
    <x v="0"/>
    <x v="4"/>
    <x v="0"/>
    <x v="0"/>
    <x v="1"/>
    <x v="0"/>
    <s v="3F/シンク前"/>
  </r>
  <r>
    <x v="96"/>
    <x v="1"/>
    <m/>
    <m/>
    <m/>
    <x v="2"/>
    <x v="0"/>
    <x v="1"/>
    <x v="1"/>
    <x v="0"/>
    <x v="1"/>
    <n v="1"/>
    <m/>
    <m/>
    <n v="1"/>
    <n v="5"/>
    <x v="0"/>
    <x v="94"/>
    <m/>
    <m/>
    <x v="0"/>
    <x v="25"/>
    <x v="0"/>
    <x v="0"/>
    <x v="1"/>
    <x v="0"/>
    <s v="3F/シンク前"/>
  </r>
  <r>
    <x v="97"/>
    <x v="1"/>
    <m/>
    <m/>
    <m/>
    <x v="2"/>
    <x v="0"/>
    <x v="1"/>
    <x v="1"/>
    <x v="0"/>
    <x v="0"/>
    <n v="1"/>
    <m/>
    <m/>
    <n v="1"/>
    <n v="5"/>
    <x v="0"/>
    <x v="95"/>
    <m/>
    <m/>
    <x v="0"/>
    <x v="26"/>
    <x v="0"/>
    <x v="0"/>
    <x v="1"/>
    <x v="0"/>
    <s v="3F/シンク前"/>
  </r>
  <r>
    <x v="98"/>
    <x v="1"/>
    <m/>
    <m/>
    <m/>
    <x v="2"/>
    <x v="24"/>
    <x v="1"/>
    <x v="1"/>
    <x v="0"/>
    <x v="1"/>
    <n v="1"/>
    <n v="1"/>
    <m/>
    <n v="1"/>
    <n v="4"/>
    <x v="0"/>
    <x v="96"/>
    <m/>
    <m/>
    <x v="0"/>
    <x v="4"/>
    <x v="0"/>
    <x v="0"/>
    <x v="1"/>
    <x v="0"/>
    <s v="3F/シンク前"/>
  </r>
  <r>
    <x v="99"/>
    <x v="1"/>
    <m/>
    <m/>
    <m/>
    <x v="3"/>
    <x v="0"/>
    <x v="1"/>
    <x v="1"/>
    <x v="1"/>
    <x v="1"/>
    <n v="1"/>
    <m/>
    <m/>
    <m/>
    <n v="5"/>
    <x v="0"/>
    <x v="97"/>
    <m/>
    <m/>
    <x v="0"/>
    <x v="25"/>
    <x v="0"/>
    <x v="0"/>
    <x v="1"/>
    <x v="0"/>
    <s v="3F/シンク前"/>
  </r>
  <r>
    <x v="100"/>
    <x v="1"/>
    <m/>
    <m/>
    <m/>
    <x v="3"/>
    <x v="0"/>
    <x v="1"/>
    <x v="1"/>
    <x v="1"/>
    <x v="1"/>
    <n v="1"/>
    <m/>
    <m/>
    <n v="1"/>
    <n v="5"/>
    <x v="0"/>
    <x v="98"/>
    <m/>
    <m/>
    <x v="0"/>
    <x v="26"/>
    <x v="0"/>
    <x v="0"/>
    <x v="1"/>
    <x v="0"/>
    <s v="3F/シンク前"/>
  </r>
  <r>
    <x v="101"/>
    <x v="1"/>
    <m/>
    <m/>
    <m/>
    <x v="3"/>
    <x v="25"/>
    <x v="1"/>
    <x v="1"/>
    <x v="1"/>
    <x v="1"/>
    <n v="1"/>
    <m/>
    <m/>
    <n v="1"/>
    <n v="5"/>
    <x v="0"/>
    <x v="99"/>
    <m/>
    <m/>
    <x v="0"/>
    <x v="26"/>
    <x v="0"/>
    <x v="0"/>
    <x v="1"/>
    <x v="0"/>
    <s v="3F/シンク前"/>
  </r>
  <r>
    <x v="102"/>
    <x v="1"/>
    <m/>
    <m/>
    <m/>
    <x v="3"/>
    <x v="26"/>
    <x v="0"/>
    <x v="1"/>
    <x v="0"/>
    <x v="1"/>
    <n v="1"/>
    <n v="1"/>
    <m/>
    <m/>
    <n v="4"/>
    <x v="0"/>
    <x v="100"/>
    <m/>
    <m/>
    <x v="0"/>
    <x v="4"/>
    <x v="0"/>
    <x v="0"/>
    <x v="1"/>
    <x v="0"/>
    <s v="3F/シンク前"/>
  </r>
  <r>
    <x v="103"/>
    <x v="1"/>
    <m/>
    <m/>
    <m/>
    <x v="2"/>
    <x v="27"/>
    <x v="1"/>
    <x v="0"/>
    <x v="0"/>
    <x v="0"/>
    <m/>
    <m/>
    <m/>
    <n v="1"/>
    <n v="4"/>
    <x v="0"/>
    <x v="101"/>
    <m/>
    <m/>
    <x v="0"/>
    <x v="27"/>
    <x v="5"/>
    <x v="6"/>
    <x v="6"/>
    <x v="4"/>
    <s v="-"/>
  </r>
  <r>
    <x v="104"/>
    <x v="1"/>
    <m/>
    <m/>
    <m/>
    <x v="2"/>
    <x v="27"/>
    <x v="1"/>
    <x v="0"/>
    <x v="0"/>
    <x v="0"/>
    <m/>
    <m/>
    <m/>
    <n v="1"/>
    <n v="4"/>
    <x v="0"/>
    <x v="102"/>
    <m/>
    <m/>
    <x v="0"/>
    <x v="27"/>
    <x v="5"/>
    <x v="6"/>
    <x v="6"/>
    <x v="4"/>
    <s v="-"/>
  </r>
  <r>
    <x v="105"/>
    <x v="1"/>
    <m/>
    <m/>
    <m/>
    <x v="2"/>
    <x v="20"/>
    <x v="1"/>
    <x v="0"/>
    <x v="0"/>
    <x v="0"/>
    <m/>
    <m/>
    <m/>
    <n v="1"/>
    <n v="4"/>
    <x v="0"/>
    <x v="103"/>
    <m/>
    <m/>
    <x v="0"/>
    <x v="27"/>
    <x v="5"/>
    <x v="6"/>
    <x v="6"/>
    <x v="4"/>
    <s v="-"/>
  </r>
  <r>
    <x v="106"/>
    <x v="1"/>
    <m/>
    <m/>
    <m/>
    <x v="2"/>
    <x v="0"/>
    <x v="0"/>
    <x v="0"/>
    <x v="1"/>
    <x v="0"/>
    <m/>
    <m/>
    <m/>
    <m/>
    <n v="3"/>
    <x v="0"/>
    <x v="104"/>
    <m/>
    <m/>
    <x v="0"/>
    <x v="28"/>
    <x v="5"/>
    <x v="7"/>
    <x v="6"/>
    <x v="4"/>
    <s v="-"/>
  </r>
  <r>
    <x v="107"/>
    <x v="1"/>
    <m/>
    <m/>
    <m/>
    <x v="2"/>
    <x v="27"/>
    <x v="1"/>
    <x v="1"/>
    <x v="0"/>
    <x v="1"/>
    <m/>
    <m/>
    <m/>
    <n v="1"/>
    <n v="5"/>
    <x v="0"/>
    <x v="105"/>
    <m/>
    <m/>
    <x v="0"/>
    <x v="28"/>
    <x v="5"/>
    <x v="7"/>
    <x v="6"/>
    <x v="4"/>
    <s v="-"/>
  </r>
  <r>
    <x v="108"/>
    <x v="1"/>
    <m/>
    <m/>
    <m/>
    <x v="4"/>
    <x v="28"/>
    <x v="1"/>
    <x v="1"/>
    <x v="0"/>
    <x v="1"/>
    <m/>
    <m/>
    <m/>
    <n v="1"/>
    <n v="5"/>
    <x v="0"/>
    <x v="106"/>
    <m/>
    <m/>
    <x v="0"/>
    <x v="28"/>
    <x v="5"/>
    <x v="7"/>
    <x v="6"/>
    <x v="4"/>
    <s v="-"/>
  </r>
  <r>
    <x v="109"/>
    <x v="1"/>
    <m/>
    <m/>
    <m/>
    <x v="4"/>
    <x v="29"/>
    <x v="1"/>
    <x v="1"/>
    <x v="0"/>
    <x v="1"/>
    <m/>
    <m/>
    <m/>
    <n v="1"/>
    <n v="5"/>
    <x v="0"/>
    <x v="107"/>
    <m/>
    <m/>
    <x v="0"/>
    <x v="28"/>
    <x v="5"/>
    <x v="7"/>
    <x v="6"/>
    <x v="4"/>
    <s v="-"/>
  </r>
  <r>
    <x v="110"/>
    <x v="1"/>
    <m/>
    <m/>
    <m/>
    <x v="4"/>
    <x v="30"/>
    <x v="1"/>
    <x v="0"/>
    <x v="0"/>
    <x v="0"/>
    <m/>
    <m/>
    <m/>
    <m/>
    <n v="4"/>
    <x v="0"/>
    <x v="108"/>
    <m/>
    <m/>
    <x v="0"/>
    <x v="28"/>
    <x v="5"/>
    <x v="7"/>
    <x v="6"/>
    <x v="4"/>
    <s v="-"/>
  </r>
  <r>
    <x v="111"/>
    <x v="1"/>
    <m/>
    <m/>
    <m/>
    <x v="4"/>
    <x v="31"/>
    <x v="1"/>
    <x v="1"/>
    <x v="0"/>
    <x v="1"/>
    <n v="1"/>
    <m/>
    <m/>
    <n v="1"/>
    <n v="5"/>
    <x v="0"/>
    <x v="109"/>
    <m/>
    <m/>
    <x v="0"/>
    <x v="28"/>
    <x v="5"/>
    <x v="7"/>
    <x v="6"/>
    <x v="4"/>
    <s v="-"/>
  </r>
  <r>
    <x v="112"/>
    <x v="1"/>
    <m/>
    <m/>
    <m/>
    <x v="4"/>
    <x v="32"/>
    <x v="1"/>
    <x v="1"/>
    <x v="0"/>
    <x v="0"/>
    <m/>
    <m/>
    <m/>
    <n v="1"/>
    <n v="4"/>
    <x v="0"/>
    <x v="110"/>
    <m/>
    <m/>
    <x v="0"/>
    <x v="28"/>
    <x v="5"/>
    <x v="7"/>
    <x v="6"/>
    <x v="4"/>
    <s v="-"/>
  </r>
  <r>
    <x v="113"/>
    <x v="1"/>
    <m/>
    <m/>
    <m/>
    <x v="4"/>
    <x v="32"/>
    <x v="1"/>
    <x v="1"/>
    <x v="0"/>
    <x v="0"/>
    <m/>
    <m/>
    <m/>
    <n v="1"/>
    <n v="5"/>
    <x v="0"/>
    <x v="111"/>
    <m/>
    <m/>
    <x v="0"/>
    <x v="28"/>
    <x v="5"/>
    <x v="7"/>
    <x v="6"/>
    <x v="4"/>
    <s v="-"/>
  </r>
  <r>
    <x v="114"/>
    <x v="1"/>
    <m/>
    <m/>
    <m/>
    <x v="4"/>
    <x v="30"/>
    <x v="1"/>
    <x v="1"/>
    <x v="1"/>
    <x v="1"/>
    <m/>
    <m/>
    <m/>
    <n v="1"/>
    <n v="4"/>
    <x v="0"/>
    <x v="112"/>
    <m/>
    <m/>
    <x v="0"/>
    <x v="28"/>
    <x v="5"/>
    <x v="7"/>
    <x v="6"/>
    <x v="4"/>
    <s v="-"/>
  </r>
  <r>
    <x v="115"/>
    <x v="1"/>
    <m/>
    <m/>
    <m/>
    <x v="4"/>
    <x v="33"/>
    <x v="1"/>
    <x v="1"/>
    <x v="0"/>
    <x v="1"/>
    <m/>
    <m/>
    <m/>
    <n v="1"/>
    <n v="5"/>
    <x v="0"/>
    <x v="113"/>
    <m/>
    <m/>
    <x v="0"/>
    <x v="28"/>
    <x v="5"/>
    <x v="7"/>
    <x v="6"/>
    <x v="4"/>
    <s v="-"/>
  </r>
  <r>
    <x v="116"/>
    <x v="1"/>
    <m/>
    <m/>
    <m/>
    <x v="4"/>
    <x v="34"/>
    <x v="1"/>
    <x v="1"/>
    <x v="0"/>
    <x v="1"/>
    <m/>
    <m/>
    <m/>
    <n v="1"/>
    <n v="5"/>
    <x v="0"/>
    <x v="114"/>
    <m/>
    <m/>
    <x v="0"/>
    <x v="28"/>
    <x v="5"/>
    <x v="7"/>
    <x v="6"/>
    <x v="4"/>
    <s v="-"/>
  </r>
  <r>
    <x v="117"/>
    <x v="1"/>
    <m/>
    <m/>
    <m/>
    <x v="5"/>
    <x v="24"/>
    <x v="1"/>
    <x v="1"/>
    <x v="0"/>
    <x v="0"/>
    <n v="1"/>
    <n v="1"/>
    <m/>
    <n v="1"/>
    <n v="5"/>
    <x v="0"/>
    <x v="115"/>
    <m/>
    <m/>
    <x v="0"/>
    <x v="28"/>
    <x v="5"/>
    <x v="7"/>
    <x v="6"/>
    <x v="4"/>
    <s v="-"/>
  </r>
  <r>
    <x v="118"/>
    <x v="1"/>
    <m/>
    <m/>
    <m/>
    <x v="3"/>
    <x v="24"/>
    <x v="0"/>
    <x v="0"/>
    <x v="1"/>
    <x v="0"/>
    <n v="1"/>
    <n v="1"/>
    <m/>
    <n v="1"/>
    <n v="5"/>
    <x v="0"/>
    <x v="116"/>
    <m/>
    <m/>
    <x v="0"/>
    <x v="28"/>
    <x v="5"/>
    <x v="7"/>
    <x v="6"/>
    <x v="4"/>
    <s v="-"/>
  </r>
  <r>
    <x v="119"/>
    <x v="1"/>
    <m/>
    <m/>
    <m/>
    <x v="5"/>
    <x v="24"/>
    <x v="1"/>
    <x v="1"/>
    <x v="1"/>
    <x v="1"/>
    <n v="1"/>
    <n v="1"/>
    <m/>
    <m/>
    <n v="4"/>
    <x v="0"/>
    <x v="117"/>
    <m/>
    <m/>
    <x v="0"/>
    <x v="29"/>
    <x v="5"/>
    <x v="7"/>
    <x v="6"/>
    <x v="4"/>
    <s v="-"/>
  </r>
  <r>
    <x v="120"/>
    <x v="1"/>
    <m/>
    <m/>
    <m/>
    <x v="2"/>
    <x v="0"/>
    <x v="1"/>
    <x v="1"/>
    <x v="0"/>
    <x v="0"/>
    <n v="1"/>
    <m/>
    <m/>
    <m/>
    <n v="4"/>
    <x v="0"/>
    <x v="118"/>
    <m/>
    <m/>
    <x v="0"/>
    <x v="30"/>
    <x v="5"/>
    <x v="7"/>
    <x v="6"/>
    <x v="4"/>
    <s v="-"/>
  </r>
  <r>
    <x v="121"/>
    <x v="1"/>
    <m/>
    <m/>
    <m/>
    <x v="2"/>
    <x v="0"/>
    <x v="1"/>
    <x v="1"/>
    <x v="0"/>
    <x v="0"/>
    <n v="1"/>
    <m/>
    <m/>
    <m/>
    <n v="4"/>
    <x v="0"/>
    <x v="119"/>
    <m/>
    <m/>
    <x v="0"/>
    <x v="30"/>
    <x v="5"/>
    <x v="7"/>
    <x v="6"/>
    <x v="4"/>
    <s v="-"/>
  </r>
  <r>
    <x v="122"/>
    <x v="1"/>
    <m/>
    <m/>
    <m/>
    <x v="2"/>
    <x v="35"/>
    <x v="1"/>
    <x v="1"/>
    <x v="0"/>
    <x v="1"/>
    <n v="1"/>
    <m/>
    <m/>
    <m/>
    <n v="4"/>
    <x v="0"/>
    <x v="120"/>
    <m/>
    <m/>
    <x v="0"/>
    <x v="30"/>
    <x v="5"/>
    <x v="7"/>
    <x v="6"/>
    <x v="4"/>
    <s v="-"/>
  </r>
  <r>
    <x v="123"/>
    <x v="2"/>
    <m/>
    <m/>
    <m/>
    <x v="6"/>
    <x v="0"/>
    <x v="1"/>
    <x v="1"/>
    <x v="1"/>
    <x v="1"/>
    <m/>
    <m/>
    <m/>
    <m/>
    <n v="1"/>
    <x v="0"/>
    <x v="121"/>
    <m/>
    <m/>
    <x v="0"/>
    <x v="21"/>
    <x v="3"/>
    <x v="4"/>
    <x v="6"/>
    <x v="3"/>
    <s v="3F/事務所"/>
  </r>
  <r>
    <x v="124"/>
    <x v="2"/>
    <m/>
    <m/>
    <m/>
    <x v="6"/>
    <x v="0"/>
    <x v="1"/>
    <x v="1"/>
    <x v="0"/>
    <x v="1"/>
    <m/>
    <m/>
    <m/>
    <m/>
    <n v="5"/>
    <x v="0"/>
    <x v="122"/>
    <m/>
    <m/>
    <x v="0"/>
    <x v="17"/>
    <x v="3"/>
    <x v="4"/>
    <x v="6"/>
    <x v="3"/>
    <s v="3F/事務所"/>
  </r>
  <r>
    <x v="125"/>
    <x v="2"/>
    <m/>
    <m/>
    <m/>
    <x v="6"/>
    <x v="0"/>
    <x v="1"/>
    <x v="1"/>
    <x v="0"/>
    <x v="1"/>
    <m/>
    <m/>
    <m/>
    <m/>
    <n v="5"/>
    <x v="0"/>
    <x v="123"/>
    <m/>
    <m/>
    <x v="0"/>
    <x v="15"/>
    <x v="2"/>
    <x v="3"/>
    <x v="6"/>
    <x v="3"/>
    <s v="3F/事務所"/>
  </r>
  <r>
    <x v="126"/>
    <x v="2"/>
    <m/>
    <m/>
    <m/>
    <x v="6"/>
    <x v="0"/>
    <x v="1"/>
    <x v="1"/>
    <x v="1"/>
    <x v="1"/>
    <m/>
    <m/>
    <m/>
    <m/>
    <n v="4"/>
    <x v="0"/>
    <x v="124"/>
    <m/>
    <m/>
    <x v="0"/>
    <x v="31"/>
    <x v="0"/>
    <x v="1"/>
    <x v="5"/>
    <x v="3"/>
    <s v="1F/作業場南"/>
  </r>
  <r>
    <x v="127"/>
    <x v="2"/>
    <m/>
    <m/>
    <m/>
    <x v="6"/>
    <x v="0"/>
    <x v="1"/>
    <x v="1"/>
    <x v="1"/>
    <x v="1"/>
    <m/>
    <m/>
    <m/>
    <m/>
    <n v="1"/>
    <x v="0"/>
    <x v="121"/>
    <m/>
    <m/>
    <x v="0"/>
    <x v="16"/>
    <x v="2"/>
    <x v="3"/>
    <x v="6"/>
    <x v="3"/>
    <s v="3F/事務所"/>
  </r>
  <r>
    <x v="128"/>
    <x v="2"/>
    <m/>
    <m/>
    <m/>
    <x v="6"/>
    <x v="0"/>
    <x v="1"/>
    <x v="1"/>
    <x v="1"/>
    <x v="1"/>
    <m/>
    <m/>
    <m/>
    <m/>
    <n v="4"/>
    <x v="0"/>
    <x v="125"/>
    <m/>
    <m/>
    <x v="0"/>
    <x v="32"/>
    <x v="0"/>
    <x v="1"/>
    <x v="5"/>
    <x v="2"/>
    <s v="2F/充填ライン北"/>
  </r>
  <r>
    <x v="129"/>
    <x v="2"/>
    <m/>
    <m/>
    <m/>
    <x v="6"/>
    <x v="0"/>
    <x v="1"/>
    <x v="1"/>
    <x v="1"/>
    <x v="1"/>
    <m/>
    <m/>
    <m/>
    <m/>
    <n v="4"/>
    <x v="0"/>
    <x v="126"/>
    <m/>
    <m/>
    <x v="0"/>
    <x v="33"/>
    <x v="0"/>
    <x v="1"/>
    <x v="5"/>
    <x v="2"/>
    <s v="2F/充填ライン北"/>
  </r>
  <r>
    <x v="130"/>
    <x v="2"/>
    <m/>
    <m/>
    <m/>
    <x v="6"/>
    <x v="0"/>
    <x v="1"/>
    <x v="1"/>
    <x v="1"/>
    <x v="1"/>
    <m/>
    <m/>
    <m/>
    <m/>
    <n v="4"/>
    <x v="0"/>
    <x v="127"/>
    <m/>
    <m/>
    <x v="0"/>
    <x v="10"/>
    <x v="0"/>
    <x v="1"/>
    <x v="5"/>
    <x v="2"/>
    <s v="2F/充填ライン南"/>
  </r>
  <r>
    <x v="131"/>
    <x v="2"/>
    <m/>
    <m/>
    <m/>
    <x v="6"/>
    <x v="0"/>
    <x v="1"/>
    <x v="1"/>
    <x v="1"/>
    <x v="1"/>
    <m/>
    <m/>
    <m/>
    <m/>
    <n v="5"/>
    <x v="0"/>
    <x v="128"/>
    <m/>
    <m/>
    <x v="0"/>
    <x v="9"/>
    <x v="0"/>
    <x v="1"/>
    <x v="5"/>
    <x v="3"/>
    <s v="2F/事務所"/>
  </r>
  <r>
    <x v="132"/>
    <x v="2"/>
    <m/>
    <m/>
    <m/>
    <x v="6"/>
    <x v="0"/>
    <x v="1"/>
    <x v="1"/>
    <x v="1"/>
    <x v="1"/>
    <m/>
    <m/>
    <m/>
    <m/>
    <n v="1"/>
    <x v="0"/>
    <x v="121"/>
    <m/>
    <m/>
    <x v="0"/>
    <x v="7"/>
    <x v="0"/>
    <x v="1"/>
    <x v="3"/>
    <x v="3"/>
    <s v="2F/事務所"/>
  </r>
  <r>
    <x v="133"/>
    <x v="2"/>
    <m/>
    <m/>
    <m/>
    <x v="6"/>
    <x v="0"/>
    <x v="1"/>
    <x v="1"/>
    <x v="1"/>
    <x v="1"/>
    <m/>
    <m/>
    <m/>
    <m/>
    <n v="1"/>
    <x v="0"/>
    <x v="129"/>
    <m/>
    <m/>
    <x v="0"/>
    <x v="34"/>
    <x v="0"/>
    <x v="1"/>
    <x v="4"/>
    <x v="3"/>
    <s v="2F/作業場南"/>
  </r>
  <r>
    <x v="134"/>
    <x v="2"/>
    <m/>
    <m/>
    <m/>
    <x v="6"/>
    <x v="0"/>
    <x v="1"/>
    <x v="1"/>
    <x v="1"/>
    <x v="1"/>
    <m/>
    <m/>
    <m/>
    <m/>
    <n v="4"/>
    <x v="0"/>
    <x v="130"/>
    <m/>
    <m/>
    <x v="0"/>
    <x v="23"/>
    <x v="4"/>
    <x v="5"/>
    <x v="6"/>
    <x v="3"/>
    <s v="3F/事務所"/>
  </r>
  <r>
    <x v="135"/>
    <x v="2"/>
    <m/>
    <m/>
    <m/>
    <x v="6"/>
    <x v="0"/>
    <x v="1"/>
    <x v="1"/>
    <x v="1"/>
    <x v="1"/>
    <m/>
    <m/>
    <m/>
    <m/>
    <n v="1"/>
    <x v="0"/>
    <x v="121"/>
    <m/>
    <m/>
    <x v="0"/>
    <x v="35"/>
    <x v="0"/>
    <x v="1"/>
    <x v="3"/>
    <x v="2"/>
    <s v="1F/バルク室"/>
  </r>
  <r>
    <x v="136"/>
    <x v="2"/>
    <m/>
    <m/>
    <m/>
    <x v="6"/>
    <x v="9"/>
    <x v="1"/>
    <x v="1"/>
    <x v="1"/>
    <x v="1"/>
    <m/>
    <m/>
    <m/>
    <m/>
    <n v="4"/>
    <x v="0"/>
    <x v="131"/>
    <m/>
    <m/>
    <x v="0"/>
    <x v="22"/>
    <x v="3"/>
    <x v="4"/>
    <x v="6"/>
    <x v="3"/>
    <s v="3F/事務所"/>
  </r>
  <r>
    <x v="137"/>
    <x v="2"/>
    <m/>
    <m/>
    <m/>
    <x v="6"/>
    <x v="0"/>
    <x v="1"/>
    <x v="1"/>
    <x v="1"/>
    <x v="1"/>
    <m/>
    <m/>
    <m/>
    <m/>
    <n v="1"/>
    <x v="0"/>
    <x v="121"/>
    <m/>
    <m/>
    <x v="0"/>
    <x v="36"/>
    <x v="0"/>
    <x v="1"/>
    <x v="3"/>
    <x v="2"/>
    <s v="1F/バルク室"/>
  </r>
  <r>
    <x v="138"/>
    <x v="2"/>
    <m/>
    <m/>
    <m/>
    <x v="6"/>
    <x v="0"/>
    <x v="1"/>
    <x v="1"/>
    <x v="1"/>
    <x v="1"/>
    <m/>
    <m/>
    <m/>
    <m/>
    <n v="2"/>
    <x v="0"/>
    <x v="132"/>
    <m/>
    <m/>
    <x v="0"/>
    <x v="37"/>
    <x v="0"/>
    <x v="1"/>
    <x v="3"/>
    <x v="2"/>
    <s v="1F/バルク室"/>
  </r>
  <r>
    <x v="139"/>
    <x v="2"/>
    <m/>
    <m/>
    <m/>
    <x v="6"/>
    <x v="0"/>
    <x v="1"/>
    <x v="1"/>
    <x v="1"/>
    <x v="1"/>
    <m/>
    <m/>
    <m/>
    <m/>
    <n v="4"/>
    <x v="0"/>
    <x v="133"/>
    <m/>
    <m/>
    <x v="0"/>
    <x v="38"/>
    <x v="4"/>
    <x v="5"/>
    <x v="6"/>
    <x v="3"/>
    <s v="3F/事務所"/>
  </r>
  <r>
    <x v="140"/>
    <x v="2"/>
    <m/>
    <m/>
    <m/>
    <x v="6"/>
    <x v="0"/>
    <x v="1"/>
    <x v="1"/>
    <x v="1"/>
    <x v="1"/>
    <m/>
    <m/>
    <m/>
    <m/>
    <n v="2"/>
    <x v="0"/>
    <x v="134"/>
    <m/>
    <m/>
    <x v="0"/>
    <x v="19"/>
    <x v="3"/>
    <x v="4"/>
    <x v="6"/>
    <x v="3"/>
    <s v="3F/事務所"/>
  </r>
  <r>
    <x v="141"/>
    <x v="2"/>
    <m/>
    <m/>
    <m/>
    <x v="6"/>
    <x v="0"/>
    <x v="1"/>
    <x v="1"/>
    <x v="1"/>
    <x v="1"/>
    <m/>
    <m/>
    <m/>
    <m/>
    <n v="5"/>
    <x v="0"/>
    <x v="135"/>
    <m/>
    <m/>
    <x v="0"/>
    <x v="20"/>
    <x v="3"/>
    <x v="4"/>
    <x v="6"/>
    <x v="3"/>
    <s v="3F/事務所"/>
  </r>
  <r>
    <x v="142"/>
    <x v="2"/>
    <m/>
    <m/>
    <m/>
    <x v="6"/>
    <x v="0"/>
    <x v="1"/>
    <x v="1"/>
    <x v="1"/>
    <x v="1"/>
    <m/>
    <m/>
    <m/>
    <m/>
    <n v="4"/>
    <x v="0"/>
    <x v="136"/>
    <m/>
    <m/>
    <x v="0"/>
    <x v="24"/>
    <x v="3"/>
    <x v="4"/>
    <x v="6"/>
    <x v="3"/>
    <s v="3F/試験室"/>
  </r>
  <r>
    <x v="143"/>
    <x v="2"/>
    <m/>
    <m/>
    <m/>
    <x v="6"/>
    <x v="0"/>
    <x v="1"/>
    <x v="1"/>
    <x v="1"/>
    <x v="1"/>
    <m/>
    <m/>
    <m/>
    <m/>
    <n v="5"/>
    <x v="0"/>
    <x v="137"/>
    <m/>
    <m/>
    <x v="0"/>
    <x v="18"/>
    <x v="3"/>
    <x v="4"/>
    <x v="6"/>
    <x v="3"/>
    <s v="3F/事務所"/>
  </r>
  <r>
    <x v="144"/>
    <x v="2"/>
    <m/>
    <m/>
    <m/>
    <x v="6"/>
    <x v="0"/>
    <x v="1"/>
    <x v="1"/>
    <x v="1"/>
    <x v="1"/>
    <m/>
    <m/>
    <m/>
    <m/>
    <n v="5"/>
    <x v="0"/>
    <x v="138"/>
    <m/>
    <m/>
    <x v="0"/>
    <x v="14"/>
    <x v="2"/>
    <x v="3"/>
    <x v="6"/>
    <x v="3"/>
    <s v="3F/事務所"/>
  </r>
  <r>
    <x v="145"/>
    <x v="2"/>
    <m/>
    <m/>
    <m/>
    <x v="6"/>
    <x v="0"/>
    <x v="1"/>
    <x v="1"/>
    <x v="1"/>
    <x v="1"/>
    <m/>
    <m/>
    <m/>
    <m/>
    <n v="5"/>
    <x v="0"/>
    <x v="139"/>
    <m/>
    <m/>
    <x v="0"/>
    <x v="4"/>
    <x v="0"/>
    <x v="0"/>
    <x v="1"/>
    <x v="0"/>
    <s v="3F/シンク前"/>
  </r>
  <r>
    <x v="146"/>
    <x v="2"/>
    <m/>
    <m/>
    <m/>
    <x v="6"/>
    <x v="0"/>
    <x v="1"/>
    <x v="1"/>
    <x v="1"/>
    <x v="1"/>
    <m/>
    <m/>
    <m/>
    <m/>
    <n v="5"/>
    <x v="0"/>
    <x v="140"/>
    <m/>
    <m/>
    <x v="0"/>
    <x v="3"/>
    <x v="0"/>
    <x v="0"/>
    <x v="2"/>
    <x v="1"/>
    <s v="1F/南西角"/>
  </r>
  <r>
    <x v="147"/>
    <x v="2"/>
    <m/>
    <m/>
    <m/>
    <x v="6"/>
    <x v="0"/>
    <x v="1"/>
    <x v="1"/>
    <x v="1"/>
    <x v="1"/>
    <m/>
    <m/>
    <m/>
    <m/>
    <n v="5"/>
    <x v="0"/>
    <x v="141"/>
    <m/>
    <m/>
    <x v="0"/>
    <x v="26"/>
    <x v="0"/>
    <x v="0"/>
    <x v="1"/>
    <x v="0"/>
    <s v="3F/シンク前"/>
  </r>
  <r>
    <x v="148"/>
    <x v="2"/>
    <m/>
    <m/>
    <m/>
    <x v="6"/>
    <x v="0"/>
    <x v="1"/>
    <x v="1"/>
    <x v="1"/>
    <x v="1"/>
    <m/>
    <m/>
    <m/>
    <m/>
    <n v="5"/>
    <x v="0"/>
    <x v="142"/>
    <m/>
    <m/>
    <x v="0"/>
    <x v="0"/>
    <x v="0"/>
    <x v="0"/>
    <x v="0"/>
    <x v="0"/>
    <s v="3F/シンク前"/>
  </r>
  <r>
    <x v="149"/>
    <x v="2"/>
    <m/>
    <m/>
    <m/>
    <x v="6"/>
    <x v="0"/>
    <x v="1"/>
    <x v="1"/>
    <x v="1"/>
    <x v="1"/>
    <m/>
    <m/>
    <m/>
    <m/>
    <n v="5"/>
    <x v="0"/>
    <x v="143"/>
    <m/>
    <m/>
    <x v="0"/>
    <x v="2"/>
    <x v="0"/>
    <x v="0"/>
    <x v="1"/>
    <x v="0"/>
    <s v="3F/シンク前"/>
  </r>
  <r>
    <x v="150"/>
    <x v="2"/>
    <m/>
    <m/>
    <m/>
    <x v="6"/>
    <x v="0"/>
    <x v="1"/>
    <x v="1"/>
    <x v="1"/>
    <x v="1"/>
    <m/>
    <m/>
    <m/>
    <m/>
    <n v="5"/>
    <x v="0"/>
    <x v="144"/>
    <m/>
    <m/>
    <x v="0"/>
    <x v="8"/>
    <x v="0"/>
    <x v="1"/>
    <x v="4"/>
    <x v="0"/>
    <s v="3F/シンク前"/>
  </r>
  <r>
    <x v="151"/>
    <x v="2"/>
    <m/>
    <m/>
    <m/>
    <x v="6"/>
    <x v="0"/>
    <x v="1"/>
    <x v="1"/>
    <x v="1"/>
    <x v="1"/>
    <m/>
    <m/>
    <m/>
    <m/>
    <n v="1"/>
    <x v="0"/>
    <x v="145"/>
    <m/>
    <m/>
    <x v="0"/>
    <x v="5"/>
    <x v="0"/>
    <x v="0"/>
    <x v="1"/>
    <x v="0"/>
    <s v="3F/シンク前"/>
  </r>
  <r>
    <x v="152"/>
    <x v="2"/>
    <m/>
    <m/>
    <m/>
    <x v="6"/>
    <x v="0"/>
    <x v="1"/>
    <x v="1"/>
    <x v="1"/>
    <x v="1"/>
    <m/>
    <m/>
    <m/>
    <m/>
    <n v="4"/>
    <x v="0"/>
    <x v="146"/>
    <m/>
    <m/>
    <x v="0"/>
    <x v="1"/>
    <x v="0"/>
    <x v="0"/>
    <x v="0"/>
    <x v="0"/>
    <s v="3F/シンク前"/>
  </r>
  <r>
    <x v="153"/>
    <x v="2"/>
    <m/>
    <m/>
    <m/>
    <x v="6"/>
    <x v="0"/>
    <x v="1"/>
    <x v="1"/>
    <x v="1"/>
    <x v="1"/>
    <m/>
    <m/>
    <m/>
    <m/>
    <n v="4"/>
    <x v="0"/>
    <x v="147"/>
    <m/>
    <m/>
    <x v="0"/>
    <x v="39"/>
    <x v="5"/>
    <x v="8"/>
    <x v="6"/>
    <x v="0"/>
    <s v="3F/シンク前"/>
  </r>
  <r>
    <x v="154"/>
    <x v="2"/>
    <m/>
    <m/>
    <m/>
    <x v="6"/>
    <x v="0"/>
    <x v="1"/>
    <x v="1"/>
    <x v="1"/>
    <x v="1"/>
    <m/>
    <m/>
    <m/>
    <m/>
    <n v="4"/>
    <x v="0"/>
    <x v="148"/>
    <m/>
    <m/>
    <x v="0"/>
    <x v="40"/>
    <x v="5"/>
    <x v="8"/>
    <x v="6"/>
    <x v="0"/>
    <s v="3F/シンク前"/>
  </r>
  <r>
    <x v="155"/>
    <x v="2"/>
    <m/>
    <m/>
    <m/>
    <x v="6"/>
    <x v="0"/>
    <x v="1"/>
    <x v="1"/>
    <x v="1"/>
    <x v="1"/>
    <m/>
    <m/>
    <m/>
    <m/>
    <n v="4"/>
    <x v="0"/>
    <x v="149"/>
    <m/>
    <m/>
    <x v="0"/>
    <x v="41"/>
    <x v="4"/>
    <x v="5"/>
    <x v="6"/>
    <x v="0"/>
    <s v="3F/シンク前"/>
  </r>
  <r>
    <x v="156"/>
    <x v="2"/>
    <m/>
    <m/>
    <m/>
    <x v="6"/>
    <x v="0"/>
    <x v="1"/>
    <x v="1"/>
    <x v="1"/>
    <x v="1"/>
    <m/>
    <m/>
    <m/>
    <m/>
    <n v="4"/>
    <x v="0"/>
    <x v="150"/>
    <m/>
    <m/>
    <x v="0"/>
    <x v="13"/>
    <x v="1"/>
    <x v="2"/>
    <x v="6"/>
    <x v="0"/>
    <s v="3F/シンク前"/>
  </r>
  <r>
    <x v="157"/>
    <x v="2"/>
    <m/>
    <m/>
    <m/>
    <x v="6"/>
    <x v="9"/>
    <x v="1"/>
    <x v="1"/>
    <x v="1"/>
    <x v="1"/>
    <m/>
    <m/>
    <m/>
    <m/>
    <n v="5"/>
    <x v="0"/>
    <x v="151"/>
    <s v="中村"/>
    <s v="3/11～構造可視化ツール/検索ツール/データコピーツール作成中　3/23完成"/>
    <x v="0"/>
    <x v="11"/>
    <x v="1"/>
    <x v="2"/>
    <x v="6"/>
    <x v="0"/>
    <s v="3F/シンク前"/>
  </r>
  <r>
    <x v="158"/>
    <x v="2"/>
    <m/>
    <m/>
    <m/>
    <x v="6"/>
    <x v="0"/>
    <x v="1"/>
    <x v="1"/>
    <x v="1"/>
    <x v="1"/>
    <m/>
    <m/>
    <m/>
    <m/>
    <n v="4"/>
    <x v="0"/>
    <x v="152"/>
    <m/>
    <m/>
    <x v="0"/>
    <x v="12"/>
    <x v="1"/>
    <x v="2"/>
    <x v="6"/>
    <x v="0"/>
    <s v="3F/シンク前"/>
  </r>
  <r>
    <x v="159"/>
    <x v="2"/>
    <m/>
    <m/>
    <m/>
    <x v="6"/>
    <x v="0"/>
    <x v="1"/>
    <x v="1"/>
    <x v="1"/>
    <x v="1"/>
    <m/>
    <m/>
    <m/>
    <m/>
    <n v="1"/>
    <x v="0"/>
    <x v="121"/>
    <m/>
    <m/>
    <x v="0"/>
    <x v="6"/>
    <x v="0"/>
    <x v="0"/>
    <x v="2"/>
    <x v="2"/>
    <s v="1F/事務所"/>
  </r>
  <r>
    <x v="160"/>
    <x v="2"/>
    <m/>
    <m/>
    <m/>
    <x v="6"/>
    <x v="0"/>
    <x v="1"/>
    <x v="1"/>
    <x v="1"/>
    <x v="1"/>
    <m/>
    <m/>
    <m/>
    <m/>
    <n v="5"/>
    <x v="0"/>
    <x v="153"/>
    <m/>
    <m/>
    <x v="0"/>
    <x v="42"/>
    <x v="0"/>
    <x v="1"/>
    <x v="7"/>
    <x v="0"/>
    <s v="3F/シンク前"/>
  </r>
  <r>
    <x v="161"/>
    <x v="2"/>
    <m/>
    <m/>
    <m/>
    <x v="6"/>
    <x v="0"/>
    <x v="1"/>
    <x v="1"/>
    <x v="1"/>
    <x v="1"/>
    <m/>
    <m/>
    <m/>
    <m/>
    <n v="5"/>
    <x v="0"/>
    <x v="154"/>
    <m/>
    <m/>
    <x v="0"/>
    <x v="43"/>
    <x v="0"/>
    <x v="1"/>
    <x v="7"/>
    <x v="0"/>
    <s v="3F/シンク前"/>
  </r>
  <r>
    <x v="162"/>
    <x v="2"/>
    <m/>
    <m/>
    <m/>
    <x v="6"/>
    <x v="0"/>
    <x v="1"/>
    <x v="1"/>
    <x v="1"/>
    <x v="1"/>
    <m/>
    <m/>
    <m/>
    <m/>
    <n v="4"/>
    <x v="0"/>
    <x v="155"/>
    <m/>
    <m/>
    <x v="0"/>
    <x v="44"/>
    <x v="0"/>
    <x v="0"/>
    <x v="2"/>
    <x v="0"/>
    <s v="3F/シンク前"/>
  </r>
  <r>
    <x v="163"/>
    <x v="2"/>
    <m/>
    <m/>
    <m/>
    <x v="6"/>
    <x v="0"/>
    <x v="1"/>
    <x v="1"/>
    <x v="1"/>
    <x v="1"/>
    <m/>
    <m/>
    <m/>
    <m/>
    <n v="5"/>
    <x v="0"/>
    <x v="156"/>
    <m/>
    <m/>
    <x v="0"/>
    <x v="45"/>
    <x v="4"/>
    <x v="5"/>
    <x v="6"/>
    <x v="0"/>
    <s v="3F/シンク前"/>
  </r>
  <r>
    <x v="164"/>
    <x v="2"/>
    <m/>
    <m/>
    <m/>
    <x v="6"/>
    <x v="0"/>
    <x v="1"/>
    <x v="1"/>
    <x v="1"/>
    <x v="1"/>
    <m/>
    <m/>
    <m/>
    <m/>
    <n v="1"/>
    <x v="0"/>
    <x v="157"/>
    <m/>
    <m/>
    <x v="0"/>
    <x v="27"/>
    <x v="5"/>
    <x v="6"/>
    <x v="6"/>
    <x v="4"/>
    <s v="-"/>
  </r>
  <r>
    <x v="165"/>
    <x v="2"/>
    <m/>
    <m/>
    <m/>
    <x v="6"/>
    <x v="0"/>
    <x v="1"/>
    <x v="1"/>
    <x v="1"/>
    <x v="1"/>
    <m/>
    <m/>
    <m/>
    <m/>
    <n v="1"/>
    <x v="0"/>
    <x v="157"/>
    <m/>
    <m/>
    <x v="0"/>
    <x v="28"/>
    <x v="5"/>
    <x v="7"/>
    <x v="6"/>
    <x v="4"/>
    <s v="-"/>
  </r>
  <r>
    <x v="166"/>
    <x v="2"/>
    <m/>
    <m/>
    <m/>
    <x v="6"/>
    <x v="0"/>
    <x v="1"/>
    <x v="1"/>
    <x v="1"/>
    <x v="1"/>
    <m/>
    <m/>
    <m/>
    <m/>
    <n v="1"/>
    <x v="0"/>
    <x v="157"/>
    <m/>
    <m/>
    <x v="0"/>
    <x v="29"/>
    <x v="5"/>
    <x v="7"/>
    <x v="6"/>
    <x v="4"/>
    <s v="-"/>
  </r>
  <r>
    <x v="167"/>
    <x v="2"/>
    <m/>
    <m/>
    <m/>
    <x v="6"/>
    <x v="0"/>
    <x v="1"/>
    <x v="1"/>
    <x v="1"/>
    <x v="1"/>
    <m/>
    <m/>
    <m/>
    <m/>
    <n v="1"/>
    <x v="0"/>
    <x v="157"/>
    <m/>
    <m/>
    <x v="0"/>
    <x v="30"/>
    <x v="5"/>
    <x v="7"/>
    <x v="6"/>
    <x v="4"/>
    <s v="-"/>
  </r>
  <r>
    <x v="168"/>
    <x v="2"/>
    <m/>
    <m/>
    <m/>
    <x v="7"/>
    <x v="0"/>
    <x v="1"/>
    <x v="1"/>
    <x v="1"/>
    <x v="1"/>
    <m/>
    <m/>
    <m/>
    <m/>
    <n v="1"/>
    <x v="0"/>
    <x v="158"/>
    <m/>
    <m/>
    <x v="0"/>
    <x v="21"/>
    <x v="3"/>
    <x v="4"/>
    <x v="6"/>
    <x v="3"/>
    <s v="3F/事務所"/>
  </r>
  <r>
    <x v="169"/>
    <x v="2"/>
    <m/>
    <m/>
    <m/>
    <x v="7"/>
    <x v="0"/>
    <x v="1"/>
    <x v="1"/>
    <x v="1"/>
    <x v="1"/>
    <m/>
    <m/>
    <m/>
    <m/>
    <n v="5"/>
    <x v="0"/>
    <x v="159"/>
    <m/>
    <m/>
    <x v="0"/>
    <x v="17"/>
    <x v="3"/>
    <x v="4"/>
    <x v="6"/>
    <x v="3"/>
    <s v="3F/事務所"/>
  </r>
  <r>
    <x v="170"/>
    <x v="2"/>
    <m/>
    <m/>
    <m/>
    <x v="7"/>
    <x v="0"/>
    <x v="1"/>
    <x v="1"/>
    <x v="1"/>
    <x v="1"/>
    <m/>
    <m/>
    <m/>
    <m/>
    <n v="5"/>
    <x v="0"/>
    <x v="160"/>
    <m/>
    <m/>
    <x v="0"/>
    <x v="15"/>
    <x v="2"/>
    <x v="3"/>
    <x v="6"/>
    <x v="3"/>
    <s v="3F/事務所"/>
  </r>
  <r>
    <x v="171"/>
    <x v="2"/>
    <m/>
    <m/>
    <m/>
    <x v="7"/>
    <x v="0"/>
    <x v="1"/>
    <x v="1"/>
    <x v="1"/>
    <x v="1"/>
    <m/>
    <m/>
    <m/>
    <m/>
    <n v="5"/>
    <x v="0"/>
    <x v="161"/>
    <m/>
    <m/>
    <x v="0"/>
    <x v="31"/>
    <x v="0"/>
    <x v="1"/>
    <x v="5"/>
    <x v="3"/>
    <s v="1F/作業場南"/>
  </r>
  <r>
    <x v="172"/>
    <x v="2"/>
    <m/>
    <m/>
    <m/>
    <x v="7"/>
    <x v="0"/>
    <x v="1"/>
    <x v="1"/>
    <x v="1"/>
    <x v="1"/>
    <m/>
    <m/>
    <m/>
    <m/>
    <n v="1"/>
    <x v="0"/>
    <x v="121"/>
    <m/>
    <m/>
    <x v="0"/>
    <x v="16"/>
    <x v="2"/>
    <x v="3"/>
    <x v="6"/>
    <x v="3"/>
    <s v="3F/事務所"/>
  </r>
  <r>
    <x v="173"/>
    <x v="2"/>
    <m/>
    <m/>
    <m/>
    <x v="7"/>
    <x v="0"/>
    <x v="1"/>
    <x v="1"/>
    <x v="1"/>
    <x v="1"/>
    <m/>
    <m/>
    <m/>
    <m/>
    <n v="1"/>
    <x v="0"/>
    <x v="162"/>
    <m/>
    <m/>
    <x v="0"/>
    <x v="32"/>
    <x v="0"/>
    <x v="1"/>
    <x v="5"/>
    <x v="2"/>
    <s v="2F/充填ライン北"/>
  </r>
  <r>
    <x v="174"/>
    <x v="2"/>
    <m/>
    <m/>
    <m/>
    <x v="7"/>
    <x v="0"/>
    <x v="1"/>
    <x v="1"/>
    <x v="1"/>
    <x v="1"/>
    <m/>
    <m/>
    <m/>
    <m/>
    <n v="1"/>
    <x v="0"/>
    <x v="157"/>
    <m/>
    <m/>
    <x v="0"/>
    <x v="33"/>
    <x v="0"/>
    <x v="1"/>
    <x v="5"/>
    <x v="2"/>
    <s v="2F/充填ライン北"/>
  </r>
  <r>
    <x v="175"/>
    <x v="2"/>
    <m/>
    <m/>
    <m/>
    <x v="7"/>
    <x v="0"/>
    <x v="1"/>
    <x v="1"/>
    <x v="1"/>
    <x v="1"/>
    <m/>
    <m/>
    <m/>
    <m/>
    <n v="5"/>
    <x v="0"/>
    <x v="163"/>
    <m/>
    <m/>
    <x v="0"/>
    <x v="10"/>
    <x v="0"/>
    <x v="1"/>
    <x v="5"/>
    <x v="2"/>
    <s v="2F/充填ライン南"/>
  </r>
  <r>
    <x v="176"/>
    <x v="2"/>
    <m/>
    <m/>
    <m/>
    <x v="7"/>
    <x v="0"/>
    <x v="1"/>
    <x v="1"/>
    <x v="1"/>
    <x v="1"/>
    <m/>
    <m/>
    <m/>
    <m/>
    <n v="5"/>
    <x v="0"/>
    <x v="164"/>
    <m/>
    <m/>
    <x v="0"/>
    <x v="9"/>
    <x v="0"/>
    <x v="1"/>
    <x v="5"/>
    <x v="3"/>
    <s v="2F/事務所"/>
  </r>
  <r>
    <x v="177"/>
    <x v="2"/>
    <m/>
    <m/>
    <m/>
    <x v="7"/>
    <x v="0"/>
    <x v="1"/>
    <x v="1"/>
    <x v="1"/>
    <x v="1"/>
    <m/>
    <m/>
    <m/>
    <m/>
    <n v="5"/>
    <x v="0"/>
    <x v="165"/>
    <m/>
    <m/>
    <x v="0"/>
    <x v="7"/>
    <x v="0"/>
    <x v="1"/>
    <x v="3"/>
    <x v="3"/>
    <s v="2F/事務所"/>
  </r>
  <r>
    <x v="178"/>
    <x v="2"/>
    <m/>
    <m/>
    <m/>
    <x v="7"/>
    <x v="0"/>
    <x v="1"/>
    <x v="1"/>
    <x v="1"/>
    <x v="1"/>
    <m/>
    <m/>
    <m/>
    <m/>
    <n v="1"/>
    <x v="0"/>
    <x v="166"/>
    <m/>
    <m/>
    <x v="0"/>
    <x v="34"/>
    <x v="0"/>
    <x v="1"/>
    <x v="4"/>
    <x v="3"/>
    <s v="2F/作業場南"/>
  </r>
  <r>
    <x v="179"/>
    <x v="2"/>
    <m/>
    <m/>
    <m/>
    <x v="7"/>
    <x v="0"/>
    <x v="1"/>
    <x v="1"/>
    <x v="1"/>
    <x v="1"/>
    <m/>
    <m/>
    <m/>
    <m/>
    <n v="1"/>
    <x v="0"/>
    <x v="167"/>
    <m/>
    <m/>
    <x v="0"/>
    <x v="23"/>
    <x v="4"/>
    <x v="5"/>
    <x v="6"/>
    <x v="3"/>
    <s v="3F/事務所"/>
  </r>
  <r>
    <x v="180"/>
    <x v="2"/>
    <m/>
    <m/>
    <m/>
    <x v="7"/>
    <x v="0"/>
    <x v="1"/>
    <x v="1"/>
    <x v="1"/>
    <x v="1"/>
    <m/>
    <m/>
    <m/>
    <m/>
    <n v="1"/>
    <x v="0"/>
    <x v="121"/>
    <m/>
    <m/>
    <x v="0"/>
    <x v="35"/>
    <x v="0"/>
    <x v="1"/>
    <x v="3"/>
    <x v="2"/>
    <s v="1F/バルク室"/>
  </r>
  <r>
    <x v="181"/>
    <x v="2"/>
    <m/>
    <m/>
    <m/>
    <x v="7"/>
    <x v="0"/>
    <x v="1"/>
    <x v="1"/>
    <x v="1"/>
    <x v="1"/>
    <m/>
    <m/>
    <m/>
    <m/>
    <n v="1"/>
    <x v="0"/>
    <x v="157"/>
    <m/>
    <m/>
    <x v="0"/>
    <x v="22"/>
    <x v="3"/>
    <x v="4"/>
    <x v="6"/>
    <x v="3"/>
    <s v="3F/事務所"/>
  </r>
  <r>
    <x v="182"/>
    <x v="2"/>
    <m/>
    <m/>
    <m/>
    <x v="7"/>
    <x v="0"/>
    <x v="1"/>
    <x v="1"/>
    <x v="1"/>
    <x v="1"/>
    <m/>
    <m/>
    <m/>
    <m/>
    <n v="1"/>
    <x v="0"/>
    <x v="121"/>
    <m/>
    <m/>
    <x v="0"/>
    <x v="36"/>
    <x v="0"/>
    <x v="1"/>
    <x v="3"/>
    <x v="2"/>
    <s v="1F/バルク室"/>
  </r>
  <r>
    <x v="183"/>
    <x v="2"/>
    <m/>
    <m/>
    <m/>
    <x v="7"/>
    <x v="0"/>
    <x v="1"/>
    <x v="1"/>
    <x v="1"/>
    <x v="1"/>
    <m/>
    <m/>
    <m/>
    <m/>
    <n v="5"/>
    <x v="0"/>
    <x v="168"/>
    <m/>
    <m/>
    <x v="0"/>
    <x v="37"/>
    <x v="0"/>
    <x v="1"/>
    <x v="3"/>
    <x v="2"/>
    <s v="1F/バルク室"/>
  </r>
  <r>
    <x v="184"/>
    <x v="2"/>
    <m/>
    <m/>
    <m/>
    <x v="7"/>
    <x v="0"/>
    <x v="1"/>
    <x v="1"/>
    <x v="1"/>
    <x v="1"/>
    <m/>
    <m/>
    <m/>
    <m/>
    <n v="1"/>
    <x v="0"/>
    <x v="157"/>
    <m/>
    <m/>
    <x v="0"/>
    <x v="38"/>
    <x v="4"/>
    <x v="5"/>
    <x v="6"/>
    <x v="3"/>
    <s v="3F/事務所"/>
  </r>
  <r>
    <x v="185"/>
    <x v="2"/>
    <m/>
    <m/>
    <m/>
    <x v="7"/>
    <x v="0"/>
    <x v="1"/>
    <x v="1"/>
    <x v="1"/>
    <x v="1"/>
    <m/>
    <m/>
    <m/>
    <m/>
    <n v="5"/>
    <x v="0"/>
    <x v="169"/>
    <m/>
    <m/>
    <x v="0"/>
    <x v="19"/>
    <x v="3"/>
    <x v="4"/>
    <x v="6"/>
    <x v="3"/>
    <s v="3F/事務所"/>
  </r>
  <r>
    <x v="186"/>
    <x v="2"/>
    <m/>
    <m/>
    <m/>
    <x v="7"/>
    <x v="0"/>
    <x v="1"/>
    <x v="1"/>
    <x v="1"/>
    <x v="1"/>
    <m/>
    <m/>
    <m/>
    <m/>
    <n v="5"/>
    <x v="0"/>
    <x v="170"/>
    <m/>
    <m/>
    <x v="0"/>
    <x v="20"/>
    <x v="3"/>
    <x v="4"/>
    <x v="6"/>
    <x v="3"/>
    <s v="3F/事務所"/>
  </r>
  <r>
    <x v="187"/>
    <x v="2"/>
    <m/>
    <m/>
    <m/>
    <x v="7"/>
    <x v="24"/>
    <x v="1"/>
    <x v="1"/>
    <x v="1"/>
    <x v="1"/>
    <m/>
    <n v="1"/>
    <m/>
    <m/>
    <n v="5"/>
    <x v="0"/>
    <x v="171"/>
    <m/>
    <m/>
    <x v="0"/>
    <x v="24"/>
    <x v="3"/>
    <x v="4"/>
    <x v="6"/>
    <x v="3"/>
    <s v="3F/試験室"/>
  </r>
  <r>
    <x v="188"/>
    <x v="2"/>
    <m/>
    <m/>
    <m/>
    <x v="7"/>
    <x v="0"/>
    <x v="1"/>
    <x v="1"/>
    <x v="1"/>
    <x v="1"/>
    <m/>
    <m/>
    <m/>
    <m/>
    <n v="5"/>
    <x v="0"/>
    <x v="172"/>
    <m/>
    <m/>
    <x v="0"/>
    <x v="18"/>
    <x v="3"/>
    <x v="4"/>
    <x v="6"/>
    <x v="3"/>
    <s v="3F/事務所"/>
  </r>
  <r>
    <x v="189"/>
    <x v="2"/>
    <m/>
    <m/>
    <m/>
    <x v="7"/>
    <x v="0"/>
    <x v="1"/>
    <x v="1"/>
    <x v="1"/>
    <x v="1"/>
    <m/>
    <m/>
    <m/>
    <m/>
    <n v="5"/>
    <x v="0"/>
    <x v="173"/>
    <m/>
    <m/>
    <x v="0"/>
    <x v="14"/>
    <x v="2"/>
    <x v="3"/>
    <x v="6"/>
    <x v="3"/>
    <s v="3F/事務所"/>
  </r>
  <r>
    <x v="190"/>
    <x v="2"/>
    <m/>
    <m/>
    <m/>
    <x v="7"/>
    <x v="0"/>
    <x v="1"/>
    <x v="1"/>
    <x v="1"/>
    <x v="1"/>
    <m/>
    <m/>
    <m/>
    <m/>
    <n v="5"/>
    <x v="0"/>
    <x v="174"/>
    <m/>
    <m/>
    <x v="0"/>
    <x v="4"/>
    <x v="0"/>
    <x v="0"/>
    <x v="1"/>
    <x v="0"/>
    <s v="3F/シンク前"/>
  </r>
  <r>
    <x v="191"/>
    <x v="2"/>
    <m/>
    <m/>
    <m/>
    <x v="7"/>
    <x v="0"/>
    <x v="1"/>
    <x v="1"/>
    <x v="1"/>
    <x v="1"/>
    <m/>
    <m/>
    <m/>
    <m/>
    <n v="5"/>
    <x v="0"/>
    <x v="175"/>
    <m/>
    <m/>
    <x v="0"/>
    <x v="3"/>
    <x v="0"/>
    <x v="0"/>
    <x v="2"/>
    <x v="1"/>
    <s v="1F/南西角"/>
  </r>
  <r>
    <x v="192"/>
    <x v="2"/>
    <m/>
    <m/>
    <m/>
    <x v="7"/>
    <x v="0"/>
    <x v="1"/>
    <x v="1"/>
    <x v="1"/>
    <x v="1"/>
    <m/>
    <m/>
    <m/>
    <m/>
    <n v="5"/>
    <x v="0"/>
    <x v="176"/>
    <m/>
    <m/>
    <x v="0"/>
    <x v="26"/>
    <x v="0"/>
    <x v="0"/>
    <x v="1"/>
    <x v="0"/>
    <s v="3F/シンク前"/>
  </r>
  <r>
    <x v="193"/>
    <x v="2"/>
    <m/>
    <m/>
    <m/>
    <x v="7"/>
    <x v="0"/>
    <x v="1"/>
    <x v="1"/>
    <x v="1"/>
    <x v="1"/>
    <m/>
    <m/>
    <m/>
    <m/>
    <n v="5"/>
    <x v="0"/>
    <x v="177"/>
    <m/>
    <m/>
    <x v="0"/>
    <x v="0"/>
    <x v="0"/>
    <x v="0"/>
    <x v="0"/>
    <x v="0"/>
    <s v="3F/シンク前"/>
  </r>
  <r>
    <x v="194"/>
    <x v="2"/>
    <m/>
    <m/>
    <m/>
    <x v="7"/>
    <x v="0"/>
    <x v="1"/>
    <x v="1"/>
    <x v="1"/>
    <x v="1"/>
    <m/>
    <m/>
    <m/>
    <m/>
    <n v="5"/>
    <x v="0"/>
    <x v="178"/>
    <m/>
    <m/>
    <x v="0"/>
    <x v="2"/>
    <x v="0"/>
    <x v="0"/>
    <x v="1"/>
    <x v="0"/>
    <s v="3F/シンク前"/>
  </r>
  <r>
    <x v="195"/>
    <x v="2"/>
    <m/>
    <m/>
    <m/>
    <x v="7"/>
    <x v="0"/>
    <x v="1"/>
    <x v="1"/>
    <x v="1"/>
    <x v="1"/>
    <m/>
    <m/>
    <m/>
    <m/>
    <n v="5"/>
    <x v="0"/>
    <x v="179"/>
    <m/>
    <m/>
    <x v="0"/>
    <x v="8"/>
    <x v="0"/>
    <x v="1"/>
    <x v="4"/>
    <x v="0"/>
    <s v="3F/シンク前"/>
  </r>
  <r>
    <x v="196"/>
    <x v="2"/>
    <m/>
    <m/>
    <m/>
    <x v="7"/>
    <x v="0"/>
    <x v="1"/>
    <x v="1"/>
    <x v="1"/>
    <x v="1"/>
    <m/>
    <m/>
    <m/>
    <m/>
    <n v="5"/>
    <x v="0"/>
    <x v="180"/>
    <m/>
    <m/>
    <x v="0"/>
    <x v="5"/>
    <x v="0"/>
    <x v="0"/>
    <x v="1"/>
    <x v="0"/>
    <s v="3F/シンク前"/>
  </r>
  <r>
    <x v="197"/>
    <x v="2"/>
    <m/>
    <m/>
    <m/>
    <x v="7"/>
    <x v="0"/>
    <x v="1"/>
    <x v="1"/>
    <x v="1"/>
    <x v="1"/>
    <m/>
    <m/>
    <m/>
    <m/>
    <n v="5"/>
    <x v="0"/>
    <x v="181"/>
    <m/>
    <m/>
    <x v="0"/>
    <x v="1"/>
    <x v="0"/>
    <x v="0"/>
    <x v="0"/>
    <x v="0"/>
    <s v="3F/シンク前"/>
  </r>
  <r>
    <x v="198"/>
    <x v="2"/>
    <m/>
    <m/>
    <m/>
    <x v="7"/>
    <x v="0"/>
    <x v="1"/>
    <x v="1"/>
    <x v="1"/>
    <x v="1"/>
    <m/>
    <m/>
    <m/>
    <m/>
    <n v="5"/>
    <x v="0"/>
    <x v="160"/>
    <m/>
    <m/>
    <x v="0"/>
    <x v="39"/>
    <x v="5"/>
    <x v="8"/>
    <x v="6"/>
    <x v="0"/>
    <s v="3F/シンク前"/>
  </r>
  <r>
    <x v="199"/>
    <x v="2"/>
    <m/>
    <m/>
    <m/>
    <x v="7"/>
    <x v="0"/>
    <x v="1"/>
    <x v="1"/>
    <x v="1"/>
    <x v="1"/>
    <m/>
    <m/>
    <m/>
    <m/>
    <n v="5"/>
    <x v="0"/>
    <x v="182"/>
    <m/>
    <m/>
    <x v="0"/>
    <x v="40"/>
    <x v="5"/>
    <x v="8"/>
    <x v="6"/>
    <x v="0"/>
    <s v="3F/シンク前"/>
  </r>
  <r>
    <x v="200"/>
    <x v="2"/>
    <m/>
    <m/>
    <m/>
    <x v="7"/>
    <x v="0"/>
    <x v="1"/>
    <x v="1"/>
    <x v="1"/>
    <x v="1"/>
    <m/>
    <m/>
    <m/>
    <m/>
    <n v="4"/>
    <x v="0"/>
    <x v="183"/>
    <m/>
    <m/>
    <x v="0"/>
    <x v="41"/>
    <x v="4"/>
    <x v="5"/>
    <x v="6"/>
    <x v="0"/>
    <s v="3F/シンク前"/>
  </r>
  <r>
    <x v="201"/>
    <x v="2"/>
    <m/>
    <m/>
    <m/>
    <x v="7"/>
    <x v="0"/>
    <x v="1"/>
    <x v="1"/>
    <x v="1"/>
    <x v="1"/>
    <m/>
    <m/>
    <m/>
    <m/>
    <n v="5"/>
    <x v="0"/>
    <x v="184"/>
    <m/>
    <m/>
    <x v="0"/>
    <x v="13"/>
    <x v="1"/>
    <x v="2"/>
    <x v="6"/>
    <x v="0"/>
    <s v="3F/シンク前"/>
  </r>
  <r>
    <x v="202"/>
    <x v="2"/>
    <m/>
    <m/>
    <m/>
    <x v="7"/>
    <x v="0"/>
    <x v="1"/>
    <x v="1"/>
    <x v="1"/>
    <x v="1"/>
    <m/>
    <m/>
    <m/>
    <m/>
    <n v="5"/>
    <x v="0"/>
    <x v="185"/>
    <m/>
    <m/>
    <x v="0"/>
    <x v="11"/>
    <x v="1"/>
    <x v="2"/>
    <x v="6"/>
    <x v="0"/>
    <s v="3F/シンク前"/>
  </r>
  <r>
    <x v="203"/>
    <x v="2"/>
    <m/>
    <m/>
    <m/>
    <x v="7"/>
    <x v="0"/>
    <x v="1"/>
    <x v="1"/>
    <x v="1"/>
    <x v="1"/>
    <m/>
    <m/>
    <m/>
    <m/>
    <n v="1"/>
    <x v="0"/>
    <x v="167"/>
    <m/>
    <m/>
    <x v="0"/>
    <x v="12"/>
    <x v="1"/>
    <x v="2"/>
    <x v="6"/>
    <x v="0"/>
    <s v="3F/シンク前"/>
  </r>
  <r>
    <x v="204"/>
    <x v="2"/>
    <m/>
    <m/>
    <m/>
    <x v="7"/>
    <x v="0"/>
    <x v="1"/>
    <x v="1"/>
    <x v="1"/>
    <x v="1"/>
    <m/>
    <m/>
    <m/>
    <m/>
    <n v="1"/>
    <x v="0"/>
    <x v="121"/>
    <m/>
    <m/>
    <x v="0"/>
    <x v="6"/>
    <x v="0"/>
    <x v="0"/>
    <x v="2"/>
    <x v="2"/>
    <s v="1F/事務所"/>
  </r>
  <r>
    <x v="205"/>
    <x v="2"/>
    <m/>
    <m/>
    <m/>
    <x v="7"/>
    <x v="0"/>
    <x v="1"/>
    <x v="1"/>
    <x v="1"/>
    <x v="1"/>
    <m/>
    <m/>
    <m/>
    <m/>
    <n v="2"/>
    <x v="0"/>
    <x v="186"/>
    <m/>
    <m/>
    <x v="0"/>
    <x v="42"/>
    <x v="0"/>
    <x v="1"/>
    <x v="7"/>
    <x v="0"/>
    <s v="3F/シンク前"/>
  </r>
  <r>
    <x v="206"/>
    <x v="2"/>
    <m/>
    <m/>
    <m/>
    <x v="7"/>
    <x v="0"/>
    <x v="1"/>
    <x v="1"/>
    <x v="1"/>
    <x v="1"/>
    <m/>
    <m/>
    <m/>
    <m/>
    <n v="2"/>
    <x v="0"/>
    <x v="187"/>
    <m/>
    <m/>
    <x v="0"/>
    <x v="43"/>
    <x v="0"/>
    <x v="1"/>
    <x v="7"/>
    <x v="0"/>
    <s v="3F/シンク前"/>
  </r>
  <r>
    <x v="207"/>
    <x v="2"/>
    <m/>
    <m/>
    <m/>
    <x v="7"/>
    <x v="0"/>
    <x v="1"/>
    <x v="1"/>
    <x v="1"/>
    <x v="1"/>
    <m/>
    <m/>
    <m/>
    <m/>
    <n v="5"/>
    <x v="0"/>
    <x v="169"/>
    <m/>
    <m/>
    <x v="0"/>
    <x v="44"/>
    <x v="0"/>
    <x v="0"/>
    <x v="2"/>
    <x v="0"/>
    <s v="3F/シンク前"/>
  </r>
  <r>
    <x v="208"/>
    <x v="2"/>
    <m/>
    <m/>
    <m/>
    <x v="7"/>
    <x v="0"/>
    <x v="1"/>
    <x v="1"/>
    <x v="1"/>
    <x v="1"/>
    <m/>
    <m/>
    <m/>
    <m/>
    <n v="5"/>
    <x v="0"/>
    <x v="188"/>
    <m/>
    <m/>
    <x v="0"/>
    <x v="45"/>
    <x v="4"/>
    <x v="5"/>
    <x v="6"/>
    <x v="0"/>
    <s v="3F/シンク前"/>
  </r>
  <r>
    <x v="209"/>
    <x v="2"/>
    <m/>
    <m/>
    <m/>
    <x v="7"/>
    <x v="0"/>
    <x v="1"/>
    <x v="1"/>
    <x v="1"/>
    <x v="1"/>
    <m/>
    <m/>
    <m/>
    <m/>
    <n v="1"/>
    <x v="0"/>
    <x v="157"/>
    <m/>
    <m/>
    <x v="0"/>
    <x v="27"/>
    <x v="5"/>
    <x v="6"/>
    <x v="6"/>
    <x v="4"/>
    <s v="-"/>
  </r>
  <r>
    <x v="210"/>
    <x v="2"/>
    <m/>
    <m/>
    <m/>
    <x v="7"/>
    <x v="0"/>
    <x v="1"/>
    <x v="1"/>
    <x v="1"/>
    <x v="1"/>
    <m/>
    <m/>
    <m/>
    <m/>
    <n v="1"/>
    <x v="0"/>
    <x v="157"/>
    <m/>
    <m/>
    <x v="0"/>
    <x v="28"/>
    <x v="5"/>
    <x v="7"/>
    <x v="6"/>
    <x v="4"/>
    <s v="-"/>
  </r>
  <r>
    <x v="211"/>
    <x v="2"/>
    <m/>
    <m/>
    <m/>
    <x v="7"/>
    <x v="0"/>
    <x v="1"/>
    <x v="1"/>
    <x v="1"/>
    <x v="1"/>
    <m/>
    <m/>
    <m/>
    <m/>
    <n v="1"/>
    <x v="0"/>
    <x v="157"/>
    <m/>
    <m/>
    <x v="0"/>
    <x v="29"/>
    <x v="5"/>
    <x v="7"/>
    <x v="6"/>
    <x v="4"/>
    <s v="-"/>
  </r>
  <r>
    <x v="212"/>
    <x v="2"/>
    <m/>
    <m/>
    <m/>
    <x v="7"/>
    <x v="0"/>
    <x v="1"/>
    <x v="1"/>
    <x v="1"/>
    <x v="1"/>
    <m/>
    <m/>
    <m/>
    <m/>
    <n v="1"/>
    <x v="0"/>
    <x v="157"/>
    <m/>
    <m/>
    <x v="0"/>
    <x v="30"/>
    <x v="5"/>
    <x v="7"/>
    <x v="6"/>
    <x v="4"/>
    <s v="-"/>
  </r>
  <r>
    <x v="213"/>
    <x v="2"/>
    <m/>
    <m/>
    <m/>
    <x v="8"/>
    <x v="0"/>
    <x v="1"/>
    <x v="1"/>
    <x v="0"/>
    <x v="0"/>
    <n v="1"/>
    <m/>
    <m/>
    <m/>
    <n v="4"/>
    <x v="1"/>
    <x v="189"/>
    <m/>
    <m/>
    <x v="0"/>
    <x v="21"/>
    <x v="3"/>
    <x v="4"/>
    <x v="6"/>
    <x v="3"/>
    <s v="3F/事務所"/>
  </r>
  <r>
    <x v="214"/>
    <x v="2"/>
    <m/>
    <m/>
    <m/>
    <x v="8"/>
    <x v="0"/>
    <x v="1"/>
    <x v="1"/>
    <x v="0"/>
    <x v="0"/>
    <m/>
    <m/>
    <m/>
    <m/>
    <n v="1"/>
    <x v="2"/>
    <x v="190"/>
    <m/>
    <m/>
    <x v="0"/>
    <x v="17"/>
    <x v="3"/>
    <x v="4"/>
    <x v="6"/>
    <x v="3"/>
    <s v="3F/事務所"/>
  </r>
  <r>
    <x v="215"/>
    <x v="2"/>
    <m/>
    <m/>
    <m/>
    <x v="8"/>
    <x v="0"/>
    <x v="1"/>
    <x v="1"/>
    <x v="0"/>
    <x v="0"/>
    <n v="1"/>
    <m/>
    <m/>
    <m/>
    <n v="5"/>
    <x v="3"/>
    <x v="191"/>
    <m/>
    <m/>
    <x v="0"/>
    <x v="15"/>
    <x v="2"/>
    <x v="3"/>
    <x v="6"/>
    <x v="3"/>
    <s v="3F/事務所"/>
  </r>
  <r>
    <x v="216"/>
    <x v="2"/>
    <m/>
    <m/>
    <m/>
    <x v="8"/>
    <x v="0"/>
    <x v="1"/>
    <x v="1"/>
    <x v="0"/>
    <x v="0"/>
    <m/>
    <m/>
    <m/>
    <m/>
    <n v="1"/>
    <x v="2"/>
    <x v="157"/>
    <m/>
    <m/>
    <x v="0"/>
    <x v="31"/>
    <x v="0"/>
    <x v="1"/>
    <x v="5"/>
    <x v="3"/>
    <s v="1F/作業場南"/>
  </r>
  <r>
    <x v="217"/>
    <x v="2"/>
    <m/>
    <m/>
    <m/>
    <x v="8"/>
    <x v="0"/>
    <x v="1"/>
    <x v="1"/>
    <x v="0"/>
    <x v="0"/>
    <m/>
    <m/>
    <m/>
    <m/>
    <n v="1"/>
    <x v="2"/>
    <x v="121"/>
    <m/>
    <m/>
    <x v="0"/>
    <x v="16"/>
    <x v="2"/>
    <x v="3"/>
    <x v="6"/>
    <x v="3"/>
    <s v="3F/事務所"/>
  </r>
  <r>
    <x v="218"/>
    <x v="2"/>
    <m/>
    <m/>
    <m/>
    <x v="8"/>
    <x v="0"/>
    <x v="1"/>
    <x v="1"/>
    <x v="0"/>
    <x v="0"/>
    <m/>
    <m/>
    <m/>
    <m/>
    <n v="1"/>
    <x v="2"/>
    <x v="162"/>
    <m/>
    <m/>
    <x v="0"/>
    <x v="32"/>
    <x v="0"/>
    <x v="1"/>
    <x v="5"/>
    <x v="2"/>
    <s v="2F/充填ライン北"/>
  </r>
  <r>
    <x v="219"/>
    <x v="2"/>
    <m/>
    <m/>
    <m/>
    <x v="8"/>
    <x v="0"/>
    <x v="1"/>
    <x v="1"/>
    <x v="0"/>
    <x v="0"/>
    <m/>
    <m/>
    <m/>
    <m/>
    <n v="3"/>
    <x v="4"/>
    <x v="192"/>
    <m/>
    <m/>
    <x v="0"/>
    <x v="33"/>
    <x v="0"/>
    <x v="1"/>
    <x v="5"/>
    <x v="2"/>
    <s v="2F/充填ライン北"/>
  </r>
  <r>
    <x v="220"/>
    <x v="2"/>
    <m/>
    <m/>
    <m/>
    <x v="8"/>
    <x v="0"/>
    <x v="1"/>
    <x v="1"/>
    <x v="0"/>
    <x v="0"/>
    <n v="1"/>
    <m/>
    <m/>
    <m/>
    <n v="5"/>
    <x v="3"/>
    <x v="193"/>
    <m/>
    <m/>
    <x v="0"/>
    <x v="10"/>
    <x v="0"/>
    <x v="1"/>
    <x v="5"/>
    <x v="2"/>
    <s v="2F/充填ライン南"/>
  </r>
  <r>
    <x v="221"/>
    <x v="2"/>
    <m/>
    <m/>
    <m/>
    <x v="8"/>
    <x v="0"/>
    <x v="1"/>
    <x v="1"/>
    <x v="0"/>
    <x v="0"/>
    <m/>
    <m/>
    <m/>
    <m/>
    <n v="1"/>
    <x v="2"/>
    <x v="194"/>
    <m/>
    <m/>
    <x v="0"/>
    <x v="9"/>
    <x v="0"/>
    <x v="1"/>
    <x v="5"/>
    <x v="3"/>
    <s v="2F/事務所"/>
  </r>
  <r>
    <x v="222"/>
    <x v="2"/>
    <m/>
    <m/>
    <m/>
    <x v="8"/>
    <x v="0"/>
    <x v="1"/>
    <x v="1"/>
    <x v="0"/>
    <x v="0"/>
    <m/>
    <m/>
    <m/>
    <m/>
    <n v="1"/>
    <x v="2"/>
    <x v="195"/>
    <m/>
    <m/>
    <x v="0"/>
    <x v="7"/>
    <x v="0"/>
    <x v="1"/>
    <x v="3"/>
    <x v="3"/>
    <s v="2F/事務所"/>
  </r>
  <r>
    <x v="223"/>
    <x v="2"/>
    <m/>
    <m/>
    <m/>
    <x v="8"/>
    <x v="0"/>
    <x v="1"/>
    <x v="1"/>
    <x v="0"/>
    <x v="0"/>
    <m/>
    <m/>
    <m/>
    <m/>
    <n v="1"/>
    <x v="2"/>
    <x v="196"/>
    <m/>
    <m/>
    <x v="0"/>
    <x v="34"/>
    <x v="0"/>
    <x v="1"/>
    <x v="4"/>
    <x v="3"/>
    <s v="2F/作業場南"/>
  </r>
  <r>
    <x v="224"/>
    <x v="2"/>
    <m/>
    <m/>
    <m/>
    <x v="8"/>
    <x v="0"/>
    <x v="1"/>
    <x v="1"/>
    <x v="0"/>
    <x v="0"/>
    <m/>
    <m/>
    <m/>
    <m/>
    <n v="1"/>
    <x v="2"/>
    <x v="167"/>
    <m/>
    <m/>
    <x v="0"/>
    <x v="23"/>
    <x v="4"/>
    <x v="5"/>
    <x v="6"/>
    <x v="3"/>
    <s v="3F/事務所"/>
  </r>
  <r>
    <x v="225"/>
    <x v="2"/>
    <m/>
    <m/>
    <m/>
    <x v="8"/>
    <x v="0"/>
    <x v="1"/>
    <x v="1"/>
    <x v="0"/>
    <x v="0"/>
    <m/>
    <m/>
    <m/>
    <m/>
    <n v="1"/>
    <x v="2"/>
    <x v="197"/>
    <m/>
    <m/>
    <x v="0"/>
    <x v="35"/>
    <x v="0"/>
    <x v="1"/>
    <x v="3"/>
    <x v="2"/>
    <s v="1F/バルク室"/>
  </r>
  <r>
    <x v="226"/>
    <x v="2"/>
    <m/>
    <m/>
    <m/>
    <x v="8"/>
    <x v="0"/>
    <x v="1"/>
    <x v="1"/>
    <x v="0"/>
    <x v="0"/>
    <m/>
    <m/>
    <m/>
    <m/>
    <n v="1"/>
    <x v="2"/>
    <x v="157"/>
    <m/>
    <m/>
    <x v="0"/>
    <x v="22"/>
    <x v="3"/>
    <x v="4"/>
    <x v="6"/>
    <x v="3"/>
    <s v="3F/事務所"/>
  </r>
  <r>
    <x v="227"/>
    <x v="2"/>
    <m/>
    <m/>
    <m/>
    <x v="8"/>
    <x v="0"/>
    <x v="1"/>
    <x v="1"/>
    <x v="0"/>
    <x v="0"/>
    <m/>
    <m/>
    <m/>
    <m/>
    <n v="1"/>
    <x v="2"/>
    <x v="121"/>
    <m/>
    <m/>
    <x v="0"/>
    <x v="36"/>
    <x v="0"/>
    <x v="1"/>
    <x v="3"/>
    <x v="2"/>
    <s v="1F/バルク室"/>
  </r>
  <r>
    <x v="228"/>
    <x v="2"/>
    <m/>
    <m/>
    <m/>
    <x v="8"/>
    <x v="0"/>
    <x v="1"/>
    <x v="1"/>
    <x v="0"/>
    <x v="0"/>
    <m/>
    <m/>
    <m/>
    <m/>
    <n v="3"/>
    <x v="4"/>
    <x v="198"/>
    <m/>
    <m/>
    <x v="0"/>
    <x v="37"/>
    <x v="0"/>
    <x v="1"/>
    <x v="3"/>
    <x v="2"/>
    <s v="1F/バルク室"/>
  </r>
  <r>
    <x v="229"/>
    <x v="2"/>
    <m/>
    <m/>
    <m/>
    <x v="8"/>
    <x v="0"/>
    <x v="1"/>
    <x v="1"/>
    <x v="0"/>
    <x v="0"/>
    <m/>
    <m/>
    <m/>
    <m/>
    <n v="1"/>
    <x v="2"/>
    <x v="157"/>
    <m/>
    <m/>
    <x v="0"/>
    <x v="38"/>
    <x v="4"/>
    <x v="5"/>
    <x v="6"/>
    <x v="3"/>
    <s v="3F/事務所"/>
  </r>
  <r>
    <x v="230"/>
    <x v="2"/>
    <m/>
    <m/>
    <m/>
    <x v="8"/>
    <x v="0"/>
    <x v="1"/>
    <x v="1"/>
    <x v="0"/>
    <x v="0"/>
    <n v="1"/>
    <m/>
    <m/>
    <m/>
    <n v="5"/>
    <x v="3"/>
    <x v="199"/>
    <m/>
    <m/>
    <x v="0"/>
    <x v="19"/>
    <x v="3"/>
    <x v="4"/>
    <x v="6"/>
    <x v="3"/>
    <s v="3F/事務所"/>
  </r>
  <r>
    <x v="231"/>
    <x v="2"/>
    <m/>
    <m/>
    <m/>
    <x v="8"/>
    <x v="0"/>
    <x v="1"/>
    <x v="1"/>
    <x v="0"/>
    <x v="0"/>
    <m/>
    <m/>
    <m/>
    <m/>
    <n v="2"/>
    <x v="5"/>
    <x v="200"/>
    <m/>
    <m/>
    <x v="0"/>
    <x v="20"/>
    <x v="3"/>
    <x v="4"/>
    <x v="6"/>
    <x v="3"/>
    <s v="3F/事務所"/>
  </r>
  <r>
    <x v="232"/>
    <x v="2"/>
    <m/>
    <m/>
    <m/>
    <x v="8"/>
    <x v="0"/>
    <x v="1"/>
    <x v="1"/>
    <x v="0"/>
    <x v="0"/>
    <m/>
    <m/>
    <m/>
    <m/>
    <n v="1"/>
    <x v="2"/>
    <x v="157"/>
    <m/>
    <m/>
    <x v="0"/>
    <x v="24"/>
    <x v="3"/>
    <x v="4"/>
    <x v="6"/>
    <x v="3"/>
    <s v="3F/試験室"/>
  </r>
  <r>
    <x v="233"/>
    <x v="2"/>
    <m/>
    <m/>
    <m/>
    <x v="8"/>
    <x v="0"/>
    <x v="1"/>
    <x v="0"/>
    <x v="0"/>
    <x v="0"/>
    <m/>
    <m/>
    <m/>
    <m/>
    <n v="4"/>
    <x v="1"/>
    <x v="201"/>
    <m/>
    <m/>
    <x v="0"/>
    <x v="18"/>
    <x v="3"/>
    <x v="4"/>
    <x v="6"/>
    <x v="3"/>
    <s v="3F/事務所"/>
  </r>
  <r>
    <x v="234"/>
    <x v="2"/>
    <m/>
    <m/>
    <m/>
    <x v="8"/>
    <x v="0"/>
    <x v="1"/>
    <x v="1"/>
    <x v="0"/>
    <x v="0"/>
    <n v="1"/>
    <m/>
    <m/>
    <m/>
    <n v="5"/>
    <x v="3"/>
    <x v="202"/>
    <m/>
    <m/>
    <x v="0"/>
    <x v="14"/>
    <x v="2"/>
    <x v="3"/>
    <x v="6"/>
    <x v="3"/>
    <s v="3F/事務所"/>
  </r>
  <r>
    <x v="235"/>
    <x v="2"/>
    <m/>
    <m/>
    <m/>
    <x v="8"/>
    <x v="0"/>
    <x v="1"/>
    <x v="1"/>
    <x v="0"/>
    <x v="0"/>
    <n v="1"/>
    <m/>
    <m/>
    <m/>
    <n v="5"/>
    <x v="3"/>
    <x v="203"/>
    <m/>
    <m/>
    <x v="0"/>
    <x v="4"/>
    <x v="0"/>
    <x v="0"/>
    <x v="1"/>
    <x v="0"/>
    <s v="3F/シンク前"/>
  </r>
  <r>
    <x v="236"/>
    <x v="2"/>
    <m/>
    <m/>
    <m/>
    <x v="8"/>
    <x v="24"/>
    <x v="1"/>
    <x v="1"/>
    <x v="0"/>
    <x v="0"/>
    <n v="1"/>
    <n v="1"/>
    <m/>
    <m/>
    <n v="4"/>
    <x v="1"/>
    <x v="204"/>
    <m/>
    <m/>
    <x v="0"/>
    <x v="3"/>
    <x v="0"/>
    <x v="0"/>
    <x v="2"/>
    <x v="1"/>
    <s v="1F/南西角"/>
  </r>
  <r>
    <x v="237"/>
    <x v="2"/>
    <m/>
    <m/>
    <m/>
    <x v="8"/>
    <x v="0"/>
    <x v="1"/>
    <x v="1"/>
    <x v="0"/>
    <x v="0"/>
    <n v="1"/>
    <m/>
    <m/>
    <m/>
    <n v="5"/>
    <x v="3"/>
    <x v="205"/>
    <m/>
    <m/>
    <x v="0"/>
    <x v="26"/>
    <x v="0"/>
    <x v="0"/>
    <x v="1"/>
    <x v="0"/>
    <s v="3F/シンク前"/>
  </r>
  <r>
    <x v="238"/>
    <x v="2"/>
    <m/>
    <m/>
    <m/>
    <x v="8"/>
    <x v="24"/>
    <x v="1"/>
    <x v="1"/>
    <x v="0"/>
    <x v="0"/>
    <n v="1"/>
    <n v="1"/>
    <m/>
    <m/>
    <n v="3"/>
    <x v="4"/>
    <x v="206"/>
    <m/>
    <m/>
    <x v="0"/>
    <x v="0"/>
    <x v="0"/>
    <x v="0"/>
    <x v="0"/>
    <x v="0"/>
    <s v="3F/シンク前"/>
  </r>
  <r>
    <x v="239"/>
    <x v="2"/>
    <m/>
    <m/>
    <m/>
    <x v="8"/>
    <x v="0"/>
    <x v="1"/>
    <x v="1"/>
    <x v="0"/>
    <x v="0"/>
    <n v="1"/>
    <m/>
    <m/>
    <m/>
    <n v="5"/>
    <x v="3"/>
    <x v="207"/>
    <m/>
    <m/>
    <x v="0"/>
    <x v="2"/>
    <x v="0"/>
    <x v="0"/>
    <x v="1"/>
    <x v="0"/>
    <s v="3F/シンク前"/>
  </r>
  <r>
    <x v="240"/>
    <x v="2"/>
    <m/>
    <m/>
    <m/>
    <x v="8"/>
    <x v="0"/>
    <x v="1"/>
    <x v="1"/>
    <x v="0"/>
    <x v="0"/>
    <m/>
    <m/>
    <m/>
    <m/>
    <n v="1"/>
    <x v="2"/>
    <x v="121"/>
    <m/>
    <m/>
    <x v="0"/>
    <x v="8"/>
    <x v="0"/>
    <x v="1"/>
    <x v="4"/>
    <x v="0"/>
    <s v="3F/シンク前"/>
  </r>
  <r>
    <x v="241"/>
    <x v="2"/>
    <m/>
    <m/>
    <m/>
    <x v="8"/>
    <x v="0"/>
    <x v="1"/>
    <x v="1"/>
    <x v="0"/>
    <x v="0"/>
    <n v="1"/>
    <m/>
    <m/>
    <m/>
    <n v="4"/>
    <x v="1"/>
    <x v="208"/>
    <m/>
    <m/>
    <x v="0"/>
    <x v="5"/>
    <x v="0"/>
    <x v="0"/>
    <x v="1"/>
    <x v="0"/>
    <s v="3F/シンク前"/>
  </r>
  <r>
    <x v="242"/>
    <x v="2"/>
    <m/>
    <m/>
    <m/>
    <x v="8"/>
    <x v="0"/>
    <x v="1"/>
    <x v="1"/>
    <x v="0"/>
    <x v="0"/>
    <m/>
    <m/>
    <m/>
    <m/>
    <n v="2"/>
    <x v="5"/>
    <x v="209"/>
    <m/>
    <m/>
    <x v="0"/>
    <x v="1"/>
    <x v="0"/>
    <x v="0"/>
    <x v="0"/>
    <x v="0"/>
    <s v="3F/シンク前"/>
  </r>
  <r>
    <x v="243"/>
    <x v="2"/>
    <m/>
    <m/>
    <m/>
    <x v="8"/>
    <x v="0"/>
    <x v="1"/>
    <x v="1"/>
    <x v="0"/>
    <x v="0"/>
    <n v="1"/>
    <m/>
    <m/>
    <m/>
    <n v="3"/>
    <x v="4"/>
    <x v="210"/>
    <m/>
    <m/>
    <x v="0"/>
    <x v="39"/>
    <x v="5"/>
    <x v="8"/>
    <x v="6"/>
    <x v="0"/>
    <s v="3F/シンク前"/>
  </r>
  <r>
    <x v="244"/>
    <x v="2"/>
    <m/>
    <m/>
    <m/>
    <x v="8"/>
    <x v="0"/>
    <x v="1"/>
    <x v="0"/>
    <x v="0"/>
    <x v="0"/>
    <m/>
    <m/>
    <m/>
    <m/>
    <n v="3"/>
    <x v="4"/>
    <x v="211"/>
    <m/>
    <m/>
    <x v="0"/>
    <x v="40"/>
    <x v="5"/>
    <x v="8"/>
    <x v="6"/>
    <x v="0"/>
    <s v="3F/シンク前"/>
  </r>
  <r>
    <x v="245"/>
    <x v="2"/>
    <m/>
    <m/>
    <m/>
    <x v="8"/>
    <x v="0"/>
    <x v="1"/>
    <x v="1"/>
    <x v="0"/>
    <x v="0"/>
    <m/>
    <m/>
    <m/>
    <m/>
    <n v="1"/>
    <x v="2"/>
    <x v="157"/>
    <m/>
    <m/>
    <x v="0"/>
    <x v="41"/>
    <x v="4"/>
    <x v="5"/>
    <x v="6"/>
    <x v="0"/>
    <s v="3F/シンク前"/>
  </r>
  <r>
    <x v="246"/>
    <x v="2"/>
    <m/>
    <m/>
    <m/>
    <x v="8"/>
    <x v="0"/>
    <x v="1"/>
    <x v="1"/>
    <x v="0"/>
    <x v="0"/>
    <m/>
    <m/>
    <m/>
    <m/>
    <n v="3"/>
    <x v="4"/>
    <x v="212"/>
    <m/>
    <m/>
    <x v="0"/>
    <x v="13"/>
    <x v="1"/>
    <x v="2"/>
    <x v="6"/>
    <x v="0"/>
    <s v="3F/シンク前"/>
  </r>
  <r>
    <x v="247"/>
    <x v="2"/>
    <m/>
    <m/>
    <m/>
    <x v="8"/>
    <x v="0"/>
    <x v="1"/>
    <x v="0"/>
    <x v="0"/>
    <x v="0"/>
    <m/>
    <m/>
    <m/>
    <m/>
    <n v="4"/>
    <x v="1"/>
    <x v="213"/>
    <m/>
    <m/>
    <x v="0"/>
    <x v="11"/>
    <x v="1"/>
    <x v="2"/>
    <x v="6"/>
    <x v="0"/>
    <s v="3F/シンク前"/>
  </r>
  <r>
    <x v="248"/>
    <x v="2"/>
    <m/>
    <m/>
    <m/>
    <x v="8"/>
    <x v="0"/>
    <x v="1"/>
    <x v="1"/>
    <x v="0"/>
    <x v="0"/>
    <m/>
    <m/>
    <m/>
    <m/>
    <n v="5"/>
    <x v="3"/>
    <x v="214"/>
    <m/>
    <m/>
    <x v="0"/>
    <x v="12"/>
    <x v="1"/>
    <x v="2"/>
    <x v="6"/>
    <x v="0"/>
    <s v="3F/シンク前"/>
  </r>
  <r>
    <x v="249"/>
    <x v="2"/>
    <m/>
    <m/>
    <m/>
    <x v="8"/>
    <x v="0"/>
    <x v="1"/>
    <x v="1"/>
    <x v="0"/>
    <x v="0"/>
    <m/>
    <m/>
    <m/>
    <m/>
    <n v="3"/>
    <x v="4"/>
    <x v="215"/>
    <m/>
    <m/>
    <x v="0"/>
    <x v="6"/>
    <x v="0"/>
    <x v="0"/>
    <x v="2"/>
    <x v="2"/>
    <s v="1F/事務所"/>
  </r>
  <r>
    <x v="250"/>
    <x v="2"/>
    <m/>
    <m/>
    <m/>
    <x v="8"/>
    <x v="0"/>
    <x v="1"/>
    <x v="1"/>
    <x v="0"/>
    <x v="0"/>
    <n v="1"/>
    <m/>
    <m/>
    <m/>
    <n v="4"/>
    <x v="1"/>
    <x v="216"/>
    <m/>
    <m/>
    <x v="0"/>
    <x v="42"/>
    <x v="0"/>
    <x v="1"/>
    <x v="7"/>
    <x v="0"/>
    <s v="3F/シンク前"/>
  </r>
  <r>
    <x v="251"/>
    <x v="2"/>
    <m/>
    <m/>
    <m/>
    <x v="8"/>
    <x v="0"/>
    <x v="1"/>
    <x v="1"/>
    <x v="0"/>
    <x v="0"/>
    <m/>
    <m/>
    <m/>
    <m/>
    <n v="1"/>
    <x v="2"/>
    <x v="217"/>
    <m/>
    <m/>
    <x v="0"/>
    <x v="43"/>
    <x v="0"/>
    <x v="1"/>
    <x v="7"/>
    <x v="0"/>
    <s v="3F/シンク前"/>
  </r>
  <r>
    <x v="252"/>
    <x v="2"/>
    <m/>
    <m/>
    <m/>
    <x v="8"/>
    <x v="0"/>
    <x v="1"/>
    <x v="1"/>
    <x v="0"/>
    <x v="0"/>
    <m/>
    <m/>
    <m/>
    <m/>
    <n v="1"/>
    <x v="2"/>
    <x v="157"/>
    <m/>
    <m/>
    <x v="0"/>
    <x v="44"/>
    <x v="0"/>
    <x v="0"/>
    <x v="2"/>
    <x v="0"/>
    <s v="3F/シンク前"/>
  </r>
  <r>
    <x v="253"/>
    <x v="2"/>
    <m/>
    <m/>
    <m/>
    <x v="8"/>
    <x v="0"/>
    <x v="1"/>
    <x v="1"/>
    <x v="0"/>
    <x v="0"/>
    <m/>
    <m/>
    <m/>
    <m/>
    <n v="1"/>
    <x v="2"/>
    <x v="218"/>
    <m/>
    <m/>
    <x v="0"/>
    <x v="45"/>
    <x v="4"/>
    <x v="5"/>
    <x v="6"/>
    <x v="0"/>
    <s v="3F/シンク前"/>
  </r>
  <r>
    <x v="254"/>
    <x v="2"/>
    <m/>
    <m/>
    <m/>
    <x v="8"/>
    <x v="0"/>
    <x v="1"/>
    <x v="1"/>
    <x v="0"/>
    <x v="0"/>
    <m/>
    <m/>
    <m/>
    <m/>
    <n v="1"/>
    <x v="2"/>
    <x v="157"/>
    <m/>
    <m/>
    <x v="0"/>
    <x v="27"/>
    <x v="5"/>
    <x v="6"/>
    <x v="6"/>
    <x v="4"/>
    <s v="-"/>
  </r>
  <r>
    <x v="255"/>
    <x v="2"/>
    <m/>
    <m/>
    <m/>
    <x v="8"/>
    <x v="0"/>
    <x v="1"/>
    <x v="1"/>
    <x v="0"/>
    <x v="0"/>
    <m/>
    <m/>
    <m/>
    <m/>
    <n v="1"/>
    <x v="2"/>
    <x v="157"/>
    <m/>
    <m/>
    <x v="0"/>
    <x v="28"/>
    <x v="5"/>
    <x v="7"/>
    <x v="6"/>
    <x v="4"/>
    <s v="-"/>
  </r>
  <r>
    <x v="256"/>
    <x v="2"/>
    <m/>
    <m/>
    <m/>
    <x v="8"/>
    <x v="0"/>
    <x v="1"/>
    <x v="1"/>
    <x v="0"/>
    <x v="0"/>
    <m/>
    <m/>
    <m/>
    <m/>
    <n v="1"/>
    <x v="2"/>
    <x v="157"/>
    <m/>
    <m/>
    <x v="0"/>
    <x v="29"/>
    <x v="5"/>
    <x v="7"/>
    <x v="6"/>
    <x v="4"/>
    <s v="-"/>
  </r>
  <r>
    <x v="257"/>
    <x v="2"/>
    <m/>
    <m/>
    <m/>
    <x v="8"/>
    <x v="0"/>
    <x v="1"/>
    <x v="1"/>
    <x v="0"/>
    <x v="0"/>
    <n v="1"/>
    <m/>
    <m/>
    <m/>
    <n v="5"/>
    <x v="3"/>
    <x v="219"/>
    <m/>
    <m/>
    <x v="0"/>
    <x v="30"/>
    <x v="5"/>
    <x v="7"/>
    <x v="6"/>
    <x v="4"/>
    <s v="-"/>
  </r>
  <r>
    <x v="258"/>
    <x v="2"/>
    <m/>
    <m/>
    <m/>
    <x v="9"/>
    <x v="0"/>
    <x v="1"/>
    <x v="1"/>
    <x v="1"/>
    <x v="1"/>
    <n v="1"/>
    <m/>
    <m/>
    <m/>
    <n v="1"/>
    <x v="0"/>
    <x v="121"/>
    <m/>
    <m/>
    <x v="0"/>
    <x v="21"/>
    <x v="3"/>
    <x v="4"/>
    <x v="6"/>
    <x v="3"/>
    <s v="3F/事務所"/>
  </r>
  <r>
    <x v="259"/>
    <x v="2"/>
    <m/>
    <m/>
    <m/>
    <x v="9"/>
    <x v="0"/>
    <x v="1"/>
    <x v="1"/>
    <x v="1"/>
    <x v="1"/>
    <n v="1"/>
    <m/>
    <m/>
    <m/>
    <n v="5"/>
    <x v="0"/>
    <x v="220"/>
    <m/>
    <m/>
    <x v="0"/>
    <x v="17"/>
    <x v="3"/>
    <x v="4"/>
    <x v="6"/>
    <x v="3"/>
    <s v="3F/事務所"/>
  </r>
  <r>
    <x v="260"/>
    <x v="2"/>
    <m/>
    <m/>
    <m/>
    <x v="9"/>
    <x v="0"/>
    <x v="1"/>
    <x v="1"/>
    <x v="1"/>
    <x v="1"/>
    <n v="1"/>
    <m/>
    <m/>
    <m/>
    <n v="4"/>
    <x v="0"/>
    <x v="221"/>
    <m/>
    <m/>
    <x v="0"/>
    <x v="15"/>
    <x v="2"/>
    <x v="3"/>
    <x v="6"/>
    <x v="3"/>
    <s v="3F/事務所"/>
  </r>
  <r>
    <x v="261"/>
    <x v="2"/>
    <m/>
    <m/>
    <m/>
    <x v="9"/>
    <x v="0"/>
    <x v="1"/>
    <x v="1"/>
    <x v="1"/>
    <x v="1"/>
    <n v="1"/>
    <m/>
    <m/>
    <m/>
    <n v="1"/>
    <x v="0"/>
    <x v="157"/>
    <m/>
    <m/>
    <x v="0"/>
    <x v="31"/>
    <x v="0"/>
    <x v="1"/>
    <x v="5"/>
    <x v="3"/>
    <s v="1F/作業場南"/>
  </r>
  <r>
    <x v="262"/>
    <x v="2"/>
    <m/>
    <m/>
    <m/>
    <x v="9"/>
    <x v="0"/>
    <x v="1"/>
    <x v="1"/>
    <x v="1"/>
    <x v="1"/>
    <n v="1"/>
    <m/>
    <m/>
    <m/>
    <n v="1"/>
    <x v="0"/>
    <x v="121"/>
    <m/>
    <m/>
    <x v="0"/>
    <x v="16"/>
    <x v="2"/>
    <x v="3"/>
    <x v="6"/>
    <x v="3"/>
    <s v="3F/事務所"/>
  </r>
  <r>
    <x v="263"/>
    <x v="2"/>
    <m/>
    <m/>
    <m/>
    <x v="9"/>
    <x v="0"/>
    <x v="1"/>
    <x v="1"/>
    <x v="1"/>
    <x v="1"/>
    <n v="1"/>
    <m/>
    <m/>
    <m/>
    <n v="1"/>
    <x v="0"/>
    <x v="162"/>
    <m/>
    <m/>
    <x v="0"/>
    <x v="32"/>
    <x v="0"/>
    <x v="1"/>
    <x v="5"/>
    <x v="2"/>
    <s v="2F/充填ライン北"/>
  </r>
  <r>
    <x v="264"/>
    <x v="2"/>
    <m/>
    <m/>
    <m/>
    <x v="9"/>
    <x v="0"/>
    <x v="1"/>
    <x v="1"/>
    <x v="1"/>
    <x v="1"/>
    <n v="1"/>
    <m/>
    <m/>
    <m/>
    <n v="1"/>
    <x v="0"/>
    <x v="157"/>
    <m/>
    <m/>
    <x v="0"/>
    <x v="33"/>
    <x v="0"/>
    <x v="1"/>
    <x v="5"/>
    <x v="2"/>
    <s v="2F/充填ライン北"/>
  </r>
  <r>
    <x v="265"/>
    <x v="2"/>
    <m/>
    <m/>
    <m/>
    <x v="9"/>
    <x v="26"/>
    <x v="0"/>
    <x v="1"/>
    <x v="1"/>
    <x v="1"/>
    <n v="1"/>
    <m/>
    <m/>
    <m/>
    <n v="4"/>
    <x v="0"/>
    <x v="222"/>
    <m/>
    <m/>
    <x v="0"/>
    <x v="10"/>
    <x v="0"/>
    <x v="1"/>
    <x v="5"/>
    <x v="2"/>
    <s v="2F/充填ライン南"/>
  </r>
  <r>
    <x v="266"/>
    <x v="2"/>
    <m/>
    <m/>
    <m/>
    <x v="9"/>
    <x v="0"/>
    <x v="1"/>
    <x v="1"/>
    <x v="1"/>
    <x v="1"/>
    <n v="1"/>
    <m/>
    <m/>
    <m/>
    <n v="5"/>
    <x v="0"/>
    <x v="223"/>
    <m/>
    <m/>
    <x v="0"/>
    <x v="9"/>
    <x v="0"/>
    <x v="1"/>
    <x v="5"/>
    <x v="3"/>
    <s v="2F/事務所"/>
  </r>
  <r>
    <x v="267"/>
    <x v="2"/>
    <m/>
    <m/>
    <m/>
    <x v="9"/>
    <x v="26"/>
    <x v="0"/>
    <x v="1"/>
    <x v="1"/>
    <x v="1"/>
    <n v="1"/>
    <m/>
    <m/>
    <m/>
    <n v="4"/>
    <x v="0"/>
    <x v="224"/>
    <m/>
    <m/>
    <x v="0"/>
    <x v="7"/>
    <x v="0"/>
    <x v="1"/>
    <x v="3"/>
    <x v="3"/>
    <s v="2F/事務所"/>
  </r>
  <r>
    <x v="268"/>
    <x v="2"/>
    <m/>
    <m/>
    <m/>
    <x v="9"/>
    <x v="0"/>
    <x v="1"/>
    <x v="1"/>
    <x v="1"/>
    <x v="1"/>
    <n v="1"/>
    <m/>
    <m/>
    <m/>
    <n v="1"/>
    <x v="0"/>
    <x v="196"/>
    <m/>
    <m/>
    <x v="0"/>
    <x v="34"/>
    <x v="0"/>
    <x v="1"/>
    <x v="4"/>
    <x v="3"/>
    <s v="2F/作業場南"/>
  </r>
  <r>
    <x v="269"/>
    <x v="2"/>
    <m/>
    <m/>
    <m/>
    <x v="9"/>
    <x v="0"/>
    <x v="1"/>
    <x v="1"/>
    <x v="1"/>
    <x v="1"/>
    <n v="1"/>
    <m/>
    <m/>
    <m/>
    <n v="1"/>
    <x v="0"/>
    <x v="167"/>
    <m/>
    <m/>
    <x v="0"/>
    <x v="23"/>
    <x v="4"/>
    <x v="5"/>
    <x v="6"/>
    <x v="3"/>
    <s v="3F/事務所"/>
  </r>
  <r>
    <x v="270"/>
    <x v="2"/>
    <m/>
    <m/>
    <m/>
    <x v="9"/>
    <x v="26"/>
    <x v="0"/>
    <x v="1"/>
    <x v="1"/>
    <x v="1"/>
    <n v="1"/>
    <m/>
    <m/>
    <m/>
    <n v="4"/>
    <x v="0"/>
    <x v="225"/>
    <m/>
    <m/>
    <x v="0"/>
    <x v="35"/>
    <x v="0"/>
    <x v="1"/>
    <x v="3"/>
    <x v="2"/>
    <s v="1F/バルク室"/>
  </r>
  <r>
    <x v="271"/>
    <x v="2"/>
    <m/>
    <m/>
    <m/>
    <x v="9"/>
    <x v="0"/>
    <x v="1"/>
    <x v="1"/>
    <x v="1"/>
    <x v="1"/>
    <n v="1"/>
    <m/>
    <m/>
    <m/>
    <n v="4"/>
    <x v="0"/>
    <x v="226"/>
    <m/>
    <m/>
    <x v="0"/>
    <x v="22"/>
    <x v="3"/>
    <x v="4"/>
    <x v="6"/>
    <x v="3"/>
    <s v="3F/事務所"/>
  </r>
  <r>
    <x v="272"/>
    <x v="2"/>
    <m/>
    <m/>
    <m/>
    <x v="9"/>
    <x v="0"/>
    <x v="1"/>
    <x v="1"/>
    <x v="1"/>
    <x v="1"/>
    <n v="1"/>
    <m/>
    <m/>
    <m/>
    <n v="1"/>
    <x v="0"/>
    <x v="121"/>
    <m/>
    <m/>
    <x v="0"/>
    <x v="36"/>
    <x v="0"/>
    <x v="1"/>
    <x v="3"/>
    <x v="2"/>
    <s v="1F/バルク室"/>
  </r>
  <r>
    <x v="273"/>
    <x v="2"/>
    <m/>
    <m/>
    <m/>
    <x v="9"/>
    <x v="0"/>
    <x v="1"/>
    <x v="1"/>
    <x v="1"/>
    <x v="1"/>
    <n v="1"/>
    <m/>
    <m/>
    <m/>
    <n v="1"/>
    <x v="0"/>
    <x v="196"/>
    <m/>
    <m/>
    <x v="0"/>
    <x v="37"/>
    <x v="0"/>
    <x v="1"/>
    <x v="3"/>
    <x v="2"/>
    <s v="1F/バルク室"/>
  </r>
  <r>
    <x v="274"/>
    <x v="2"/>
    <m/>
    <m/>
    <m/>
    <x v="9"/>
    <x v="0"/>
    <x v="1"/>
    <x v="1"/>
    <x v="1"/>
    <x v="1"/>
    <n v="1"/>
    <m/>
    <m/>
    <m/>
    <n v="1"/>
    <x v="0"/>
    <x v="157"/>
    <m/>
    <m/>
    <x v="0"/>
    <x v="38"/>
    <x v="4"/>
    <x v="5"/>
    <x v="6"/>
    <x v="3"/>
    <s v="3F/事務所"/>
  </r>
  <r>
    <x v="275"/>
    <x v="2"/>
    <m/>
    <m/>
    <m/>
    <x v="9"/>
    <x v="0"/>
    <x v="1"/>
    <x v="1"/>
    <x v="1"/>
    <x v="1"/>
    <n v="1"/>
    <m/>
    <m/>
    <m/>
    <n v="5"/>
    <x v="0"/>
    <x v="227"/>
    <m/>
    <m/>
    <x v="0"/>
    <x v="19"/>
    <x v="3"/>
    <x v="4"/>
    <x v="6"/>
    <x v="3"/>
    <s v="3F/事務所"/>
  </r>
  <r>
    <x v="276"/>
    <x v="2"/>
    <m/>
    <m/>
    <m/>
    <x v="9"/>
    <x v="0"/>
    <x v="1"/>
    <x v="1"/>
    <x v="1"/>
    <x v="1"/>
    <n v="1"/>
    <m/>
    <m/>
    <m/>
    <n v="5"/>
    <x v="0"/>
    <x v="228"/>
    <m/>
    <m/>
    <x v="0"/>
    <x v="20"/>
    <x v="3"/>
    <x v="4"/>
    <x v="6"/>
    <x v="3"/>
    <s v="3F/事務所"/>
  </r>
  <r>
    <x v="277"/>
    <x v="2"/>
    <m/>
    <m/>
    <m/>
    <x v="9"/>
    <x v="0"/>
    <x v="1"/>
    <x v="1"/>
    <x v="1"/>
    <x v="1"/>
    <n v="1"/>
    <m/>
    <m/>
    <m/>
    <n v="1"/>
    <x v="0"/>
    <x v="157"/>
    <m/>
    <m/>
    <x v="0"/>
    <x v="24"/>
    <x v="3"/>
    <x v="4"/>
    <x v="6"/>
    <x v="3"/>
    <s v="3F/試験室"/>
  </r>
  <r>
    <x v="278"/>
    <x v="2"/>
    <m/>
    <m/>
    <m/>
    <x v="9"/>
    <x v="0"/>
    <x v="1"/>
    <x v="1"/>
    <x v="1"/>
    <x v="1"/>
    <n v="1"/>
    <m/>
    <m/>
    <m/>
    <n v="5"/>
    <x v="0"/>
    <x v="229"/>
    <m/>
    <m/>
    <x v="0"/>
    <x v="18"/>
    <x v="3"/>
    <x v="4"/>
    <x v="6"/>
    <x v="3"/>
    <s v="3F/事務所"/>
  </r>
  <r>
    <x v="279"/>
    <x v="2"/>
    <m/>
    <m/>
    <m/>
    <x v="9"/>
    <x v="0"/>
    <x v="1"/>
    <x v="1"/>
    <x v="1"/>
    <x v="1"/>
    <n v="1"/>
    <m/>
    <m/>
    <m/>
    <n v="5"/>
    <x v="0"/>
    <x v="230"/>
    <m/>
    <m/>
    <x v="0"/>
    <x v="14"/>
    <x v="2"/>
    <x v="3"/>
    <x v="6"/>
    <x v="3"/>
    <s v="3F/事務所"/>
  </r>
  <r>
    <x v="280"/>
    <x v="2"/>
    <m/>
    <m/>
    <m/>
    <x v="9"/>
    <x v="26"/>
    <x v="0"/>
    <x v="1"/>
    <x v="1"/>
    <x v="1"/>
    <n v="1"/>
    <m/>
    <m/>
    <m/>
    <n v="4"/>
    <x v="0"/>
    <x v="231"/>
    <m/>
    <m/>
    <x v="0"/>
    <x v="4"/>
    <x v="0"/>
    <x v="0"/>
    <x v="1"/>
    <x v="0"/>
    <s v="3F/シンク前"/>
  </r>
  <r>
    <x v="281"/>
    <x v="2"/>
    <m/>
    <m/>
    <m/>
    <x v="9"/>
    <x v="0"/>
    <x v="1"/>
    <x v="1"/>
    <x v="1"/>
    <x v="1"/>
    <n v="1"/>
    <m/>
    <m/>
    <m/>
    <n v="1"/>
    <x v="0"/>
    <x v="157"/>
    <m/>
    <m/>
    <x v="0"/>
    <x v="3"/>
    <x v="0"/>
    <x v="0"/>
    <x v="2"/>
    <x v="1"/>
    <s v="1F/南西角"/>
  </r>
  <r>
    <x v="282"/>
    <x v="2"/>
    <m/>
    <m/>
    <m/>
    <x v="9"/>
    <x v="0"/>
    <x v="1"/>
    <x v="1"/>
    <x v="1"/>
    <x v="1"/>
    <n v="1"/>
    <m/>
    <m/>
    <m/>
    <n v="5"/>
    <x v="0"/>
    <x v="232"/>
    <m/>
    <m/>
    <x v="0"/>
    <x v="26"/>
    <x v="0"/>
    <x v="0"/>
    <x v="1"/>
    <x v="0"/>
    <s v="3F/シンク前"/>
  </r>
  <r>
    <x v="283"/>
    <x v="2"/>
    <m/>
    <m/>
    <m/>
    <x v="9"/>
    <x v="26"/>
    <x v="0"/>
    <x v="1"/>
    <x v="1"/>
    <x v="1"/>
    <n v="1"/>
    <m/>
    <m/>
    <m/>
    <n v="4"/>
    <x v="0"/>
    <x v="233"/>
    <m/>
    <m/>
    <x v="0"/>
    <x v="0"/>
    <x v="0"/>
    <x v="0"/>
    <x v="0"/>
    <x v="0"/>
    <s v="3F/シンク前"/>
  </r>
  <r>
    <x v="284"/>
    <x v="2"/>
    <m/>
    <m/>
    <m/>
    <x v="9"/>
    <x v="0"/>
    <x v="1"/>
    <x v="1"/>
    <x v="1"/>
    <x v="1"/>
    <n v="1"/>
    <m/>
    <m/>
    <m/>
    <n v="5"/>
    <x v="0"/>
    <x v="234"/>
    <m/>
    <m/>
    <x v="0"/>
    <x v="2"/>
    <x v="0"/>
    <x v="0"/>
    <x v="1"/>
    <x v="0"/>
    <s v="3F/シンク前"/>
  </r>
  <r>
    <x v="285"/>
    <x v="2"/>
    <m/>
    <m/>
    <m/>
    <x v="9"/>
    <x v="0"/>
    <x v="1"/>
    <x v="1"/>
    <x v="1"/>
    <x v="1"/>
    <n v="1"/>
    <m/>
    <m/>
    <m/>
    <n v="1"/>
    <x v="0"/>
    <x v="121"/>
    <m/>
    <m/>
    <x v="0"/>
    <x v="8"/>
    <x v="0"/>
    <x v="1"/>
    <x v="4"/>
    <x v="0"/>
    <s v="3F/シンク前"/>
  </r>
  <r>
    <x v="286"/>
    <x v="2"/>
    <m/>
    <m/>
    <m/>
    <x v="9"/>
    <x v="26"/>
    <x v="0"/>
    <x v="1"/>
    <x v="1"/>
    <x v="1"/>
    <n v="1"/>
    <m/>
    <m/>
    <m/>
    <n v="4"/>
    <x v="0"/>
    <x v="235"/>
    <m/>
    <m/>
    <x v="0"/>
    <x v="5"/>
    <x v="0"/>
    <x v="0"/>
    <x v="1"/>
    <x v="0"/>
    <s v="3F/シンク前"/>
  </r>
  <r>
    <x v="287"/>
    <x v="2"/>
    <m/>
    <m/>
    <m/>
    <x v="9"/>
    <x v="26"/>
    <x v="0"/>
    <x v="1"/>
    <x v="1"/>
    <x v="1"/>
    <n v="1"/>
    <m/>
    <m/>
    <m/>
    <n v="3"/>
    <x v="0"/>
    <x v="236"/>
    <m/>
    <m/>
    <x v="0"/>
    <x v="1"/>
    <x v="0"/>
    <x v="0"/>
    <x v="0"/>
    <x v="0"/>
    <s v="3F/シンク前"/>
  </r>
  <r>
    <x v="288"/>
    <x v="2"/>
    <m/>
    <m/>
    <m/>
    <x v="9"/>
    <x v="0"/>
    <x v="1"/>
    <x v="1"/>
    <x v="1"/>
    <x v="1"/>
    <n v="1"/>
    <m/>
    <m/>
    <m/>
    <n v="5"/>
    <x v="0"/>
    <x v="237"/>
    <m/>
    <m/>
    <x v="0"/>
    <x v="39"/>
    <x v="5"/>
    <x v="8"/>
    <x v="6"/>
    <x v="0"/>
    <s v="3F/シンク前"/>
  </r>
  <r>
    <x v="289"/>
    <x v="2"/>
    <m/>
    <m/>
    <m/>
    <x v="9"/>
    <x v="0"/>
    <x v="1"/>
    <x v="1"/>
    <x v="1"/>
    <x v="1"/>
    <n v="1"/>
    <m/>
    <m/>
    <m/>
    <n v="5"/>
    <x v="0"/>
    <x v="238"/>
    <m/>
    <m/>
    <x v="0"/>
    <x v="40"/>
    <x v="5"/>
    <x v="8"/>
    <x v="6"/>
    <x v="0"/>
    <s v="3F/シンク前"/>
  </r>
  <r>
    <x v="290"/>
    <x v="2"/>
    <m/>
    <m/>
    <m/>
    <x v="9"/>
    <x v="26"/>
    <x v="0"/>
    <x v="1"/>
    <x v="1"/>
    <x v="1"/>
    <n v="1"/>
    <m/>
    <m/>
    <m/>
    <n v="5"/>
    <x v="0"/>
    <x v="239"/>
    <m/>
    <m/>
    <x v="0"/>
    <x v="41"/>
    <x v="4"/>
    <x v="5"/>
    <x v="6"/>
    <x v="0"/>
    <s v="3F/シンク前"/>
  </r>
  <r>
    <x v="291"/>
    <x v="2"/>
    <m/>
    <m/>
    <m/>
    <x v="9"/>
    <x v="0"/>
    <x v="1"/>
    <x v="1"/>
    <x v="1"/>
    <x v="1"/>
    <n v="1"/>
    <m/>
    <m/>
    <m/>
    <n v="4"/>
    <x v="0"/>
    <x v="240"/>
    <m/>
    <m/>
    <x v="0"/>
    <x v="13"/>
    <x v="1"/>
    <x v="2"/>
    <x v="6"/>
    <x v="0"/>
    <s v="3F/シンク前"/>
  </r>
  <r>
    <x v="292"/>
    <x v="2"/>
    <m/>
    <m/>
    <m/>
    <x v="9"/>
    <x v="0"/>
    <x v="1"/>
    <x v="1"/>
    <x v="1"/>
    <x v="1"/>
    <n v="1"/>
    <m/>
    <m/>
    <m/>
    <n v="5"/>
    <x v="0"/>
    <x v="241"/>
    <m/>
    <m/>
    <x v="0"/>
    <x v="11"/>
    <x v="1"/>
    <x v="2"/>
    <x v="6"/>
    <x v="0"/>
    <s v="3F/シンク前"/>
  </r>
  <r>
    <x v="293"/>
    <x v="2"/>
    <m/>
    <m/>
    <m/>
    <x v="9"/>
    <x v="0"/>
    <x v="1"/>
    <x v="1"/>
    <x v="1"/>
    <x v="1"/>
    <n v="1"/>
    <m/>
    <m/>
    <m/>
    <n v="3"/>
    <x v="0"/>
    <x v="242"/>
    <m/>
    <m/>
    <x v="0"/>
    <x v="12"/>
    <x v="1"/>
    <x v="2"/>
    <x v="6"/>
    <x v="0"/>
    <s v="3F/シンク前"/>
  </r>
  <r>
    <x v="294"/>
    <x v="2"/>
    <m/>
    <m/>
    <m/>
    <x v="9"/>
    <x v="0"/>
    <x v="1"/>
    <x v="1"/>
    <x v="1"/>
    <x v="1"/>
    <n v="1"/>
    <m/>
    <m/>
    <m/>
    <n v="1"/>
    <x v="0"/>
    <x v="121"/>
    <m/>
    <m/>
    <x v="0"/>
    <x v="6"/>
    <x v="0"/>
    <x v="0"/>
    <x v="2"/>
    <x v="2"/>
    <s v="1F/事務所"/>
  </r>
  <r>
    <x v="295"/>
    <x v="2"/>
    <m/>
    <m/>
    <m/>
    <x v="9"/>
    <x v="0"/>
    <x v="1"/>
    <x v="1"/>
    <x v="1"/>
    <x v="1"/>
    <n v="1"/>
    <m/>
    <m/>
    <m/>
    <n v="1"/>
    <x v="0"/>
    <x v="196"/>
    <m/>
    <m/>
    <x v="0"/>
    <x v="42"/>
    <x v="0"/>
    <x v="1"/>
    <x v="7"/>
    <x v="0"/>
    <s v="3F/シンク前"/>
  </r>
  <r>
    <x v="296"/>
    <x v="2"/>
    <m/>
    <m/>
    <m/>
    <x v="9"/>
    <x v="26"/>
    <x v="0"/>
    <x v="1"/>
    <x v="1"/>
    <x v="1"/>
    <n v="1"/>
    <m/>
    <m/>
    <m/>
    <n v="4"/>
    <x v="0"/>
    <x v="243"/>
    <m/>
    <m/>
    <x v="0"/>
    <x v="43"/>
    <x v="0"/>
    <x v="1"/>
    <x v="7"/>
    <x v="0"/>
    <s v="3F/シンク前"/>
  </r>
  <r>
    <x v="297"/>
    <x v="2"/>
    <m/>
    <m/>
    <m/>
    <x v="9"/>
    <x v="0"/>
    <x v="1"/>
    <x v="1"/>
    <x v="1"/>
    <x v="1"/>
    <n v="1"/>
    <m/>
    <m/>
    <m/>
    <n v="4"/>
    <x v="0"/>
    <x v="221"/>
    <m/>
    <m/>
    <x v="0"/>
    <x v="44"/>
    <x v="0"/>
    <x v="0"/>
    <x v="2"/>
    <x v="0"/>
    <s v="3F/シンク前"/>
  </r>
  <r>
    <x v="298"/>
    <x v="2"/>
    <m/>
    <m/>
    <m/>
    <x v="9"/>
    <x v="0"/>
    <x v="1"/>
    <x v="1"/>
    <x v="1"/>
    <x v="1"/>
    <n v="1"/>
    <m/>
    <m/>
    <m/>
    <n v="1"/>
    <x v="0"/>
    <x v="157"/>
    <m/>
    <m/>
    <x v="0"/>
    <x v="45"/>
    <x v="4"/>
    <x v="5"/>
    <x v="6"/>
    <x v="0"/>
    <s v="3F/シンク前"/>
  </r>
  <r>
    <x v="299"/>
    <x v="2"/>
    <m/>
    <m/>
    <m/>
    <x v="9"/>
    <x v="0"/>
    <x v="1"/>
    <x v="1"/>
    <x v="1"/>
    <x v="1"/>
    <n v="1"/>
    <m/>
    <m/>
    <m/>
    <n v="1"/>
    <x v="0"/>
    <x v="157"/>
    <m/>
    <m/>
    <x v="0"/>
    <x v="27"/>
    <x v="5"/>
    <x v="6"/>
    <x v="6"/>
    <x v="4"/>
    <s v="-"/>
  </r>
  <r>
    <x v="300"/>
    <x v="2"/>
    <m/>
    <m/>
    <m/>
    <x v="9"/>
    <x v="24"/>
    <x v="1"/>
    <x v="1"/>
    <x v="1"/>
    <x v="1"/>
    <n v="1"/>
    <n v="1"/>
    <m/>
    <m/>
    <n v="5"/>
    <x v="0"/>
    <x v="116"/>
    <m/>
    <m/>
    <x v="0"/>
    <x v="28"/>
    <x v="5"/>
    <x v="7"/>
    <x v="6"/>
    <x v="4"/>
    <s v="-"/>
  </r>
  <r>
    <x v="301"/>
    <x v="2"/>
    <m/>
    <m/>
    <m/>
    <x v="9"/>
    <x v="0"/>
    <x v="1"/>
    <x v="1"/>
    <x v="1"/>
    <x v="1"/>
    <n v="1"/>
    <m/>
    <m/>
    <m/>
    <n v="1"/>
    <x v="0"/>
    <x v="157"/>
    <m/>
    <m/>
    <x v="0"/>
    <x v="29"/>
    <x v="5"/>
    <x v="7"/>
    <x v="6"/>
    <x v="4"/>
    <s v="-"/>
  </r>
  <r>
    <x v="302"/>
    <x v="2"/>
    <m/>
    <m/>
    <m/>
    <x v="9"/>
    <x v="0"/>
    <x v="1"/>
    <x v="1"/>
    <x v="1"/>
    <x v="1"/>
    <n v="1"/>
    <m/>
    <m/>
    <m/>
    <n v="1"/>
    <x v="0"/>
    <x v="157"/>
    <m/>
    <m/>
    <x v="0"/>
    <x v="30"/>
    <x v="5"/>
    <x v="7"/>
    <x v="6"/>
    <x v="4"/>
    <s v="-"/>
  </r>
  <r>
    <x v="303"/>
    <x v="2"/>
    <m/>
    <m/>
    <m/>
    <x v="10"/>
    <x v="24"/>
    <x v="1"/>
    <x v="1"/>
    <x v="1"/>
    <x v="1"/>
    <n v="1"/>
    <n v="1"/>
    <m/>
    <m/>
    <n v="4"/>
    <x v="0"/>
    <x v="244"/>
    <m/>
    <m/>
    <x v="0"/>
    <x v="21"/>
    <x v="3"/>
    <x v="4"/>
    <x v="6"/>
    <x v="3"/>
    <s v="3F/事務所"/>
  </r>
  <r>
    <x v="304"/>
    <x v="2"/>
    <m/>
    <m/>
    <m/>
    <x v="10"/>
    <x v="0"/>
    <x v="1"/>
    <x v="1"/>
    <x v="1"/>
    <x v="1"/>
    <n v="1"/>
    <m/>
    <m/>
    <m/>
    <n v="4"/>
    <x v="0"/>
    <x v="245"/>
    <m/>
    <m/>
    <x v="0"/>
    <x v="17"/>
    <x v="3"/>
    <x v="4"/>
    <x v="6"/>
    <x v="3"/>
    <s v="3F/事務所"/>
  </r>
  <r>
    <x v="305"/>
    <x v="2"/>
    <m/>
    <m/>
    <m/>
    <x v="10"/>
    <x v="0"/>
    <x v="1"/>
    <x v="1"/>
    <x v="1"/>
    <x v="1"/>
    <n v="1"/>
    <m/>
    <m/>
    <m/>
    <n v="4"/>
    <x v="0"/>
    <x v="246"/>
    <m/>
    <m/>
    <x v="0"/>
    <x v="15"/>
    <x v="2"/>
    <x v="3"/>
    <x v="6"/>
    <x v="3"/>
    <s v="3F/事務所"/>
  </r>
  <r>
    <x v="306"/>
    <x v="2"/>
    <m/>
    <m/>
    <m/>
    <x v="10"/>
    <x v="0"/>
    <x v="1"/>
    <x v="1"/>
    <x v="1"/>
    <x v="1"/>
    <n v="1"/>
    <m/>
    <m/>
    <m/>
    <n v="1"/>
    <x v="0"/>
    <x v="157"/>
    <m/>
    <m/>
    <x v="0"/>
    <x v="31"/>
    <x v="0"/>
    <x v="1"/>
    <x v="5"/>
    <x v="3"/>
    <s v="1F/作業場南"/>
  </r>
  <r>
    <x v="307"/>
    <x v="2"/>
    <m/>
    <m/>
    <m/>
    <x v="10"/>
    <x v="0"/>
    <x v="1"/>
    <x v="1"/>
    <x v="1"/>
    <x v="1"/>
    <n v="1"/>
    <m/>
    <m/>
    <m/>
    <n v="1"/>
    <x v="0"/>
    <x v="121"/>
    <m/>
    <m/>
    <x v="0"/>
    <x v="16"/>
    <x v="2"/>
    <x v="3"/>
    <x v="6"/>
    <x v="3"/>
    <s v="3F/事務所"/>
  </r>
  <r>
    <x v="308"/>
    <x v="2"/>
    <m/>
    <m/>
    <m/>
    <x v="10"/>
    <x v="0"/>
    <x v="1"/>
    <x v="1"/>
    <x v="1"/>
    <x v="1"/>
    <n v="1"/>
    <m/>
    <m/>
    <m/>
    <n v="5"/>
    <x v="0"/>
    <x v="247"/>
    <m/>
    <m/>
    <x v="0"/>
    <x v="32"/>
    <x v="0"/>
    <x v="1"/>
    <x v="5"/>
    <x v="2"/>
    <s v="2F/充填ライン北"/>
  </r>
  <r>
    <x v="309"/>
    <x v="2"/>
    <m/>
    <m/>
    <m/>
    <x v="10"/>
    <x v="0"/>
    <x v="1"/>
    <x v="1"/>
    <x v="1"/>
    <x v="1"/>
    <n v="1"/>
    <m/>
    <m/>
    <m/>
    <n v="1"/>
    <x v="0"/>
    <x v="157"/>
    <m/>
    <m/>
    <x v="0"/>
    <x v="33"/>
    <x v="0"/>
    <x v="1"/>
    <x v="5"/>
    <x v="2"/>
    <s v="2F/充填ライン北"/>
  </r>
  <r>
    <x v="310"/>
    <x v="2"/>
    <m/>
    <m/>
    <m/>
    <x v="10"/>
    <x v="24"/>
    <x v="1"/>
    <x v="1"/>
    <x v="1"/>
    <x v="1"/>
    <n v="1"/>
    <n v="1"/>
    <m/>
    <m/>
    <n v="5"/>
    <x v="0"/>
    <x v="248"/>
    <m/>
    <m/>
    <x v="0"/>
    <x v="10"/>
    <x v="0"/>
    <x v="1"/>
    <x v="5"/>
    <x v="2"/>
    <s v="2F/充填ライン南"/>
  </r>
  <r>
    <x v="311"/>
    <x v="2"/>
    <m/>
    <m/>
    <m/>
    <x v="10"/>
    <x v="24"/>
    <x v="1"/>
    <x v="1"/>
    <x v="1"/>
    <x v="1"/>
    <n v="1"/>
    <n v="1"/>
    <m/>
    <m/>
    <n v="5"/>
    <x v="0"/>
    <x v="249"/>
    <m/>
    <m/>
    <x v="0"/>
    <x v="9"/>
    <x v="0"/>
    <x v="1"/>
    <x v="5"/>
    <x v="3"/>
    <s v="2F/事務所"/>
  </r>
  <r>
    <x v="312"/>
    <x v="2"/>
    <m/>
    <m/>
    <m/>
    <x v="10"/>
    <x v="0"/>
    <x v="1"/>
    <x v="1"/>
    <x v="1"/>
    <x v="1"/>
    <n v="1"/>
    <m/>
    <m/>
    <m/>
    <n v="4"/>
    <x v="0"/>
    <x v="250"/>
    <m/>
    <m/>
    <x v="0"/>
    <x v="7"/>
    <x v="0"/>
    <x v="1"/>
    <x v="3"/>
    <x v="3"/>
    <s v="2F/事務所"/>
  </r>
  <r>
    <x v="313"/>
    <x v="2"/>
    <m/>
    <m/>
    <m/>
    <x v="10"/>
    <x v="24"/>
    <x v="1"/>
    <x v="1"/>
    <x v="1"/>
    <x v="1"/>
    <n v="1"/>
    <n v="1"/>
    <m/>
    <m/>
    <n v="4"/>
    <x v="0"/>
    <x v="251"/>
    <m/>
    <m/>
    <x v="0"/>
    <x v="34"/>
    <x v="0"/>
    <x v="1"/>
    <x v="4"/>
    <x v="3"/>
    <s v="2F/作業場南"/>
  </r>
  <r>
    <x v="314"/>
    <x v="2"/>
    <m/>
    <m/>
    <m/>
    <x v="10"/>
    <x v="0"/>
    <x v="1"/>
    <x v="1"/>
    <x v="1"/>
    <x v="1"/>
    <n v="1"/>
    <m/>
    <m/>
    <m/>
    <n v="1"/>
    <x v="0"/>
    <x v="167"/>
    <m/>
    <m/>
    <x v="0"/>
    <x v="23"/>
    <x v="4"/>
    <x v="5"/>
    <x v="6"/>
    <x v="3"/>
    <s v="3F/事務所"/>
  </r>
  <r>
    <x v="315"/>
    <x v="2"/>
    <m/>
    <m/>
    <m/>
    <x v="10"/>
    <x v="0"/>
    <x v="1"/>
    <x v="1"/>
    <x v="1"/>
    <x v="1"/>
    <n v="1"/>
    <m/>
    <m/>
    <m/>
    <n v="1"/>
    <x v="0"/>
    <x v="121"/>
    <m/>
    <m/>
    <x v="0"/>
    <x v="35"/>
    <x v="0"/>
    <x v="1"/>
    <x v="3"/>
    <x v="2"/>
    <s v="1F/バルク室"/>
  </r>
  <r>
    <x v="316"/>
    <x v="2"/>
    <m/>
    <m/>
    <m/>
    <x v="10"/>
    <x v="0"/>
    <x v="1"/>
    <x v="1"/>
    <x v="1"/>
    <x v="1"/>
    <n v="1"/>
    <m/>
    <m/>
    <m/>
    <n v="5"/>
    <x v="0"/>
    <x v="252"/>
    <m/>
    <m/>
    <x v="0"/>
    <x v="22"/>
    <x v="3"/>
    <x v="4"/>
    <x v="6"/>
    <x v="3"/>
    <s v="3F/事務所"/>
  </r>
  <r>
    <x v="317"/>
    <x v="2"/>
    <m/>
    <m/>
    <m/>
    <x v="10"/>
    <x v="0"/>
    <x v="1"/>
    <x v="1"/>
    <x v="1"/>
    <x v="1"/>
    <n v="1"/>
    <m/>
    <m/>
    <m/>
    <n v="1"/>
    <x v="0"/>
    <x v="121"/>
    <m/>
    <m/>
    <x v="0"/>
    <x v="36"/>
    <x v="0"/>
    <x v="1"/>
    <x v="3"/>
    <x v="2"/>
    <s v="1F/バルク室"/>
  </r>
  <r>
    <x v="318"/>
    <x v="2"/>
    <m/>
    <m/>
    <m/>
    <x v="10"/>
    <x v="0"/>
    <x v="1"/>
    <x v="1"/>
    <x v="1"/>
    <x v="1"/>
    <n v="1"/>
    <m/>
    <m/>
    <m/>
    <n v="5"/>
    <x v="0"/>
    <x v="253"/>
    <m/>
    <m/>
    <x v="0"/>
    <x v="37"/>
    <x v="0"/>
    <x v="1"/>
    <x v="3"/>
    <x v="2"/>
    <s v="1F/バルク室"/>
  </r>
  <r>
    <x v="319"/>
    <x v="2"/>
    <m/>
    <m/>
    <m/>
    <x v="10"/>
    <x v="24"/>
    <x v="1"/>
    <x v="1"/>
    <x v="1"/>
    <x v="1"/>
    <n v="1"/>
    <n v="1"/>
    <m/>
    <m/>
    <n v="4"/>
    <x v="0"/>
    <x v="254"/>
    <m/>
    <m/>
    <x v="0"/>
    <x v="38"/>
    <x v="4"/>
    <x v="5"/>
    <x v="6"/>
    <x v="3"/>
    <s v="3F/事務所"/>
  </r>
  <r>
    <x v="320"/>
    <x v="2"/>
    <m/>
    <m/>
    <m/>
    <x v="10"/>
    <x v="0"/>
    <x v="1"/>
    <x v="1"/>
    <x v="1"/>
    <x v="1"/>
    <n v="1"/>
    <m/>
    <m/>
    <m/>
    <n v="4"/>
    <x v="0"/>
    <x v="255"/>
    <m/>
    <m/>
    <x v="0"/>
    <x v="19"/>
    <x v="3"/>
    <x v="4"/>
    <x v="6"/>
    <x v="3"/>
    <s v="3F/事務所"/>
  </r>
  <r>
    <x v="321"/>
    <x v="2"/>
    <m/>
    <m/>
    <m/>
    <x v="10"/>
    <x v="0"/>
    <x v="1"/>
    <x v="1"/>
    <x v="1"/>
    <x v="1"/>
    <n v="1"/>
    <m/>
    <m/>
    <m/>
    <n v="4"/>
    <x v="0"/>
    <x v="256"/>
    <m/>
    <m/>
    <x v="0"/>
    <x v="20"/>
    <x v="3"/>
    <x v="4"/>
    <x v="6"/>
    <x v="3"/>
    <s v="3F/事務所"/>
  </r>
  <r>
    <x v="322"/>
    <x v="2"/>
    <m/>
    <m/>
    <m/>
    <x v="10"/>
    <x v="0"/>
    <x v="1"/>
    <x v="1"/>
    <x v="1"/>
    <x v="1"/>
    <n v="1"/>
    <m/>
    <m/>
    <m/>
    <n v="1"/>
    <x v="0"/>
    <x v="157"/>
    <m/>
    <m/>
    <x v="0"/>
    <x v="24"/>
    <x v="3"/>
    <x v="4"/>
    <x v="6"/>
    <x v="3"/>
    <s v="3F/試験室"/>
  </r>
  <r>
    <x v="323"/>
    <x v="2"/>
    <m/>
    <m/>
    <m/>
    <x v="10"/>
    <x v="0"/>
    <x v="1"/>
    <x v="1"/>
    <x v="1"/>
    <x v="1"/>
    <n v="1"/>
    <m/>
    <m/>
    <m/>
    <n v="4"/>
    <x v="0"/>
    <x v="257"/>
    <m/>
    <m/>
    <x v="0"/>
    <x v="18"/>
    <x v="3"/>
    <x v="4"/>
    <x v="6"/>
    <x v="3"/>
    <s v="3F/事務所"/>
  </r>
  <r>
    <x v="324"/>
    <x v="2"/>
    <m/>
    <m/>
    <m/>
    <x v="10"/>
    <x v="24"/>
    <x v="1"/>
    <x v="1"/>
    <x v="1"/>
    <x v="1"/>
    <n v="1"/>
    <n v="1"/>
    <m/>
    <m/>
    <n v="5"/>
    <x v="0"/>
    <x v="258"/>
    <m/>
    <m/>
    <x v="0"/>
    <x v="14"/>
    <x v="2"/>
    <x v="3"/>
    <x v="6"/>
    <x v="3"/>
    <s v="3F/事務所"/>
  </r>
  <r>
    <x v="325"/>
    <x v="2"/>
    <m/>
    <m/>
    <m/>
    <x v="10"/>
    <x v="0"/>
    <x v="1"/>
    <x v="1"/>
    <x v="1"/>
    <x v="1"/>
    <n v="1"/>
    <m/>
    <m/>
    <m/>
    <n v="5"/>
    <x v="0"/>
    <x v="259"/>
    <m/>
    <m/>
    <x v="0"/>
    <x v="4"/>
    <x v="0"/>
    <x v="0"/>
    <x v="1"/>
    <x v="0"/>
    <s v="3F/シンク前"/>
  </r>
  <r>
    <x v="326"/>
    <x v="2"/>
    <m/>
    <m/>
    <m/>
    <x v="10"/>
    <x v="24"/>
    <x v="1"/>
    <x v="1"/>
    <x v="1"/>
    <x v="1"/>
    <n v="1"/>
    <n v="1"/>
    <m/>
    <m/>
    <n v="5"/>
    <x v="0"/>
    <x v="260"/>
    <m/>
    <m/>
    <x v="0"/>
    <x v="3"/>
    <x v="0"/>
    <x v="0"/>
    <x v="2"/>
    <x v="1"/>
    <s v="1F/南西角"/>
  </r>
  <r>
    <x v="327"/>
    <x v="2"/>
    <m/>
    <m/>
    <m/>
    <x v="10"/>
    <x v="0"/>
    <x v="1"/>
    <x v="1"/>
    <x v="1"/>
    <x v="1"/>
    <n v="1"/>
    <m/>
    <m/>
    <m/>
    <n v="5"/>
    <x v="0"/>
    <x v="261"/>
    <m/>
    <m/>
    <x v="0"/>
    <x v="26"/>
    <x v="0"/>
    <x v="0"/>
    <x v="1"/>
    <x v="0"/>
    <s v="3F/シンク前"/>
  </r>
  <r>
    <x v="328"/>
    <x v="2"/>
    <m/>
    <m/>
    <m/>
    <x v="10"/>
    <x v="24"/>
    <x v="1"/>
    <x v="1"/>
    <x v="1"/>
    <x v="1"/>
    <n v="1"/>
    <n v="1"/>
    <m/>
    <m/>
    <n v="4"/>
    <x v="0"/>
    <x v="262"/>
    <m/>
    <m/>
    <x v="0"/>
    <x v="0"/>
    <x v="0"/>
    <x v="0"/>
    <x v="0"/>
    <x v="0"/>
    <s v="3F/シンク前"/>
  </r>
  <r>
    <x v="329"/>
    <x v="2"/>
    <m/>
    <m/>
    <m/>
    <x v="10"/>
    <x v="24"/>
    <x v="1"/>
    <x v="1"/>
    <x v="1"/>
    <x v="1"/>
    <n v="1"/>
    <n v="1"/>
    <m/>
    <m/>
    <n v="5"/>
    <x v="0"/>
    <x v="263"/>
    <m/>
    <m/>
    <x v="0"/>
    <x v="2"/>
    <x v="0"/>
    <x v="0"/>
    <x v="1"/>
    <x v="0"/>
    <s v="3F/シンク前"/>
  </r>
  <r>
    <x v="330"/>
    <x v="2"/>
    <m/>
    <m/>
    <m/>
    <x v="10"/>
    <x v="0"/>
    <x v="1"/>
    <x v="1"/>
    <x v="1"/>
    <x v="1"/>
    <n v="1"/>
    <m/>
    <m/>
    <m/>
    <n v="5"/>
    <x v="0"/>
    <x v="264"/>
    <m/>
    <m/>
    <x v="0"/>
    <x v="8"/>
    <x v="0"/>
    <x v="1"/>
    <x v="4"/>
    <x v="0"/>
    <s v="3F/シンク前"/>
  </r>
  <r>
    <x v="331"/>
    <x v="2"/>
    <m/>
    <m/>
    <m/>
    <x v="10"/>
    <x v="24"/>
    <x v="1"/>
    <x v="1"/>
    <x v="1"/>
    <x v="1"/>
    <n v="1"/>
    <n v="1"/>
    <m/>
    <m/>
    <n v="4"/>
    <x v="0"/>
    <x v="265"/>
    <m/>
    <m/>
    <x v="0"/>
    <x v="5"/>
    <x v="0"/>
    <x v="0"/>
    <x v="1"/>
    <x v="0"/>
    <s v="3F/シンク前"/>
  </r>
  <r>
    <x v="332"/>
    <x v="2"/>
    <m/>
    <m/>
    <m/>
    <x v="10"/>
    <x v="0"/>
    <x v="1"/>
    <x v="1"/>
    <x v="1"/>
    <x v="1"/>
    <n v="1"/>
    <m/>
    <m/>
    <m/>
    <n v="4"/>
    <x v="0"/>
    <x v="266"/>
    <m/>
    <m/>
    <x v="0"/>
    <x v="1"/>
    <x v="0"/>
    <x v="0"/>
    <x v="0"/>
    <x v="0"/>
    <s v="3F/シンク前"/>
  </r>
  <r>
    <x v="333"/>
    <x v="2"/>
    <m/>
    <m/>
    <m/>
    <x v="10"/>
    <x v="24"/>
    <x v="1"/>
    <x v="1"/>
    <x v="1"/>
    <x v="1"/>
    <n v="1"/>
    <n v="1"/>
    <m/>
    <m/>
    <n v="4"/>
    <x v="0"/>
    <x v="267"/>
    <m/>
    <m/>
    <x v="0"/>
    <x v="39"/>
    <x v="5"/>
    <x v="8"/>
    <x v="6"/>
    <x v="0"/>
    <s v="3F/シンク前"/>
  </r>
  <r>
    <x v="334"/>
    <x v="2"/>
    <m/>
    <m/>
    <m/>
    <x v="10"/>
    <x v="0"/>
    <x v="1"/>
    <x v="1"/>
    <x v="1"/>
    <x v="1"/>
    <n v="1"/>
    <m/>
    <m/>
    <m/>
    <n v="4"/>
    <x v="0"/>
    <x v="268"/>
    <m/>
    <m/>
    <x v="0"/>
    <x v="40"/>
    <x v="5"/>
    <x v="8"/>
    <x v="6"/>
    <x v="0"/>
    <s v="3F/シンク前"/>
  </r>
  <r>
    <x v="335"/>
    <x v="2"/>
    <m/>
    <m/>
    <m/>
    <x v="10"/>
    <x v="0"/>
    <x v="1"/>
    <x v="1"/>
    <x v="1"/>
    <x v="1"/>
    <n v="1"/>
    <m/>
    <m/>
    <m/>
    <n v="5"/>
    <x v="0"/>
    <x v="269"/>
    <m/>
    <m/>
    <x v="0"/>
    <x v="41"/>
    <x v="4"/>
    <x v="5"/>
    <x v="6"/>
    <x v="0"/>
    <s v="3F/シンク前"/>
  </r>
  <r>
    <x v="336"/>
    <x v="2"/>
    <m/>
    <m/>
    <m/>
    <x v="10"/>
    <x v="0"/>
    <x v="1"/>
    <x v="1"/>
    <x v="1"/>
    <x v="1"/>
    <n v="1"/>
    <m/>
    <m/>
    <m/>
    <n v="5"/>
    <x v="0"/>
    <x v="270"/>
    <m/>
    <m/>
    <x v="0"/>
    <x v="13"/>
    <x v="1"/>
    <x v="2"/>
    <x v="6"/>
    <x v="0"/>
    <s v="3F/シンク前"/>
  </r>
  <r>
    <x v="337"/>
    <x v="2"/>
    <m/>
    <m/>
    <m/>
    <x v="10"/>
    <x v="0"/>
    <x v="1"/>
    <x v="1"/>
    <x v="1"/>
    <x v="1"/>
    <n v="1"/>
    <m/>
    <m/>
    <m/>
    <n v="4"/>
    <x v="0"/>
    <x v="271"/>
    <m/>
    <m/>
    <x v="0"/>
    <x v="11"/>
    <x v="1"/>
    <x v="2"/>
    <x v="6"/>
    <x v="0"/>
    <s v="3F/シンク前"/>
  </r>
  <r>
    <x v="338"/>
    <x v="2"/>
    <m/>
    <m/>
    <m/>
    <x v="10"/>
    <x v="0"/>
    <x v="1"/>
    <x v="1"/>
    <x v="1"/>
    <x v="1"/>
    <n v="1"/>
    <m/>
    <m/>
    <m/>
    <n v="4"/>
    <x v="0"/>
    <x v="272"/>
    <m/>
    <m/>
    <x v="0"/>
    <x v="12"/>
    <x v="1"/>
    <x v="2"/>
    <x v="6"/>
    <x v="0"/>
    <s v="3F/シンク前"/>
  </r>
  <r>
    <x v="339"/>
    <x v="2"/>
    <m/>
    <m/>
    <m/>
    <x v="10"/>
    <x v="24"/>
    <x v="1"/>
    <x v="1"/>
    <x v="1"/>
    <x v="1"/>
    <n v="1"/>
    <n v="1"/>
    <m/>
    <m/>
    <n v="4"/>
    <x v="0"/>
    <x v="273"/>
    <m/>
    <m/>
    <x v="0"/>
    <x v="6"/>
    <x v="0"/>
    <x v="0"/>
    <x v="2"/>
    <x v="2"/>
    <s v="1F/事務所"/>
  </r>
  <r>
    <x v="340"/>
    <x v="2"/>
    <m/>
    <m/>
    <m/>
    <x v="10"/>
    <x v="0"/>
    <x v="1"/>
    <x v="1"/>
    <x v="1"/>
    <x v="1"/>
    <n v="1"/>
    <m/>
    <m/>
    <m/>
    <n v="5"/>
    <x v="0"/>
    <x v="274"/>
    <m/>
    <m/>
    <x v="0"/>
    <x v="42"/>
    <x v="0"/>
    <x v="1"/>
    <x v="7"/>
    <x v="0"/>
    <s v="3F/シンク前"/>
  </r>
  <r>
    <x v="341"/>
    <x v="2"/>
    <m/>
    <m/>
    <m/>
    <x v="10"/>
    <x v="10"/>
    <x v="1"/>
    <x v="1"/>
    <x v="1"/>
    <x v="1"/>
    <n v="1"/>
    <m/>
    <m/>
    <m/>
    <n v="3"/>
    <x v="0"/>
    <x v="275"/>
    <m/>
    <m/>
    <x v="0"/>
    <x v="43"/>
    <x v="0"/>
    <x v="1"/>
    <x v="7"/>
    <x v="0"/>
    <s v="3F/シンク前"/>
  </r>
  <r>
    <x v="342"/>
    <x v="2"/>
    <m/>
    <m/>
    <m/>
    <x v="10"/>
    <x v="24"/>
    <x v="1"/>
    <x v="1"/>
    <x v="1"/>
    <x v="1"/>
    <n v="1"/>
    <n v="1"/>
    <m/>
    <m/>
    <n v="4"/>
    <x v="0"/>
    <x v="276"/>
    <m/>
    <m/>
    <x v="0"/>
    <x v="44"/>
    <x v="0"/>
    <x v="0"/>
    <x v="2"/>
    <x v="0"/>
    <s v="3F/シンク前"/>
  </r>
  <r>
    <x v="343"/>
    <x v="2"/>
    <m/>
    <m/>
    <m/>
    <x v="10"/>
    <x v="0"/>
    <x v="1"/>
    <x v="1"/>
    <x v="1"/>
    <x v="1"/>
    <n v="1"/>
    <m/>
    <m/>
    <m/>
    <n v="5"/>
    <x v="0"/>
    <x v="277"/>
    <m/>
    <m/>
    <x v="0"/>
    <x v="45"/>
    <x v="4"/>
    <x v="5"/>
    <x v="6"/>
    <x v="0"/>
    <s v="3F/シンク前"/>
  </r>
  <r>
    <x v="344"/>
    <x v="2"/>
    <m/>
    <m/>
    <m/>
    <x v="10"/>
    <x v="0"/>
    <x v="1"/>
    <x v="1"/>
    <x v="1"/>
    <x v="1"/>
    <n v="1"/>
    <m/>
    <m/>
    <m/>
    <n v="1"/>
    <x v="0"/>
    <x v="157"/>
    <m/>
    <m/>
    <x v="0"/>
    <x v="27"/>
    <x v="5"/>
    <x v="6"/>
    <x v="6"/>
    <x v="4"/>
    <s v="-"/>
  </r>
  <r>
    <x v="345"/>
    <x v="2"/>
    <m/>
    <m/>
    <m/>
    <x v="10"/>
    <x v="0"/>
    <x v="1"/>
    <x v="1"/>
    <x v="1"/>
    <x v="1"/>
    <n v="1"/>
    <m/>
    <m/>
    <m/>
    <n v="5"/>
    <x v="0"/>
    <x v="115"/>
    <m/>
    <m/>
    <x v="0"/>
    <x v="28"/>
    <x v="5"/>
    <x v="7"/>
    <x v="6"/>
    <x v="4"/>
    <s v="-"/>
  </r>
  <r>
    <x v="346"/>
    <x v="2"/>
    <m/>
    <m/>
    <m/>
    <x v="10"/>
    <x v="0"/>
    <x v="1"/>
    <x v="1"/>
    <x v="1"/>
    <x v="1"/>
    <n v="1"/>
    <m/>
    <m/>
    <m/>
    <n v="5"/>
    <x v="0"/>
    <x v="117"/>
    <m/>
    <m/>
    <x v="0"/>
    <x v="29"/>
    <x v="5"/>
    <x v="7"/>
    <x v="6"/>
    <x v="4"/>
    <s v="-"/>
  </r>
  <r>
    <x v="347"/>
    <x v="2"/>
    <m/>
    <m/>
    <m/>
    <x v="10"/>
    <x v="0"/>
    <x v="1"/>
    <x v="1"/>
    <x v="1"/>
    <x v="1"/>
    <n v="1"/>
    <m/>
    <m/>
    <m/>
    <n v="1"/>
    <x v="0"/>
    <x v="157"/>
    <m/>
    <m/>
    <x v="0"/>
    <x v="30"/>
    <x v="5"/>
    <x v="7"/>
    <x v="6"/>
    <x v="4"/>
    <s v="-"/>
  </r>
  <r>
    <x v="348"/>
    <x v="2"/>
    <m/>
    <m/>
    <m/>
    <x v="11"/>
    <x v="0"/>
    <x v="1"/>
    <x v="1"/>
    <x v="1"/>
    <x v="0"/>
    <m/>
    <m/>
    <m/>
    <m/>
    <n v="1"/>
    <x v="0"/>
    <x v="157"/>
    <m/>
    <m/>
    <x v="0"/>
    <x v="21"/>
    <x v="3"/>
    <x v="4"/>
    <x v="6"/>
    <x v="3"/>
    <s v="3F/事務所"/>
  </r>
  <r>
    <x v="349"/>
    <x v="2"/>
    <m/>
    <m/>
    <m/>
    <x v="11"/>
    <x v="0"/>
    <x v="1"/>
    <x v="1"/>
    <x v="1"/>
    <x v="0"/>
    <m/>
    <m/>
    <m/>
    <m/>
    <n v="1"/>
    <x v="0"/>
    <x v="157"/>
    <m/>
    <m/>
    <x v="0"/>
    <x v="17"/>
    <x v="3"/>
    <x v="4"/>
    <x v="6"/>
    <x v="3"/>
    <s v="3F/事務所"/>
  </r>
  <r>
    <x v="350"/>
    <x v="2"/>
    <m/>
    <m/>
    <m/>
    <x v="11"/>
    <x v="0"/>
    <x v="1"/>
    <x v="1"/>
    <x v="0"/>
    <x v="1"/>
    <m/>
    <m/>
    <m/>
    <m/>
    <n v="4"/>
    <x v="0"/>
    <x v="278"/>
    <m/>
    <m/>
    <x v="0"/>
    <x v="15"/>
    <x v="2"/>
    <x v="3"/>
    <x v="6"/>
    <x v="3"/>
    <s v="3F/事務所"/>
  </r>
  <r>
    <x v="351"/>
    <x v="2"/>
    <m/>
    <m/>
    <m/>
    <x v="11"/>
    <x v="0"/>
    <x v="0"/>
    <x v="0"/>
    <x v="1"/>
    <x v="0"/>
    <m/>
    <m/>
    <m/>
    <m/>
    <n v="3"/>
    <x v="0"/>
    <x v="279"/>
    <m/>
    <m/>
    <x v="0"/>
    <x v="31"/>
    <x v="0"/>
    <x v="1"/>
    <x v="5"/>
    <x v="3"/>
    <s v="1F/作業場南"/>
  </r>
  <r>
    <x v="352"/>
    <x v="2"/>
    <m/>
    <m/>
    <m/>
    <x v="11"/>
    <x v="0"/>
    <x v="1"/>
    <x v="1"/>
    <x v="1"/>
    <x v="0"/>
    <m/>
    <m/>
    <m/>
    <m/>
    <n v="1"/>
    <x v="0"/>
    <x v="280"/>
    <m/>
    <m/>
    <x v="0"/>
    <x v="16"/>
    <x v="2"/>
    <x v="3"/>
    <x v="6"/>
    <x v="3"/>
    <s v="3F/事務所"/>
  </r>
  <r>
    <x v="353"/>
    <x v="2"/>
    <m/>
    <m/>
    <m/>
    <x v="11"/>
    <x v="0"/>
    <x v="0"/>
    <x v="0"/>
    <x v="1"/>
    <x v="0"/>
    <m/>
    <m/>
    <m/>
    <m/>
    <n v="3"/>
    <x v="0"/>
    <x v="281"/>
    <m/>
    <m/>
    <x v="0"/>
    <x v="32"/>
    <x v="0"/>
    <x v="1"/>
    <x v="5"/>
    <x v="2"/>
    <s v="2F/充填ライン北"/>
  </r>
  <r>
    <x v="354"/>
    <x v="2"/>
    <m/>
    <m/>
    <m/>
    <x v="11"/>
    <x v="0"/>
    <x v="1"/>
    <x v="1"/>
    <x v="1"/>
    <x v="0"/>
    <m/>
    <m/>
    <m/>
    <m/>
    <n v="1"/>
    <x v="0"/>
    <x v="157"/>
    <m/>
    <m/>
    <x v="0"/>
    <x v="33"/>
    <x v="0"/>
    <x v="1"/>
    <x v="5"/>
    <x v="2"/>
    <s v="2F/充填ライン北"/>
  </r>
  <r>
    <x v="355"/>
    <x v="2"/>
    <m/>
    <m/>
    <m/>
    <x v="11"/>
    <x v="0"/>
    <x v="1"/>
    <x v="1"/>
    <x v="1"/>
    <x v="1"/>
    <n v="1"/>
    <m/>
    <m/>
    <m/>
    <n v="5"/>
    <x v="0"/>
    <x v="282"/>
    <m/>
    <m/>
    <x v="0"/>
    <x v="10"/>
    <x v="0"/>
    <x v="1"/>
    <x v="5"/>
    <x v="2"/>
    <s v="2F/充填ライン南"/>
  </r>
  <r>
    <x v="356"/>
    <x v="2"/>
    <m/>
    <m/>
    <m/>
    <x v="11"/>
    <x v="0"/>
    <x v="1"/>
    <x v="1"/>
    <x v="1"/>
    <x v="0"/>
    <m/>
    <m/>
    <m/>
    <m/>
    <n v="1"/>
    <x v="0"/>
    <x v="157"/>
    <m/>
    <m/>
    <x v="0"/>
    <x v="9"/>
    <x v="0"/>
    <x v="1"/>
    <x v="5"/>
    <x v="3"/>
    <s v="2F/事務所"/>
  </r>
  <r>
    <x v="357"/>
    <x v="2"/>
    <m/>
    <m/>
    <m/>
    <x v="11"/>
    <x v="0"/>
    <x v="1"/>
    <x v="0"/>
    <x v="0"/>
    <x v="1"/>
    <m/>
    <m/>
    <m/>
    <m/>
    <n v="3"/>
    <x v="0"/>
    <x v="283"/>
    <m/>
    <m/>
    <x v="0"/>
    <x v="7"/>
    <x v="0"/>
    <x v="1"/>
    <x v="3"/>
    <x v="3"/>
    <s v="2F/事務所"/>
  </r>
  <r>
    <x v="358"/>
    <x v="2"/>
    <m/>
    <m/>
    <m/>
    <x v="11"/>
    <x v="0"/>
    <x v="1"/>
    <x v="1"/>
    <x v="1"/>
    <x v="0"/>
    <m/>
    <m/>
    <m/>
    <m/>
    <n v="1"/>
    <x v="0"/>
    <x v="157"/>
    <m/>
    <m/>
    <x v="0"/>
    <x v="34"/>
    <x v="0"/>
    <x v="1"/>
    <x v="4"/>
    <x v="3"/>
    <s v="2F/作業場南"/>
  </r>
  <r>
    <x v="359"/>
    <x v="2"/>
    <m/>
    <m/>
    <m/>
    <x v="11"/>
    <x v="0"/>
    <x v="1"/>
    <x v="1"/>
    <x v="1"/>
    <x v="0"/>
    <m/>
    <m/>
    <m/>
    <m/>
    <n v="1"/>
    <x v="0"/>
    <x v="167"/>
    <m/>
    <m/>
    <x v="0"/>
    <x v="23"/>
    <x v="4"/>
    <x v="5"/>
    <x v="6"/>
    <x v="3"/>
    <s v="3F/事務所"/>
  </r>
  <r>
    <x v="360"/>
    <x v="2"/>
    <m/>
    <m/>
    <m/>
    <x v="11"/>
    <x v="0"/>
    <x v="0"/>
    <x v="0"/>
    <x v="1"/>
    <x v="0"/>
    <m/>
    <m/>
    <m/>
    <m/>
    <n v="3"/>
    <x v="0"/>
    <x v="284"/>
    <m/>
    <m/>
    <x v="0"/>
    <x v="35"/>
    <x v="0"/>
    <x v="1"/>
    <x v="3"/>
    <x v="2"/>
    <s v="1F/バルク室"/>
  </r>
  <r>
    <x v="361"/>
    <x v="2"/>
    <m/>
    <m/>
    <m/>
    <x v="11"/>
    <x v="0"/>
    <x v="1"/>
    <x v="1"/>
    <x v="1"/>
    <x v="0"/>
    <m/>
    <m/>
    <m/>
    <m/>
    <n v="1"/>
    <x v="0"/>
    <x v="157"/>
    <m/>
    <m/>
    <x v="0"/>
    <x v="22"/>
    <x v="3"/>
    <x v="4"/>
    <x v="6"/>
    <x v="3"/>
    <s v="3F/事務所"/>
  </r>
  <r>
    <x v="362"/>
    <x v="2"/>
    <m/>
    <m/>
    <m/>
    <x v="11"/>
    <x v="0"/>
    <x v="1"/>
    <x v="1"/>
    <x v="1"/>
    <x v="1"/>
    <n v="1"/>
    <m/>
    <m/>
    <m/>
    <n v="5"/>
    <x v="0"/>
    <x v="285"/>
    <m/>
    <m/>
    <x v="0"/>
    <x v="36"/>
    <x v="0"/>
    <x v="1"/>
    <x v="3"/>
    <x v="2"/>
    <s v="1F/バルク室"/>
  </r>
  <r>
    <x v="363"/>
    <x v="2"/>
    <m/>
    <m/>
    <m/>
    <x v="11"/>
    <x v="0"/>
    <x v="0"/>
    <x v="0"/>
    <x v="1"/>
    <x v="0"/>
    <m/>
    <m/>
    <m/>
    <m/>
    <n v="3"/>
    <x v="0"/>
    <x v="286"/>
    <m/>
    <m/>
    <x v="0"/>
    <x v="37"/>
    <x v="0"/>
    <x v="1"/>
    <x v="3"/>
    <x v="2"/>
    <s v="1F/バルク室"/>
  </r>
  <r>
    <x v="364"/>
    <x v="2"/>
    <m/>
    <m/>
    <m/>
    <x v="11"/>
    <x v="0"/>
    <x v="1"/>
    <x v="1"/>
    <x v="1"/>
    <x v="0"/>
    <m/>
    <m/>
    <m/>
    <m/>
    <n v="1"/>
    <x v="0"/>
    <x v="157"/>
    <m/>
    <m/>
    <x v="0"/>
    <x v="38"/>
    <x v="4"/>
    <x v="5"/>
    <x v="6"/>
    <x v="3"/>
    <s v="3F/事務所"/>
  </r>
  <r>
    <x v="365"/>
    <x v="2"/>
    <m/>
    <m/>
    <m/>
    <x v="11"/>
    <x v="0"/>
    <x v="1"/>
    <x v="1"/>
    <x v="1"/>
    <x v="1"/>
    <m/>
    <m/>
    <m/>
    <m/>
    <n v="3"/>
    <x v="0"/>
    <x v="287"/>
    <m/>
    <m/>
    <x v="0"/>
    <x v="19"/>
    <x v="3"/>
    <x v="4"/>
    <x v="6"/>
    <x v="3"/>
    <s v="3F/事務所"/>
  </r>
  <r>
    <x v="366"/>
    <x v="2"/>
    <m/>
    <m/>
    <m/>
    <x v="11"/>
    <x v="0"/>
    <x v="1"/>
    <x v="1"/>
    <x v="1"/>
    <x v="1"/>
    <n v="1"/>
    <m/>
    <m/>
    <m/>
    <n v="4"/>
    <x v="0"/>
    <x v="288"/>
    <m/>
    <m/>
    <x v="0"/>
    <x v="20"/>
    <x v="3"/>
    <x v="4"/>
    <x v="6"/>
    <x v="3"/>
    <s v="3F/事務所"/>
  </r>
  <r>
    <x v="367"/>
    <x v="2"/>
    <m/>
    <m/>
    <m/>
    <x v="11"/>
    <x v="0"/>
    <x v="1"/>
    <x v="1"/>
    <x v="1"/>
    <x v="0"/>
    <m/>
    <m/>
    <m/>
    <m/>
    <n v="1"/>
    <x v="0"/>
    <x v="157"/>
    <m/>
    <m/>
    <x v="0"/>
    <x v="24"/>
    <x v="3"/>
    <x v="4"/>
    <x v="6"/>
    <x v="3"/>
    <s v="3F/試験室"/>
  </r>
  <r>
    <x v="368"/>
    <x v="2"/>
    <m/>
    <m/>
    <m/>
    <x v="11"/>
    <x v="0"/>
    <x v="1"/>
    <x v="1"/>
    <x v="1"/>
    <x v="1"/>
    <m/>
    <m/>
    <m/>
    <m/>
    <n v="3"/>
    <x v="0"/>
    <x v="289"/>
    <m/>
    <m/>
    <x v="0"/>
    <x v="18"/>
    <x v="3"/>
    <x v="4"/>
    <x v="6"/>
    <x v="3"/>
    <s v="3F/事務所"/>
  </r>
  <r>
    <x v="369"/>
    <x v="2"/>
    <m/>
    <m/>
    <m/>
    <x v="11"/>
    <x v="0"/>
    <x v="1"/>
    <x v="1"/>
    <x v="1"/>
    <x v="0"/>
    <m/>
    <m/>
    <m/>
    <m/>
    <n v="1"/>
    <x v="0"/>
    <x v="157"/>
    <m/>
    <m/>
    <x v="0"/>
    <x v="14"/>
    <x v="2"/>
    <x v="3"/>
    <x v="6"/>
    <x v="3"/>
    <s v="3F/事務所"/>
  </r>
  <r>
    <x v="370"/>
    <x v="2"/>
    <m/>
    <m/>
    <m/>
    <x v="11"/>
    <x v="0"/>
    <x v="1"/>
    <x v="1"/>
    <x v="1"/>
    <x v="1"/>
    <m/>
    <m/>
    <m/>
    <m/>
    <n v="4"/>
    <x v="0"/>
    <x v="290"/>
    <m/>
    <m/>
    <x v="0"/>
    <x v="4"/>
    <x v="0"/>
    <x v="0"/>
    <x v="1"/>
    <x v="0"/>
    <s v="3F/シンク前"/>
  </r>
  <r>
    <x v="371"/>
    <x v="2"/>
    <m/>
    <m/>
    <m/>
    <x v="11"/>
    <x v="0"/>
    <x v="1"/>
    <x v="1"/>
    <x v="1"/>
    <x v="0"/>
    <m/>
    <m/>
    <m/>
    <m/>
    <n v="1"/>
    <x v="0"/>
    <x v="157"/>
    <m/>
    <m/>
    <x v="0"/>
    <x v="3"/>
    <x v="0"/>
    <x v="0"/>
    <x v="2"/>
    <x v="1"/>
    <s v="1F/南西角"/>
  </r>
  <r>
    <x v="372"/>
    <x v="2"/>
    <m/>
    <m/>
    <m/>
    <x v="11"/>
    <x v="0"/>
    <x v="1"/>
    <x v="1"/>
    <x v="1"/>
    <x v="1"/>
    <n v="1"/>
    <m/>
    <m/>
    <m/>
    <n v="5"/>
    <x v="0"/>
    <x v="291"/>
    <m/>
    <m/>
    <x v="0"/>
    <x v="26"/>
    <x v="0"/>
    <x v="0"/>
    <x v="1"/>
    <x v="0"/>
    <s v="3F/シンク前"/>
  </r>
  <r>
    <x v="373"/>
    <x v="2"/>
    <m/>
    <m/>
    <m/>
    <x v="11"/>
    <x v="0"/>
    <x v="0"/>
    <x v="0"/>
    <x v="1"/>
    <x v="0"/>
    <m/>
    <m/>
    <m/>
    <m/>
    <n v="3"/>
    <x v="0"/>
    <x v="292"/>
    <m/>
    <m/>
    <x v="0"/>
    <x v="0"/>
    <x v="0"/>
    <x v="0"/>
    <x v="0"/>
    <x v="0"/>
    <s v="3F/シンク前"/>
  </r>
  <r>
    <x v="374"/>
    <x v="2"/>
    <m/>
    <m/>
    <m/>
    <x v="11"/>
    <x v="0"/>
    <x v="1"/>
    <x v="1"/>
    <x v="1"/>
    <x v="0"/>
    <m/>
    <m/>
    <m/>
    <m/>
    <n v="1"/>
    <x v="0"/>
    <x v="157"/>
    <m/>
    <m/>
    <x v="0"/>
    <x v="2"/>
    <x v="0"/>
    <x v="0"/>
    <x v="1"/>
    <x v="0"/>
    <s v="3F/シンク前"/>
  </r>
  <r>
    <x v="375"/>
    <x v="2"/>
    <m/>
    <m/>
    <m/>
    <x v="11"/>
    <x v="26"/>
    <x v="0"/>
    <x v="0"/>
    <x v="1"/>
    <x v="1"/>
    <m/>
    <m/>
    <m/>
    <m/>
    <n v="3"/>
    <x v="0"/>
    <x v="293"/>
    <m/>
    <m/>
    <x v="0"/>
    <x v="8"/>
    <x v="0"/>
    <x v="1"/>
    <x v="4"/>
    <x v="0"/>
    <s v="3F/シンク前"/>
  </r>
  <r>
    <x v="376"/>
    <x v="2"/>
    <m/>
    <m/>
    <m/>
    <x v="11"/>
    <x v="0"/>
    <x v="1"/>
    <x v="1"/>
    <x v="1"/>
    <x v="1"/>
    <n v="1"/>
    <m/>
    <m/>
    <m/>
    <n v="4"/>
    <x v="0"/>
    <x v="294"/>
    <m/>
    <m/>
    <x v="0"/>
    <x v="5"/>
    <x v="0"/>
    <x v="0"/>
    <x v="1"/>
    <x v="0"/>
    <s v="3F/シンク前"/>
  </r>
  <r>
    <x v="377"/>
    <x v="2"/>
    <m/>
    <m/>
    <m/>
    <x v="11"/>
    <x v="0"/>
    <x v="1"/>
    <x v="0"/>
    <x v="0"/>
    <x v="1"/>
    <m/>
    <m/>
    <m/>
    <m/>
    <n v="3"/>
    <x v="0"/>
    <x v="295"/>
    <m/>
    <m/>
    <x v="0"/>
    <x v="1"/>
    <x v="0"/>
    <x v="0"/>
    <x v="0"/>
    <x v="0"/>
    <s v="3F/シンク前"/>
  </r>
  <r>
    <x v="378"/>
    <x v="2"/>
    <m/>
    <m/>
    <m/>
    <x v="11"/>
    <x v="0"/>
    <x v="1"/>
    <x v="1"/>
    <x v="1"/>
    <x v="0"/>
    <m/>
    <m/>
    <m/>
    <m/>
    <n v="1"/>
    <x v="0"/>
    <x v="296"/>
    <m/>
    <m/>
    <x v="0"/>
    <x v="39"/>
    <x v="5"/>
    <x v="8"/>
    <x v="6"/>
    <x v="0"/>
    <s v="3F/シンク前"/>
  </r>
  <r>
    <x v="379"/>
    <x v="2"/>
    <m/>
    <m/>
    <m/>
    <x v="11"/>
    <x v="0"/>
    <x v="1"/>
    <x v="1"/>
    <x v="1"/>
    <x v="0"/>
    <m/>
    <m/>
    <m/>
    <m/>
    <n v="1"/>
    <x v="0"/>
    <x v="157"/>
    <m/>
    <m/>
    <x v="0"/>
    <x v="40"/>
    <x v="5"/>
    <x v="8"/>
    <x v="6"/>
    <x v="0"/>
    <s v="3F/シンク前"/>
  </r>
  <r>
    <x v="380"/>
    <x v="2"/>
    <m/>
    <m/>
    <m/>
    <x v="11"/>
    <x v="0"/>
    <x v="1"/>
    <x v="1"/>
    <x v="1"/>
    <x v="0"/>
    <m/>
    <m/>
    <m/>
    <m/>
    <n v="1"/>
    <x v="0"/>
    <x v="157"/>
    <m/>
    <m/>
    <x v="0"/>
    <x v="41"/>
    <x v="4"/>
    <x v="5"/>
    <x v="6"/>
    <x v="0"/>
    <s v="3F/シンク前"/>
  </r>
  <r>
    <x v="381"/>
    <x v="2"/>
    <m/>
    <m/>
    <m/>
    <x v="11"/>
    <x v="0"/>
    <x v="1"/>
    <x v="1"/>
    <x v="1"/>
    <x v="0"/>
    <m/>
    <m/>
    <m/>
    <m/>
    <n v="1"/>
    <x v="0"/>
    <x v="297"/>
    <m/>
    <m/>
    <x v="0"/>
    <x v="13"/>
    <x v="1"/>
    <x v="2"/>
    <x v="6"/>
    <x v="0"/>
    <s v="3F/シンク前"/>
  </r>
  <r>
    <x v="382"/>
    <x v="2"/>
    <m/>
    <m/>
    <m/>
    <x v="11"/>
    <x v="0"/>
    <x v="1"/>
    <x v="1"/>
    <x v="1"/>
    <x v="1"/>
    <m/>
    <m/>
    <m/>
    <m/>
    <n v="4"/>
    <x v="0"/>
    <x v="298"/>
    <m/>
    <m/>
    <x v="0"/>
    <x v="11"/>
    <x v="1"/>
    <x v="2"/>
    <x v="6"/>
    <x v="0"/>
    <s v="3F/シンク前"/>
  </r>
  <r>
    <x v="383"/>
    <x v="2"/>
    <m/>
    <m/>
    <m/>
    <x v="11"/>
    <x v="0"/>
    <x v="1"/>
    <x v="1"/>
    <x v="1"/>
    <x v="1"/>
    <m/>
    <m/>
    <m/>
    <m/>
    <n v="4"/>
    <x v="0"/>
    <x v="299"/>
    <m/>
    <m/>
    <x v="0"/>
    <x v="12"/>
    <x v="1"/>
    <x v="2"/>
    <x v="6"/>
    <x v="0"/>
    <s v="3F/シンク前"/>
  </r>
  <r>
    <x v="384"/>
    <x v="2"/>
    <m/>
    <m/>
    <m/>
    <x v="11"/>
    <x v="0"/>
    <x v="1"/>
    <x v="1"/>
    <x v="1"/>
    <x v="0"/>
    <m/>
    <m/>
    <m/>
    <m/>
    <n v="1"/>
    <x v="0"/>
    <x v="121"/>
    <m/>
    <m/>
    <x v="0"/>
    <x v="6"/>
    <x v="0"/>
    <x v="0"/>
    <x v="2"/>
    <x v="2"/>
    <s v="1F/事務所"/>
  </r>
  <r>
    <x v="385"/>
    <x v="2"/>
    <m/>
    <m/>
    <m/>
    <x v="11"/>
    <x v="0"/>
    <x v="1"/>
    <x v="1"/>
    <x v="1"/>
    <x v="0"/>
    <m/>
    <m/>
    <m/>
    <m/>
    <n v="1"/>
    <x v="0"/>
    <x v="300"/>
    <m/>
    <m/>
    <x v="0"/>
    <x v="42"/>
    <x v="0"/>
    <x v="1"/>
    <x v="7"/>
    <x v="0"/>
    <s v="3F/シンク前"/>
  </r>
  <r>
    <x v="386"/>
    <x v="2"/>
    <m/>
    <m/>
    <m/>
    <x v="11"/>
    <x v="0"/>
    <x v="1"/>
    <x v="1"/>
    <x v="1"/>
    <x v="1"/>
    <m/>
    <m/>
    <m/>
    <m/>
    <n v="4"/>
    <x v="0"/>
    <x v="301"/>
    <m/>
    <m/>
    <x v="0"/>
    <x v="43"/>
    <x v="0"/>
    <x v="1"/>
    <x v="7"/>
    <x v="0"/>
    <s v="3F/シンク前"/>
  </r>
  <r>
    <x v="387"/>
    <x v="2"/>
    <m/>
    <m/>
    <m/>
    <x v="11"/>
    <x v="0"/>
    <x v="1"/>
    <x v="1"/>
    <x v="1"/>
    <x v="0"/>
    <m/>
    <m/>
    <m/>
    <m/>
    <n v="1"/>
    <x v="0"/>
    <x v="157"/>
    <m/>
    <m/>
    <x v="0"/>
    <x v="44"/>
    <x v="0"/>
    <x v="0"/>
    <x v="2"/>
    <x v="0"/>
    <s v="3F/シンク前"/>
  </r>
  <r>
    <x v="388"/>
    <x v="2"/>
    <m/>
    <m/>
    <m/>
    <x v="11"/>
    <x v="0"/>
    <x v="1"/>
    <x v="1"/>
    <x v="1"/>
    <x v="1"/>
    <m/>
    <m/>
    <m/>
    <n v="1"/>
    <n v="5"/>
    <x v="0"/>
    <x v="302"/>
    <m/>
    <m/>
    <x v="0"/>
    <x v="45"/>
    <x v="4"/>
    <x v="5"/>
    <x v="6"/>
    <x v="0"/>
    <s v="3F/シンク前"/>
  </r>
  <r>
    <x v="389"/>
    <x v="2"/>
    <m/>
    <m/>
    <m/>
    <x v="11"/>
    <x v="0"/>
    <x v="1"/>
    <x v="0"/>
    <x v="0"/>
    <x v="1"/>
    <m/>
    <m/>
    <m/>
    <m/>
    <n v="5"/>
    <x v="0"/>
    <x v="303"/>
    <m/>
    <m/>
    <x v="0"/>
    <x v="27"/>
    <x v="5"/>
    <x v="6"/>
    <x v="6"/>
    <x v="4"/>
    <s v="-"/>
  </r>
  <r>
    <x v="390"/>
    <x v="2"/>
    <m/>
    <m/>
    <m/>
    <x v="11"/>
    <x v="0"/>
    <x v="1"/>
    <x v="0"/>
    <x v="0"/>
    <x v="1"/>
    <m/>
    <m/>
    <m/>
    <n v="1"/>
    <n v="5"/>
    <x v="0"/>
    <x v="304"/>
    <m/>
    <m/>
    <x v="0"/>
    <x v="28"/>
    <x v="5"/>
    <x v="7"/>
    <x v="6"/>
    <x v="4"/>
    <s v="-"/>
  </r>
  <r>
    <x v="391"/>
    <x v="2"/>
    <m/>
    <m/>
    <m/>
    <x v="11"/>
    <x v="0"/>
    <x v="1"/>
    <x v="1"/>
    <x v="1"/>
    <x v="0"/>
    <m/>
    <m/>
    <m/>
    <m/>
    <n v="1"/>
    <x v="0"/>
    <x v="157"/>
    <m/>
    <m/>
    <x v="0"/>
    <x v="29"/>
    <x v="5"/>
    <x v="7"/>
    <x v="6"/>
    <x v="4"/>
    <s v="-"/>
  </r>
  <r>
    <x v="392"/>
    <x v="2"/>
    <m/>
    <m/>
    <m/>
    <x v="11"/>
    <x v="0"/>
    <x v="1"/>
    <x v="1"/>
    <x v="1"/>
    <x v="0"/>
    <m/>
    <m/>
    <m/>
    <m/>
    <n v="1"/>
    <x v="0"/>
    <x v="157"/>
    <m/>
    <m/>
    <x v="0"/>
    <x v="30"/>
    <x v="5"/>
    <x v="7"/>
    <x v="6"/>
    <x v="4"/>
    <s v="-"/>
  </r>
  <r>
    <x v="393"/>
    <x v="3"/>
    <m/>
    <m/>
    <m/>
    <x v="12"/>
    <x v="0"/>
    <x v="1"/>
    <x v="1"/>
    <x v="1"/>
    <x v="1"/>
    <m/>
    <m/>
    <m/>
    <n v="1"/>
    <n v="4"/>
    <x v="0"/>
    <x v="305"/>
    <m/>
    <m/>
    <x v="0"/>
    <x v="46"/>
    <x v="0"/>
    <x v="6"/>
    <x v="6"/>
    <x v="3"/>
    <s v="2F/事務所"/>
  </r>
  <r>
    <x v="394"/>
    <x v="3"/>
    <m/>
    <m/>
    <m/>
    <x v="12"/>
    <x v="0"/>
    <x v="1"/>
    <x v="1"/>
    <x v="1"/>
    <x v="1"/>
    <m/>
    <m/>
    <n v="1"/>
    <n v="1"/>
    <n v="5"/>
    <x v="0"/>
    <x v="306"/>
    <m/>
    <m/>
    <x v="0"/>
    <x v="26"/>
    <x v="0"/>
    <x v="0"/>
    <x v="1"/>
    <x v="0"/>
    <s v="3F/シンク前"/>
  </r>
  <r>
    <x v="395"/>
    <x v="3"/>
    <m/>
    <m/>
    <m/>
    <x v="12"/>
    <x v="0"/>
    <x v="1"/>
    <x v="1"/>
    <x v="1"/>
    <x v="1"/>
    <m/>
    <m/>
    <n v="1"/>
    <m/>
    <n v="4"/>
    <x v="0"/>
    <x v="307"/>
    <m/>
    <m/>
    <x v="0"/>
    <x v="27"/>
    <x v="5"/>
    <x v="6"/>
    <x v="6"/>
    <x v="4"/>
    <s v="-"/>
  </r>
  <r>
    <x v="396"/>
    <x v="3"/>
    <m/>
    <d v="2026-03-10T00:00:00"/>
    <n v="2"/>
    <x v="12"/>
    <x v="36"/>
    <x v="1"/>
    <x v="1"/>
    <x v="1"/>
    <x v="1"/>
    <m/>
    <m/>
    <n v="1"/>
    <m/>
    <n v="4"/>
    <x v="0"/>
    <x v="308"/>
    <s v="鳥山"/>
    <m/>
    <x v="0"/>
    <x v="4"/>
    <x v="0"/>
    <x v="0"/>
    <x v="1"/>
    <x v="0"/>
    <s v="3F/シンク前"/>
  </r>
  <r>
    <x v="397"/>
    <x v="3"/>
    <m/>
    <d v="2026-03-10T00:00:00"/>
    <n v="2"/>
    <x v="12"/>
    <x v="37"/>
    <x v="1"/>
    <x v="1"/>
    <x v="1"/>
    <x v="1"/>
    <m/>
    <m/>
    <n v="1"/>
    <m/>
    <n v="4"/>
    <x v="0"/>
    <x v="308"/>
    <s v="鳥山"/>
    <s v="3/18Claudeでの会議-議事録-手順作成-実践中"/>
    <x v="0"/>
    <x v="4"/>
    <x v="0"/>
    <x v="0"/>
    <x v="1"/>
    <x v="0"/>
    <s v="3F/シンク前"/>
  </r>
  <r>
    <x v="398"/>
    <x v="3"/>
    <m/>
    <m/>
    <m/>
    <x v="12"/>
    <x v="0"/>
    <x v="1"/>
    <x v="1"/>
    <x v="1"/>
    <x v="1"/>
    <m/>
    <m/>
    <n v="1"/>
    <n v="1"/>
    <n v="5"/>
    <x v="0"/>
    <x v="309"/>
    <m/>
    <m/>
    <x v="0"/>
    <x v="3"/>
    <x v="0"/>
    <x v="0"/>
    <x v="2"/>
    <x v="1"/>
    <s v="1F/南西角"/>
  </r>
  <r>
    <x v="399"/>
    <x v="3"/>
    <m/>
    <m/>
    <m/>
    <x v="12"/>
    <x v="0"/>
    <x v="1"/>
    <x v="1"/>
    <x v="1"/>
    <x v="1"/>
    <m/>
    <m/>
    <n v="1"/>
    <m/>
    <n v="4"/>
    <x v="0"/>
    <x v="310"/>
    <m/>
    <m/>
    <x v="0"/>
    <x v="47"/>
    <x v="5"/>
    <x v="7"/>
    <x v="6"/>
    <x v="4"/>
    <s v="-"/>
  </r>
  <r>
    <x v="400"/>
    <x v="3"/>
    <m/>
    <m/>
    <m/>
    <x v="12"/>
    <x v="0"/>
    <x v="1"/>
    <x v="1"/>
    <x v="1"/>
    <x v="1"/>
    <m/>
    <m/>
    <n v="1"/>
    <m/>
    <n v="4"/>
    <x v="0"/>
    <x v="311"/>
    <m/>
    <m/>
    <x v="0"/>
    <x v="43"/>
    <x v="0"/>
    <x v="1"/>
    <x v="7"/>
    <x v="0"/>
    <s v="3F/シンク前"/>
  </r>
  <r>
    <x v="401"/>
    <x v="4"/>
    <m/>
    <m/>
    <m/>
    <x v="12"/>
    <x v="0"/>
    <x v="1"/>
    <x v="1"/>
    <x v="1"/>
    <x v="1"/>
    <m/>
    <m/>
    <n v="1"/>
    <m/>
    <n v="5"/>
    <x v="0"/>
    <x v="312"/>
    <m/>
    <m/>
    <x v="0"/>
    <x v="28"/>
    <x v="5"/>
    <x v="7"/>
    <x v="6"/>
    <x v="4"/>
    <s v="-"/>
  </r>
  <r>
    <x v="402"/>
    <x v="4"/>
    <m/>
    <m/>
    <m/>
    <x v="12"/>
    <x v="0"/>
    <x v="1"/>
    <x v="1"/>
    <x v="1"/>
    <x v="1"/>
    <m/>
    <m/>
    <m/>
    <m/>
    <n v="4"/>
    <x v="0"/>
    <x v="313"/>
    <m/>
    <m/>
    <x v="0"/>
    <x v="45"/>
    <x v="4"/>
    <x v="5"/>
    <x v="6"/>
    <x v="0"/>
    <s v="3F/シンク前"/>
  </r>
  <r>
    <x v="403"/>
    <x v="5"/>
    <m/>
    <d v="2026-03-10T00:00:00"/>
    <n v="1"/>
    <x v="12"/>
    <x v="36"/>
    <x v="1"/>
    <x v="1"/>
    <x v="1"/>
    <x v="1"/>
    <m/>
    <m/>
    <n v="1"/>
    <m/>
    <n v="4"/>
    <x v="0"/>
    <x v="314"/>
    <s v="鳥山"/>
    <s v="3/11ヒアリング-修正版着手"/>
    <x v="0"/>
    <x v="8"/>
    <x v="0"/>
    <x v="1"/>
    <x v="4"/>
    <x v="0"/>
    <s v="3F/シンク前"/>
  </r>
  <r>
    <x v="404"/>
    <x v="5"/>
    <m/>
    <m/>
    <m/>
    <x v="12"/>
    <x v="0"/>
    <x v="1"/>
    <x v="1"/>
    <x v="1"/>
    <x v="1"/>
    <m/>
    <m/>
    <m/>
    <m/>
    <n v="1"/>
    <x v="0"/>
    <x v="315"/>
    <m/>
    <m/>
    <x v="0"/>
    <x v="40"/>
    <x v="5"/>
    <x v="8"/>
    <x v="6"/>
    <x v="0"/>
    <s v="3F/シンク前"/>
  </r>
  <r>
    <x v="405"/>
    <x v="5"/>
    <m/>
    <m/>
    <m/>
    <x v="12"/>
    <x v="0"/>
    <x v="1"/>
    <x v="1"/>
    <x v="1"/>
    <x v="1"/>
    <m/>
    <m/>
    <m/>
    <n v="1"/>
    <n v="4"/>
    <x v="0"/>
    <x v="316"/>
    <m/>
    <m/>
    <x v="0"/>
    <x v="1"/>
    <x v="0"/>
    <x v="0"/>
    <x v="0"/>
    <x v="0"/>
    <s v="3F/シンク前"/>
  </r>
  <r>
    <x v="406"/>
    <x v="5"/>
    <m/>
    <m/>
    <m/>
    <x v="12"/>
    <x v="0"/>
    <x v="1"/>
    <x v="1"/>
    <x v="1"/>
    <x v="1"/>
    <m/>
    <m/>
    <n v="1"/>
    <m/>
    <n v="5"/>
    <x v="0"/>
    <x v="317"/>
    <m/>
    <m/>
    <x v="0"/>
    <x v="18"/>
    <x v="3"/>
    <x v="4"/>
    <x v="6"/>
    <x v="3"/>
    <s v="3F/事務所"/>
  </r>
  <r>
    <x v="407"/>
    <x v="5"/>
    <m/>
    <m/>
    <m/>
    <x v="12"/>
    <x v="0"/>
    <x v="1"/>
    <x v="1"/>
    <x v="1"/>
    <x v="1"/>
    <m/>
    <m/>
    <m/>
    <m/>
    <n v="4"/>
    <x v="0"/>
    <x v="318"/>
    <m/>
    <m/>
    <x v="0"/>
    <x v="41"/>
    <x v="4"/>
    <x v="5"/>
    <x v="6"/>
    <x v="0"/>
    <s v="3F/シンク前"/>
  </r>
  <r>
    <x v="408"/>
    <x v="5"/>
    <m/>
    <m/>
    <m/>
    <x v="12"/>
    <x v="0"/>
    <x v="1"/>
    <x v="1"/>
    <x v="1"/>
    <x v="1"/>
    <m/>
    <m/>
    <m/>
    <m/>
    <n v="1"/>
    <x v="0"/>
    <x v="157"/>
    <m/>
    <m/>
    <x v="0"/>
    <x v="35"/>
    <x v="0"/>
    <x v="1"/>
    <x v="3"/>
    <x v="2"/>
    <s v="1F/バルク室"/>
  </r>
  <r>
    <x v="409"/>
    <x v="5"/>
    <m/>
    <m/>
    <m/>
    <x v="12"/>
    <x v="0"/>
    <x v="1"/>
    <x v="1"/>
    <x v="1"/>
    <x v="1"/>
    <m/>
    <m/>
    <m/>
    <m/>
    <n v="1"/>
    <x v="0"/>
    <x v="319"/>
    <m/>
    <m/>
    <x v="0"/>
    <x v="7"/>
    <x v="0"/>
    <x v="1"/>
    <x v="3"/>
    <x v="3"/>
    <s v="2F/事務所"/>
  </r>
  <r>
    <x v="410"/>
    <x v="5"/>
    <m/>
    <m/>
    <m/>
    <x v="12"/>
    <x v="0"/>
    <x v="1"/>
    <x v="1"/>
    <x v="1"/>
    <x v="1"/>
    <m/>
    <m/>
    <m/>
    <m/>
    <n v="4"/>
    <x v="0"/>
    <x v="320"/>
    <m/>
    <m/>
    <x v="0"/>
    <x v="0"/>
    <x v="0"/>
    <x v="0"/>
    <x v="0"/>
    <x v="0"/>
    <s v="3F/シンク前"/>
  </r>
  <r>
    <x v="411"/>
    <x v="6"/>
    <m/>
    <m/>
    <m/>
    <x v="12"/>
    <x v="0"/>
    <x v="1"/>
    <x v="1"/>
    <x v="1"/>
    <x v="1"/>
    <m/>
    <m/>
    <m/>
    <m/>
    <n v="1"/>
    <x v="0"/>
    <x v="167"/>
    <m/>
    <m/>
    <x v="0"/>
    <x v="34"/>
    <x v="0"/>
    <x v="1"/>
    <x v="4"/>
    <x v="3"/>
    <s v="2F/作業場南"/>
  </r>
  <r>
    <x v="412"/>
    <x v="6"/>
    <m/>
    <m/>
    <m/>
    <x v="12"/>
    <x v="0"/>
    <x v="1"/>
    <x v="1"/>
    <x v="1"/>
    <x v="1"/>
    <m/>
    <m/>
    <m/>
    <m/>
    <n v="1"/>
    <x v="0"/>
    <x v="297"/>
    <m/>
    <m/>
    <x v="0"/>
    <x v="36"/>
    <x v="0"/>
    <x v="1"/>
    <x v="3"/>
    <x v="2"/>
    <s v="1F/バルク室"/>
  </r>
  <r>
    <x v="413"/>
    <x v="6"/>
    <m/>
    <m/>
    <m/>
    <x v="12"/>
    <x v="0"/>
    <x v="1"/>
    <x v="1"/>
    <x v="1"/>
    <x v="1"/>
    <m/>
    <m/>
    <m/>
    <m/>
    <n v="4"/>
    <x v="0"/>
    <x v="321"/>
    <m/>
    <m/>
    <x v="0"/>
    <x v="42"/>
    <x v="0"/>
    <x v="1"/>
    <x v="7"/>
    <x v="0"/>
    <s v="3F/シンク前"/>
  </r>
  <r>
    <x v="414"/>
    <x v="6"/>
    <m/>
    <d v="2026-03-10T00:00:00"/>
    <n v="2"/>
    <x v="12"/>
    <x v="38"/>
    <x v="1"/>
    <x v="1"/>
    <x v="1"/>
    <x v="1"/>
    <m/>
    <m/>
    <n v="1"/>
    <m/>
    <n v="5"/>
    <x v="0"/>
    <x v="322"/>
    <s v="中島"/>
    <s v="3/17Claude(生成AI)VBAコード生成-包装指図書の進捗リスト更新作業改善"/>
    <x v="0"/>
    <x v="2"/>
    <x v="0"/>
    <x v="0"/>
    <x v="1"/>
    <x v="0"/>
    <s v="3F/シンク前"/>
  </r>
  <r>
    <x v="415"/>
    <x v="6"/>
    <m/>
    <m/>
    <m/>
    <x v="12"/>
    <x v="0"/>
    <x v="1"/>
    <x v="1"/>
    <x v="1"/>
    <x v="1"/>
    <m/>
    <m/>
    <n v="1"/>
    <m/>
    <n v="5"/>
    <x v="0"/>
    <x v="323"/>
    <m/>
    <m/>
    <x v="0"/>
    <x v="10"/>
    <x v="0"/>
    <x v="1"/>
    <x v="5"/>
    <x v="2"/>
    <s v="2F/充填ライン南"/>
  </r>
  <r>
    <x v="416"/>
    <x v="6"/>
    <m/>
    <m/>
    <m/>
    <x v="12"/>
    <x v="0"/>
    <x v="1"/>
    <x v="1"/>
    <x v="1"/>
    <x v="1"/>
    <m/>
    <m/>
    <m/>
    <m/>
    <n v="4"/>
    <x v="0"/>
    <x v="324"/>
    <m/>
    <m/>
    <x v="0"/>
    <x v="37"/>
    <x v="0"/>
    <x v="1"/>
    <x v="3"/>
    <x v="2"/>
    <s v="1F/バルク室"/>
  </r>
  <r>
    <x v="417"/>
    <x v="7"/>
    <m/>
    <m/>
    <m/>
    <x v="12"/>
    <x v="0"/>
    <x v="1"/>
    <x v="1"/>
    <x v="1"/>
    <x v="1"/>
    <m/>
    <m/>
    <m/>
    <m/>
    <n v="1"/>
    <x v="0"/>
    <x v="325"/>
    <m/>
    <m/>
    <x v="0"/>
    <x v="5"/>
    <x v="0"/>
    <x v="0"/>
    <x v="1"/>
    <x v="0"/>
    <s v="3F/シンク前"/>
  </r>
  <r>
    <x v="418"/>
    <x v="7"/>
    <m/>
    <m/>
    <m/>
    <x v="12"/>
    <x v="0"/>
    <x v="1"/>
    <x v="1"/>
    <x v="1"/>
    <x v="1"/>
    <m/>
    <m/>
    <n v="1"/>
    <m/>
    <n v="4"/>
    <x v="0"/>
    <x v="326"/>
    <m/>
    <m/>
    <x v="0"/>
    <x v="12"/>
    <x v="1"/>
    <x v="2"/>
    <x v="6"/>
    <x v="0"/>
    <s v="3F/シンク前"/>
  </r>
  <r>
    <x v="419"/>
    <x v="7"/>
    <m/>
    <m/>
    <m/>
    <x v="12"/>
    <x v="0"/>
    <x v="1"/>
    <x v="1"/>
    <x v="1"/>
    <x v="1"/>
    <m/>
    <m/>
    <n v="1"/>
    <m/>
    <n v="4"/>
    <x v="0"/>
    <x v="327"/>
    <m/>
    <m/>
    <x v="0"/>
    <x v="13"/>
    <x v="1"/>
    <x v="2"/>
    <x v="6"/>
    <x v="0"/>
    <s v="3F/シンク前"/>
  </r>
  <r>
    <x v="420"/>
    <x v="7"/>
    <m/>
    <m/>
    <m/>
    <x v="12"/>
    <x v="0"/>
    <x v="1"/>
    <x v="1"/>
    <x v="1"/>
    <x v="1"/>
    <m/>
    <m/>
    <n v="1"/>
    <m/>
    <n v="4"/>
    <x v="0"/>
    <x v="328"/>
    <m/>
    <m/>
    <x v="0"/>
    <x v="11"/>
    <x v="1"/>
    <x v="2"/>
    <x v="6"/>
    <x v="0"/>
    <s v="3F/シンク前"/>
  </r>
  <r>
    <x v="421"/>
    <x v="3"/>
    <m/>
    <m/>
    <m/>
    <x v="13"/>
    <x v="0"/>
    <x v="1"/>
    <x v="1"/>
    <x v="1"/>
    <x v="1"/>
    <m/>
    <m/>
    <m/>
    <m/>
    <n v="1"/>
    <x v="0"/>
    <x v="157"/>
    <m/>
    <m/>
    <x v="0"/>
    <x v="46"/>
    <x v="0"/>
    <x v="6"/>
    <x v="6"/>
    <x v="3"/>
    <s v="2F/事務所"/>
  </r>
  <r>
    <x v="422"/>
    <x v="3"/>
    <m/>
    <m/>
    <m/>
    <x v="13"/>
    <x v="0"/>
    <x v="1"/>
    <x v="1"/>
    <x v="1"/>
    <x v="1"/>
    <m/>
    <m/>
    <n v="1"/>
    <m/>
    <n v="5"/>
    <x v="0"/>
    <x v="329"/>
    <m/>
    <m/>
    <x v="0"/>
    <x v="26"/>
    <x v="0"/>
    <x v="0"/>
    <x v="1"/>
    <x v="0"/>
    <s v="3F/シンク前"/>
  </r>
  <r>
    <x v="423"/>
    <x v="3"/>
    <m/>
    <m/>
    <m/>
    <x v="13"/>
    <x v="0"/>
    <x v="1"/>
    <x v="1"/>
    <x v="1"/>
    <x v="1"/>
    <m/>
    <m/>
    <m/>
    <m/>
    <n v="1"/>
    <x v="0"/>
    <x v="157"/>
    <m/>
    <m/>
    <x v="0"/>
    <x v="27"/>
    <x v="5"/>
    <x v="6"/>
    <x v="6"/>
    <x v="4"/>
    <s v="-"/>
  </r>
  <r>
    <x v="424"/>
    <x v="3"/>
    <m/>
    <m/>
    <m/>
    <x v="13"/>
    <x v="0"/>
    <x v="1"/>
    <x v="1"/>
    <x v="1"/>
    <x v="1"/>
    <m/>
    <m/>
    <n v="1"/>
    <m/>
    <n v="4"/>
    <x v="0"/>
    <x v="330"/>
    <m/>
    <m/>
    <x v="0"/>
    <x v="4"/>
    <x v="0"/>
    <x v="0"/>
    <x v="1"/>
    <x v="0"/>
    <s v="3F/シンク前"/>
  </r>
  <r>
    <x v="425"/>
    <x v="3"/>
    <m/>
    <m/>
    <m/>
    <x v="13"/>
    <x v="0"/>
    <x v="1"/>
    <x v="1"/>
    <x v="1"/>
    <x v="1"/>
    <m/>
    <m/>
    <n v="1"/>
    <m/>
    <n v="4"/>
    <x v="0"/>
    <x v="331"/>
    <m/>
    <m/>
    <x v="0"/>
    <x v="3"/>
    <x v="0"/>
    <x v="0"/>
    <x v="2"/>
    <x v="1"/>
    <s v="1F/南西角"/>
  </r>
  <r>
    <x v="426"/>
    <x v="3"/>
    <m/>
    <m/>
    <m/>
    <x v="13"/>
    <x v="0"/>
    <x v="1"/>
    <x v="1"/>
    <x v="1"/>
    <x v="1"/>
    <m/>
    <m/>
    <n v="1"/>
    <m/>
    <n v="4"/>
    <x v="0"/>
    <x v="332"/>
    <m/>
    <m/>
    <x v="0"/>
    <x v="47"/>
    <x v="5"/>
    <x v="7"/>
    <x v="6"/>
    <x v="4"/>
    <s v="-"/>
  </r>
  <r>
    <x v="427"/>
    <x v="3"/>
    <m/>
    <m/>
    <m/>
    <x v="13"/>
    <x v="0"/>
    <x v="1"/>
    <x v="1"/>
    <x v="1"/>
    <x v="1"/>
    <m/>
    <m/>
    <n v="1"/>
    <m/>
    <n v="4"/>
    <x v="0"/>
    <x v="333"/>
    <m/>
    <m/>
    <x v="0"/>
    <x v="43"/>
    <x v="0"/>
    <x v="1"/>
    <x v="7"/>
    <x v="0"/>
    <s v="3F/シンク前"/>
  </r>
  <r>
    <x v="428"/>
    <x v="4"/>
    <m/>
    <m/>
    <m/>
    <x v="13"/>
    <x v="0"/>
    <x v="1"/>
    <x v="1"/>
    <x v="1"/>
    <x v="1"/>
    <m/>
    <m/>
    <m/>
    <m/>
    <n v="1"/>
    <x v="0"/>
    <x v="157"/>
    <m/>
    <m/>
    <x v="0"/>
    <x v="28"/>
    <x v="5"/>
    <x v="7"/>
    <x v="6"/>
    <x v="4"/>
    <s v="-"/>
  </r>
  <r>
    <x v="429"/>
    <x v="4"/>
    <m/>
    <m/>
    <m/>
    <x v="13"/>
    <x v="0"/>
    <x v="1"/>
    <x v="1"/>
    <x v="1"/>
    <x v="1"/>
    <m/>
    <m/>
    <n v="1"/>
    <m/>
    <n v="4"/>
    <x v="0"/>
    <x v="334"/>
    <m/>
    <m/>
    <x v="0"/>
    <x v="45"/>
    <x v="4"/>
    <x v="5"/>
    <x v="6"/>
    <x v="0"/>
    <s v="3F/シンク前"/>
  </r>
  <r>
    <x v="430"/>
    <x v="5"/>
    <m/>
    <d v="2026-03-10T00:00:00"/>
    <n v="1"/>
    <x v="13"/>
    <x v="36"/>
    <x v="1"/>
    <x v="1"/>
    <x v="1"/>
    <x v="1"/>
    <m/>
    <m/>
    <n v="1"/>
    <m/>
    <n v="5"/>
    <x v="0"/>
    <x v="335"/>
    <s v="鳥山"/>
    <s v="3/11ヒアリング-修正版着手"/>
    <x v="0"/>
    <x v="8"/>
    <x v="0"/>
    <x v="1"/>
    <x v="4"/>
    <x v="0"/>
    <s v="3F/シンク前"/>
  </r>
  <r>
    <x v="431"/>
    <x v="5"/>
    <m/>
    <m/>
    <m/>
    <x v="13"/>
    <x v="0"/>
    <x v="1"/>
    <x v="1"/>
    <x v="1"/>
    <x v="1"/>
    <m/>
    <m/>
    <m/>
    <m/>
    <n v="1"/>
    <x v="0"/>
    <x v="315"/>
    <m/>
    <m/>
    <x v="0"/>
    <x v="40"/>
    <x v="5"/>
    <x v="8"/>
    <x v="6"/>
    <x v="0"/>
    <s v="3F/シンク前"/>
  </r>
  <r>
    <x v="432"/>
    <x v="5"/>
    <m/>
    <m/>
    <m/>
    <x v="13"/>
    <x v="0"/>
    <x v="1"/>
    <x v="1"/>
    <x v="1"/>
    <x v="1"/>
    <m/>
    <m/>
    <n v="1"/>
    <m/>
    <n v="4"/>
    <x v="0"/>
    <x v="336"/>
    <m/>
    <m/>
    <x v="0"/>
    <x v="1"/>
    <x v="0"/>
    <x v="0"/>
    <x v="0"/>
    <x v="0"/>
    <s v="3F/シンク前"/>
  </r>
  <r>
    <x v="433"/>
    <x v="5"/>
    <m/>
    <m/>
    <m/>
    <x v="13"/>
    <x v="0"/>
    <x v="1"/>
    <x v="1"/>
    <x v="1"/>
    <x v="1"/>
    <m/>
    <m/>
    <n v="1"/>
    <n v="1"/>
    <n v="4"/>
    <x v="0"/>
    <x v="337"/>
    <m/>
    <m/>
    <x v="0"/>
    <x v="18"/>
    <x v="3"/>
    <x v="4"/>
    <x v="6"/>
    <x v="3"/>
    <s v="3F/事務所"/>
  </r>
  <r>
    <x v="434"/>
    <x v="5"/>
    <m/>
    <m/>
    <m/>
    <x v="13"/>
    <x v="0"/>
    <x v="1"/>
    <x v="1"/>
    <x v="1"/>
    <x v="1"/>
    <m/>
    <m/>
    <n v="1"/>
    <m/>
    <n v="4"/>
    <x v="0"/>
    <x v="338"/>
    <m/>
    <m/>
    <x v="0"/>
    <x v="41"/>
    <x v="4"/>
    <x v="5"/>
    <x v="6"/>
    <x v="0"/>
    <s v="3F/シンク前"/>
  </r>
  <r>
    <x v="435"/>
    <x v="5"/>
    <m/>
    <m/>
    <m/>
    <x v="13"/>
    <x v="0"/>
    <x v="1"/>
    <x v="1"/>
    <x v="1"/>
    <x v="1"/>
    <m/>
    <m/>
    <m/>
    <m/>
    <n v="1"/>
    <x v="0"/>
    <x v="157"/>
    <m/>
    <m/>
    <x v="0"/>
    <x v="35"/>
    <x v="0"/>
    <x v="1"/>
    <x v="3"/>
    <x v="2"/>
    <s v="1F/バルク室"/>
  </r>
  <r>
    <x v="436"/>
    <x v="5"/>
    <m/>
    <m/>
    <m/>
    <x v="13"/>
    <x v="0"/>
    <x v="1"/>
    <x v="1"/>
    <x v="1"/>
    <x v="1"/>
    <m/>
    <m/>
    <n v="1"/>
    <m/>
    <n v="5"/>
    <x v="0"/>
    <x v="339"/>
    <m/>
    <m/>
    <x v="0"/>
    <x v="7"/>
    <x v="0"/>
    <x v="1"/>
    <x v="3"/>
    <x v="3"/>
    <s v="2F/事務所"/>
  </r>
  <r>
    <x v="437"/>
    <x v="5"/>
    <m/>
    <d v="2026-03-10T00:00:00"/>
    <n v="1"/>
    <x v="13"/>
    <x v="36"/>
    <x v="1"/>
    <x v="1"/>
    <x v="1"/>
    <x v="1"/>
    <m/>
    <m/>
    <n v="1"/>
    <m/>
    <n v="4"/>
    <x v="0"/>
    <x v="340"/>
    <s v="鳥山"/>
    <s v="3/12必要原料抽出-原料納期変更必要分の確認依頼?　3/19要望に応じたマクロ設定"/>
    <x v="0"/>
    <x v="0"/>
    <x v="0"/>
    <x v="0"/>
    <x v="0"/>
    <x v="0"/>
    <s v="3F/シンク前"/>
  </r>
  <r>
    <x v="438"/>
    <x v="6"/>
    <m/>
    <m/>
    <m/>
    <x v="13"/>
    <x v="0"/>
    <x v="1"/>
    <x v="1"/>
    <x v="1"/>
    <x v="1"/>
    <m/>
    <m/>
    <m/>
    <m/>
    <n v="4"/>
    <x v="0"/>
    <x v="341"/>
    <m/>
    <m/>
    <x v="0"/>
    <x v="34"/>
    <x v="0"/>
    <x v="1"/>
    <x v="4"/>
    <x v="3"/>
    <s v="2F/作業場南"/>
  </r>
  <r>
    <x v="439"/>
    <x v="6"/>
    <m/>
    <m/>
    <m/>
    <x v="13"/>
    <x v="0"/>
    <x v="1"/>
    <x v="1"/>
    <x v="1"/>
    <x v="1"/>
    <m/>
    <m/>
    <m/>
    <m/>
    <n v="1"/>
    <x v="0"/>
    <x v="297"/>
    <m/>
    <m/>
    <x v="0"/>
    <x v="36"/>
    <x v="0"/>
    <x v="1"/>
    <x v="3"/>
    <x v="2"/>
    <s v="1F/バルク室"/>
  </r>
  <r>
    <x v="440"/>
    <x v="6"/>
    <m/>
    <m/>
    <m/>
    <x v="13"/>
    <x v="0"/>
    <x v="1"/>
    <x v="1"/>
    <x v="1"/>
    <x v="1"/>
    <m/>
    <m/>
    <m/>
    <m/>
    <n v="1"/>
    <x v="0"/>
    <x v="342"/>
    <m/>
    <m/>
    <x v="0"/>
    <x v="42"/>
    <x v="0"/>
    <x v="1"/>
    <x v="7"/>
    <x v="0"/>
    <s v="3F/シンク前"/>
  </r>
  <r>
    <x v="441"/>
    <x v="6"/>
    <m/>
    <d v="2026-03-10T00:00:00"/>
    <n v="2"/>
    <x v="13"/>
    <x v="39"/>
    <x v="1"/>
    <x v="1"/>
    <x v="1"/>
    <x v="1"/>
    <m/>
    <m/>
    <n v="1"/>
    <m/>
    <n v="5"/>
    <x v="0"/>
    <x v="343"/>
    <s v="中島"/>
    <m/>
    <x v="0"/>
    <x v="2"/>
    <x v="0"/>
    <x v="0"/>
    <x v="1"/>
    <x v="0"/>
    <s v="3F/シンク前"/>
  </r>
  <r>
    <x v="442"/>
    <x v="6"/>
    <m/>
    <d v="2026-03-10T00:00:00"/>
    <n v="2"/>
    <x v="13"/>
    <x v="40"/>
    <x v="1"/>
    <x v="1"/>
    <x v="1"/>
    <x v="1"/>
    <m/>
    <m/>
    <n v="1"/>
    <n v="1"/>
    <n v="4"/>
    <x v="0"/>
    <x v="344"/>
    <s v="鳥山"/>
    <s v="3/16データ抽出できるExcelを作成-提出　3/19東口L確認(充填日程落ち着いた後に詳細ヒアリング)"/>
    <x v="0"/>
    <x v="10"/>
    <x v="0"/>
    <x v="1"/>
    <x v="5"/>
    <x v="2"/>
    <s v="2F/充填ライン南"/>
  </r>
  <r>
    <x v="443"/>
    <x v="6"/>
    <m/>
    <m/>
    <m/>
    <x v="13"/>
    <x v="0"/>
    <x v="1"/>
    <x v="1"/>
    <x v="1"/>
    <x v="1"/>
    <m/>
    <m/>
    <m/>
    <m/>
    <n v="1"/>
    <x v="0"/>
    <x v="196"/>
    <m/>
    <m/>
    <x v="0"/>
    <x v="37"/>
    <x v="0"/>
    <x v="1"/>
    <x v="3"/>
    <x v="2"/>
    <s v="1F/バルク室"/>
  </r>
  <r>
    <x v="444"/>
    <x v="7"/>
    <m/>
    <m/>
    <m/>
    <x v="13"/>
    <x v="0"/>
    <x v="1"/>
    <x v="1"/>
    <x v="1"/>
    <x v="1"/>
    <m/>
    <m/>
    <n v="1"/>
    <m/>
    <n v="4"/>
    <x v="0"/>
    <x v="345"/>
    <m/>
    <m/>
    <x v="0"/>
    <x v="5"/>
    <x v="0"/>
    <x v="0"/>
    <x v="1"/>
    <x v="0"/>
    <s v="3F/シンク前"/>
  </r>
  <r>
    <x v="445"/>
    <x v="7"/>
    <m/>
    <m/>
    <m/>
    <x v="13"/>
    <x v="0"/>
    <x v="1"/>
    <x v="1"/>
    <x v="1"/>
    <x v="1"/>
    <m/>
    <m/>
    <m/>
    <m/>
    <n v="1"/>
    <x v="0"/>
    <x v="157"/>
    <m/>
    <m/>
    <x v="0"/>
    <x v="12"/>
    <x v="1"/>
    <x v="2"/>
    <x v="6"/>
    <x v="0"/>
    <s v="3F/シンク前"/>
  </r>
  <r>
    <x v="446"/>
    <x v="7"/>
    <m/>
    <m/>
    <m/>
    <x v="13"/>
    <x v="0"/>
    <x v="1"/>
    <x v="1"/>
    <x v="1"/>
    <x v="1"/>
    <m/>
    <m/>
    <m/>
    <n v="1"/>
    <n v="4"/>
    <x v="0"/>
    <x v="346"/>
    <m/>
    <m/>
    <x v="0"/>
    <x v="13"/>
    <x v="1"/>
    <x v="2"/>
    <x v="6"/>
    <x v="0"/>
    <s v="3F/シンク前"/>
  </r>
  <r>
    <x v="447"/>
    <x v="7"/>
    <m/>
    <m/>
    <m/>
    <x v="13"/>
    <x v="0"/>
    <x v="1"/>
    <x v="1"/>
    <x v="1"/>
    <x v="1"/>
    <m/>
    <m/>
    <n v="1"/>
    <n v="1"/>
    <n v="4"/>
    <x v="0"/>
    <x v="347"/>
    <m/>
    <m/>
    <x v="0"/>
    <x v="11"/>
    <x v="1"/>
    <x v="2"/>
    <x v="6"/>
    <x v="0"/>
    <s v="3F/シンク前"/>
  </r>
  <r>
    <x v="448"/>
    <x v="3"/>
    <m/>
    <m/>
    <m/>
    <x v="14"/>
    <x v="0"/>
    <x v="1"/>
    <x v="1"/>
    <x v="1"/>
    <x v="1"/>
    <m/>
    <m/>
    <m/>
    <m/>
    <n v="5"/>
    <x v="0"/>
    <x v="348"/>
    <m/>
    <m/>
    <x v="0"/>
    <x v="46"/>
    <x v="0"/>
    <x v="6"/>
    <x v="6"/>
    <x v="3"/>
    <s v="2F/事務所"/>
  </r>
  <r>
    <x v="449"/>
    <x v="3"/>
    <m/>
    <m/>
    <m/>
    <x v="14"/>
    <x v="0"/>
    <x v="1"/>
    <x v="1"/>
    <x v="1"/>
    <x v="1"/>
    <m/>
    <m/>
    <m/>
    <m/>
    <n v="4"/>
    <x v="0"/>
    <x v="349"/>
    <m/>
    <m/>
    <x v="0"/>
    <x v="26"/>
    <x v="0"/>
    <x v="0"/>
    <x v="1"/>
    <x v="0"/>
    <s v="3F/シンク前"/>
  </r>
  <r>
    <x v="450"/>
    <x v="3"/>
    <m/>
    <m/>
    <m/>
    <x v="14"/>
    <x v="0"/>
    <x v="1"/>
    <x v="1"/>
    <x v="1"/>
    <x v="1"/>
    <m/>
    <m/>
    <m/>
    <m/>
    <n v="1"/>
    <x v="0"/>
    <x v="157"/>
    <m/>
    <m/>
    <x v="0"/>
    <x v="27"/>
    <x v="5"/>
    <x v="6"/>
    <x v="6"/>
    <x v="4"/>
    <s v="-"/>
  </r>
  <r>
    <x v="451"/>
    <x v="3"/>
    <m/>
    <m/>
    <m/>
    <x v="14"/>
    <x v="0"/>
    <x v="1"/>
    <x v="1"/>
    <x v="1"/>
    <x v="1"/>
    <m/>
    <m/>
    <m/>
    <m/>
    <n v="1"/>
    <x v="0"/>
    <x v="157"/>
    <m/>
    <m/>
    <x v="0"/>
    <x v="4"/>
    <x v="0"/>
    <x v="0"/>
    <x v="1"/>
    <x v="0"/>
    <s v="3F/シンク前"/>
  </r>
  <r>
    <x v="452"/>
    <x v="3"/>
    <m/>
    <m/>
    <m/>
    <x v="14"/>
    <x v="0"/>
    <x v="1"/>
    <x v="1"/>
    <x v="1"/>
    <x v="1"/>
    <m/>
    <m/>
    <m/>
    <m/>
    <n v="1"/>
    <x v="0"/>
    <x v="157"/>
    <m/>
    <m/>
    <x v="0"/>
    <x v="3"/>
    <x v="0"/>
    <x v="0"/>
    <x v="2"/>
    <x v="1"/>
    <s v="1F/南西角"/>
  </r>
  <r>
    <x v="453"/>
    <x v="3"/>
    <m/>
    <m/>
    <m/>
    <x v="14"/>
    <x v="0"/>
    <x v="1"/>
    <x v="1"/>
    <x v="1"/>
    <x v="1"/>
    <m/>
    <m/>
    <n v="1"/>
    <m/>
    <n v="4"/>
    <x v="0"/>
    <x v="350"/>
    <m/>
    <m/>
    <x v="0"/>
    <x v="47"/>
    <x v="5"/>
    <x v="7"/>
    <x v="6"/>
    <x v="4"/>
    <s v="-"/>
  </r>
  <r>
    <x v="454"/>
    <x v="3"/>
    <m/>
    <m/>
    <m/>
    <x v="14"/>
    <x v="0"/>
    <x v="1"/>
    <x v="1"/>
    <x v="1"/>
    <x v="1"/>
    <m/>
    <m/>
    <m/>
    <m/>
    <n v="1"/>
    <x v="0"/>
    <x v="157"/>
    <m/>
    <m/>
    <x v="0"/>
    <x v="43"/>
    <x v="0"/>
    <x v="1"/>
    <x v="7"/>
    <x v="0"/>
    <s v="3F/シンク前"/>
  </r>
  <r>
    <x v="455"/>
    <x v="4"/>
    <m/>
    <m/>
    <m/>
    <x v="14"/>
    <x v="0"/>
    <x v="1"/>
    <x v="1"/>
    <x v="1"/>
    <x v="1"/>
    <m/>
    <m/>
    <n v="1"/>
    <m/>
    <n v="5"/>
    <x v="0"/>
    <x v="351"/>
    <m/>
    <m/>
    <x v="0"/>
    <x v="28"/>
    <x v="5"/>
    <x v="7"/>
    <x v="6"/>
    <x v="4"/>
    <s v="-"/>
  </r>
  <r>
    <x v="456"/>
    <x v="4"/>
    <m/>
    <m/>
    <m/>
    <x v="14"/>
    <x v="0"/>
    <x v="1"/>
    <x v="1"/>
    <x v="1"/>
    <x v="1"/>
    <m/>
    <m/>
    <n v="1"/>
    <m/>
    <n v="5"/>
    <x v="0"/>
    <x v="352"/>
    <m/>
    <m/>
    <x v="0"/>
    <x v="45"/>
    <x v="4"/>
    <x v="5"/>
    <x v="6"/>
    <x v="0"/>
    <s v="3F/シンク前"/>
  </r>
  <r>
    <x v="457"/>
    <x v="5"/>
    <m/>
    <m/>
    <m/>
    <x v="14"/>
    <x v="0"/>
    <x v="1"/>
    <x v="1"/>
    <x v="1"/>
    <x v="1"/>
    <m/>
    <m/>
    <m/>
    <m/>
    <n v="1"/>
    <x v="0"/>
    <x v="353"/>
    <m/>
    <m/>
    <x v="0"/>
    <x v="8"/>
    <x v="0"/>
    <x v="1"/>
    <x v="4"/>
    <x v="0"/>
    <s v="3F/シンク前"/>
  </r>
  <r>
    <x v="458"/>
    <x v="5"/>
    <m/>
    <m/>
    <m/>
    <x v="14"/>
    <x v="0"/>
    <x v="1"/>
    <x v="1"/>
    <x v="1"/>
    <x v="1"/>
    <m/>
    <m/>
    <m/>
    <m/>
    <n v="1"/>
    <x v="0"/>
    <x v="315"/>
    <m/>
    <m/>
    <x v="0"/>
    <x v="40"/>
    <x v="5"/>
    <x v="8"/>
    <x v="6"/>
    <x v="0"/>
    <s v="3F/シンク前"/>
  </r>
  <r>
    <x v="459"/>
    <x v="5"/>
    <m/>
    <m/>
    <m/>
    <x v="14"/>
    <x v="0"/>
    <x v="1"/>
    <x v="1"/>
    <x v="1"/>
    <x v="1"/>
    <m/>
    <m/>
    <m/>
    <m/>
    <n v="1"/>
    <x v="0"/>
    <x v="196"/>
    <m/>
    <m/>
    <x v="0"/>
    <x v="1"/>
    <x v="0"/>
    <x v="0"/>
    <x v="0"/>
    <x v="0"/>
    <s v="3F/シンク前"/>
  </r>
  <r>
    <x v="460"/>
    <x v="5"/>
    <m/>
    <m/>
    <m/>
    <x v="14"/>
    <x v="0"/>
    <x v="1"/>
    <x v="1"/>
    <x v="1"/>
    <x v="1"/>
    <m/>
    <m/>
    <m/>
    <m/>
    <n v="1"/>
    <x v="0"/>
    <x v="121"/>
    <m/>
    <m/>
    <x v="0"/>
    <x v="18"/>
    <x v="3"/>
    <x v="4"/>
    <x v="6"/>
    <x v="3"/>
    <s v="3F/事務所"/>
  </r>
  <r>
    <x v="461"/>
    <x v="5"/>
    <m/>
    <m/>
    <m/>
    <x v="14"/>
    <x v="0"/>
    <x v="1"/>
    <x v="1"/>
    <x v="1"/>
    <x v="1"/>
    <m/>
    <m/>
    <n v="1"/>
    <m/>
    <n v="4"/>
    <x v="0"/>
    <x v="354"/>
    <m/>
    <m/>
    <x v="0"/>
    <x v="41"/>
    <x v="4"/>
    <x v="5"/>
    <x v="6"/>
    <x v="0"/>
    <s v="3F/シンク前"/>
  </r>
  <r>
    <x v="462"/>
    <x v="5"/>
    <m/>
    <m/>
    <m/>
    <x v="14"/>
    <x v="0"/>
    <x v="1"/>
    <x v="1"/>
    <x v="1"/>
    <x v="1"/>
    <m/>
    <m/>
    <m/>
    <n v="1"/>
    <n v="4"/>
    <x v="0"/>
    <x v="355"/>
    <m/>
    <m/>
    <x v="0"/>
    <x v="35"/>
    <x v="0"/>
    <x v="1"/>
    <x v="3"/>
    <x v="2"/>
    <s v="1F/バルク室"/>
  </r>
  <r>
    <x v="463"/>
    <x v="5"/>
    <m/>
    <m/>
    <m/>
    <x v="14"/>
    <x v="0"/>
    <x v="1"/>
    <x v="1"/>
    <x v="1"/>
    <x v="1"/>
    <m/>
    <m/>
    <m/>
    <m/>
    <n v="1"/>
    <x v="0"/>
    <x v="356"/>
    <m/>
    <m/>
    <x v="0"/>
    <x v="7"/>
    <x v="0"/>
    <x v="1"/>
    <x v="3"/>
    <x v="3"/>
    <s v="2F/事務所"/>
  </r>
  <r>
    <x v="464"/>
    <x v="5"/>
    <m/>
    <d v="2026-03-10T00:00:00"/>
    <n v="1"/>
    <x v="14"/>
    <x v="36"/>
    <x v="1"/>
    <x v="1"/>
    <x v="1"/>
    <x v="1"/>
    <m/>
    <m/>
    <n v="1"/>
    <m/>
    <n v="4"/>
    <x v="0"/>
    <x v="357"/>
    <s v="鳥山"/>
    <s v="3/12必要原料抽出-原料納期変更必要分の確認依頼?　3/19要望に応じたマクロ設定?"/>
    <x v="0"/>
    <x v="0"/>
    <x v="0"/>
    <x v="0"/>
    <x v="0"/>
    <x v="0"/>
    <s v="3F/シンク前"/>
  </r>
  <r>
    <x v="465"/>
    <x v="6"/>
    <m/>
    <m/>
    <m/>
    <x v="14"/>
    <x v="0"/>
    <x v="1"/>
    <x v="1"/>
    <x v="1"/>
    <x v="1"/>
    <m/>
    <m/>
    <m/>
    <m/>
    <n v="1"/>
    <x v="0"/>
    <x v="167"/>
    <m/>
    <m/>
    <x v="0"/>
    <x v="34"/>
    <x v="0"/>
    <x v="1"/>
    <x v="4"/>
    <x v="3"/>
    <s v="2F/作業場南"/>
  </r>
  <r>
    <x v="466"/>
    <x v="6"/>
    <m/>
    <m/>
    <m/>
    <x v="14"/>
    <x v="0"/>
    <x v="1"/>
    <x v="1"/>
    <x v="1"/>
    <x v="1"/>
    <m/>
    <m/>
    <m/>
    <m/>
    <n v="1"/>
    <x v="0"/>
    <x v="297"/>
    <m/>
    <m/>
    <x v="0"/>
    <x v="36"/>
    <x v="0"/>
    <x v="1"/>
    <x v="3"/>
    <x v="2"/>
    <s v="1F/バルク室"/>
  </r>
  <r>
    <x v="467"/>
    <x v="6"/>
    <m/>
    <m/>
    <m/>
    <x v="14"/>
    <x v="0"/>
    <x v="1"/>
    <x v="1"/>
    <x v="1"/>
    <x v="1"/>
    <m/>
    <m/>
    <m/>
    <m/>
    <n v="2"/>
    <x v="0"/>
    <x v="358"/>
    <m/>
    <m/>
    <x v="0"/>
    <x v="42"/>
    <x v="0"/>
    <x v="1"/>
    <x v="7"/>
    <x v="0"/>
    <s v="3F/シンク前"/>
  </r>
  <r>
    <x v="468"/>
    <x v="6"/>
    <m/>
    <d v="2026-03-10T00:00:00"/>
    <n v="2"/>
    <x v="14"/>
    <x v="36"/>
    <x v="1"/>
    <x v="1"/>
    <x v="1"/>
    <x v="1"/>
    <m/>
    <m/>
    <n v="1"/>
    <m/>
    <n v="5"/>
    <x v="0"/>
    <x v="359"/>
    <s v="中島"/>
    <m/>
    <x v="0"/>
    <x v="2"/>
    <x v="0"/>
    <x v="0"/>
    <x v="1"/>
    <x v="0"/>
    <s v="3F/シンク前"/>
  </r>
  <r>
    <x v="469"/>
    <x v="6"/>
    <m/>
    <m/>
    <m/>
    <x v="14"/>
    <x v="0"/>
    <x v="1"/>
    <x v="1"/>
    <x v="1"/>
    <x v="1"/>
    <m/>
    <m/>
    <m/>
    <m/>
    <n v="1"/>
    <x v="0"/>
    <x v="360"/>
    <m/>
    <m/>
    <x v="0"/>
    <x v="10"/>
    <x v="0"/>
    <x v="1"/>
    <x v="5"/>
    <x v="2"/>
    <s v="2F/充填ライン南"/>
  </r>
  <r>
    <x v="470"/>
    <x v="6"/>
    <m/>
    <m/>
    <m/>
    <x v="14"/>
    <x v="0"/>
    <x v="1"/>
    <x v="1"/>
    <x v="1"/>
    <x v="1"/>
    <m/>
    <m/>
    <m/>
    <m/>
    <n v="1"/>
    <x v="0"/>
    <x v="196"/>
    <m/>
    <m/>
    <x v="0"/>
    <x v="37"/>
    <x v="0"/>
    <x v="1"/>
    <x v="3"/>
    <x v="2"/>
    <s v="1F/バルク室"/>
  </r>
  <r>
    <x v="471"/>
    <x v="7"/>
    <m/>
    <m/>
    <m/>
    <x v="14"/>
    <x v="0"/>
    <x v="1"/>
    <x v="1"/>
    <x v="1"/>
    <x v="1"/>
    <m/>
    <m/>
    <n v="1"/>
    <m/>
    <n v="4"/>
    <x v="0"/>
    <x v="361"/>
    <m/>
    <m/>
    <x v="0"/>
    <x v="5"/>
    <x v="0"/>
    <x v="0"/>
    <x v="1"/>
    <x v="0"/>
    <s v="3F/シンク前"/>
  </r>
  <r>
    <x v="472"/>
    <x v="7"/>
    <m/>
    <m/>
    <m/>
    <x v="14"/>
    <x v="0"/>
    <x v="1"/>
    <x v="1"/>
    <x v="1"/>
    <x v="1"/>
    <m/>
    <m/>
    <n v="1"/>
    <n v="1"/>
    <n v="4"/>
    <x v="0"/>
    <x v="362"/>
    <m/>
    <m/>
    <x v="0"/>
    <x v="12"/>
    <x v="1"/>
    <x v="2"/>
    <x v="6"/>
    <x v="0"/>
    <s v="3F/シンク前"/>
  </r>
  <r>
    <x v="473"/>
    <x v="7"/>
    <m/>
    <m/>
    <m/>
    <x v="14"/>
    <x v="0"/>
    <x v="1"/>
    <x v="1"/>
    <x v="1"/>
    <x v="1"/>
    <m/>
    <m/>
    <n v="1"/>
    <n v="1"/>
    <n v="4"/>
    <x v="0"/>
    <x v="363"/>
    <m/>
    <m/>
    <x v="0"/>
    <x v="13"/>
    <x v="1"/>
    <x v="2"/>
    <x v="6"/>
    <x v="0"/>
    <s v="3F/シンク前"/>
  </r>
  <r>
    <x v="474"/>
    <x v="7"/>
    <m/>
    <m/>
    <m/>
    <x v="14"/>
    <x v="0"/>
    <x v="1"/>
    <x v="1"/>
    <x v="1"/>
    <x v="1"/>
    <m/>
    <m/>
    <m/>
    <m/>
    <n v="1"/>
    <x v="0"/>
    <x v="364"/>
    <m/>
    <m/>
    <x v="0"/>
    <x v="11"/>
    <x v="1"/>
    <x v="2"/>
    <x v="6"/>
    <x v="0"/>
    <s v="3F/シンク前"/>
  </r>
  <r>
    <x v="475"/>
    <x v="3"/>
    <m/>
    <m/>
    <m/>
    <x v="15"/>
    <x v="0"/>
    <x v="1"/>
    <x v="1"/>
    <x v="1"/>
    <x v="1"/>
    <m/>
    <m/>
    <m/>
    <m/>
    <n v="4"/>
    <x v="0"/>
    <x v="365"/>
    <m/>
    <m/>
    <x v="0"/>
    <x v="46"/>
    <x v="0"/>
    <x v="6"/>
    <x v="6"/>
    <x v="3"/>
    <s v="2F/事務所"/>
  </r>
  <r>
    <x v="476"/>
    <x v="3"/>
    <m/>
    <m/>
    <m/>
    <x v="15"/>
    <x v="0"/>
    <x v="1"/>
    <x v="1"/>
    <x v="1"/>
    <x v="1"/>
    <m/>
    <m/>
    <m/>
    <m/>
    <n v="2"/>
    <x v="0"/>
    <x v="366"/>
    <m/>
    <m/>
    <x v="0"/>
    <x v="26"/>
    <x v="0"/>
    <x v="0"/>
    <x v="1"/>
    <x v="0"/>
    <s v="3F/シンク前"/>
  </r>
  <r>
    <x v="477"/>
    <x v="3"/>
    <m/>
    <m/>
    <m/>
    <x v="15"/>
    <x v="0"/>
    <x v="1"/>
    <x v="1"/>
    <x v="1"/>
    <x v="1"/>
    <m/>
    <m/>
    <m/>
    <m/>
    <n v="1"/>
    <x v="0"/>
    <x v="157"/>
    <m/>
    <m/>
    <x v="0"/>
    <x v="27"/>
    <x v="5"/>
    <x v="6"/>
    <x v="6"/>
    <x v="4"/>
    <s v="-"/>
  </r>
  <r>
    <x v="478"/>
    <x v="3"/>
    <m/>
    <m/>
    <m/>
    <x v="15"/>
    <x v="0"/>
    <x v="1"/>
    <x v="1"/>
    <x v="1"/>
    <x v="1"/>
    <m/>
    <m/>
    <m/>
    <m/>
    <n v="1"/>
    <x v="0"/>
    <x v="157"/>
    <m/>
    <m/>
    <x v="0"/>
    <x v="4"/>
    <x v="0"/>
    <x v="0"/>
    <x v="1"/>
    <x v="0"/>
    <s v="3F/シンク前"/>
  </r>
  <r>
    <x v="479"/>
    <x v="3"/>
    <m/>
    <m/>
    <m/>
    <x v="15"/>
    <x v="0"/>
    <x v="1"/>
    <x v="1"/>
    <x v="1"/>
    <x v="1"/>
    <m/>
    <m/>
    <m/>
    <m/>
    <n v="1"/>
    <x v="0"/>
    <x v="157"/>
    <m/>
    <m/>
    <x v="0"/>
    <x v="3"/>
    <x v="0"/>
    <x v="0"/>
    <x v="2"/>
    <x v="1"/>
    <s v="1F/南西角"/>
  </r>
  <r>
    <x v="480"/>
    <x v="3"/>
    <m/>
    <m/>
    <m/>
    <x v="15"/>
    <x v="0"/>
    <x v="1"/>
    <x v="1"/>
    <x v="1"/>
    <x v="1"/>
    <m/>
    <m/>
    <m/>
    <m/>
    <n v="4"/>
    <x v="0"/>
    <x v="367"/>
    <m/>
    <m/>
    <x v="0"/>
    <x v="47"/>
    <x v="5"/>
    <x v="7"/>
    <x v="6"/>
    <x v="4"/>
    <s v="-"/>
  </r>
  <r>
    <x v="481"/>
    <x v="3"/>
    <m/>
    <m/>
    <m/>
    <x v="15"/>
    <x v="0"/>
    <x v="1"/>
    <x v="1"/>
    <x v="1"/>
    <x v="1"/>
    <m/>
    <m/>
    <m/>
    <m/>
    <n v="1"/>
    <x v="0"/>
    <x v="157"/>
    <m/>
    <m/>
    <x v="0"/>
    <x v="43"/>
    <x v="0"/>
    <x v="1"/>
    <x v="7"/>
    <x v="0"/>
    <s v="3F/シンク前"/>
  </r>
  <r>
    <x v="482"/>
    <x v="4"/>
    <m/>
    <m/>
    <m/>
    <x v="15"/>
    <x v="0"/>
    <x v="1"/>
    <x v="1"/>
    <x v="1"/>
    <x v="1"/>
    <m/>
    <m/>
    <m/>
    <m/>
    <n v="1"/>
    <x v="0"/>
    <x v="157"/>
    <m/>
    <m/>
    <x v="0"/>
    <x v="28"/>
    <x v="5"/>
    <x v="7"/>
    <x v="6"/>
    <x v="4"/>
    <s v="-"/>
  </r>
  <r>
    <x v="483"/>
    <x v="4"/>
    <m/>
    <m/>
    <m/>
    <x v="15"/>
    <x v="0"/>
    <x v="1"/>
    <x v="1"/>
    <x v="1"/>
    <x v="1"/>
    <m/>
    <m/>
    <n v="1"/>
    <n v="1"/>
    <n v="4"/>
    <x v="0"/>
    <x v="368"/>
    <m/>
    <m/>
    <x v="0"/>
    <x v="45"/>
    <x v="4"/>
    <x v="5"/>
    <x v="6"/>
    <x v="0"/>
    <s v="3F/シンク前"/>
  </r>
  <r>
    <x v="484"/>
    <x v="5"/>
    <m/>
    <d v="2026-03-10T00:00:00"/>
    <n v="2"/>
    <x v="15"/>
    <x v="37"/>
    <x v="1"/>
    <x v="1"/>
    <x v="1"/>
    <x v="1"/>
    <m/>
    <m/>
    <n v="1"/>
    <n v="1"/>
    <n v="4"/>
    <x v="0"/>
    <x v="369"/>
    <s v="中土"/>
    <m/>
    <x v="0"/>
    <x v="8"/>
    <x v="0"/>
    <x v="1"/>
    <x v="4"/>
    <x v="0"/>
    <s v="3F/シンク前"/>
  </r>
  <r>
    <x v="485"/>
    <x v="5"/>
    <m/>
    <m/>
    <m/>
    <x v="15"/>
    <x v="0"/>
    <x v="1"/>
    <x v="1"/>
    <x v="1"/>
    <x v="1"/>
    <m/>
    <m/>
    <m/>
    <m/>
    <n v="1"/>
    <x v="0"/>
    <x v="157"/>
    <m/>
    <m/>
    <x v="0"/>
    <x v="40"/>
    <x v="5"/>
    <x v="8"/>
    <x v="6"/>
    <x v="0"/>
    <s v="3F/シンク前"/>
  </r>
  <r>
    <x v="486"/>
    <x v="5"/>
    <m/>
    <m/>
    <m/>
    <x v="15"/>
    <x v="0"/>
    <x v="1"/>
    <x v="1"/>
    <x v="1"/>
    <x v="1"/>
    <m/>
    <m/>
    <m/>
    <m/>
    <n v="1"/>
    <x v="0"/>
    <x v="196"/>
    <m/>
    <m/>
    <x v="0"/>
    <x v="1"/>
    <x v="0"/>
    <x v="0"/>
    <x v="0"/>
    <x v="0"/>
    <s v="3F/シンク前"/>
  </r>
  <r>
    <x v="487"/>
    <x v="5"/>
    <m/>
    <d v="2026-03-10T00:00:00"/>
    <n v="2"/>
    <x v="15"/>
    <x v="37"/>
    <x v="1"/>
    <x v="1"/>
    <x v="1"/>
    <x v="1"/>
    <m/>
    <m/>
    <n v="1"/>
    <m/>
    <n v="4"/>
    <x v="0"/>
    <x v="370"/>
    <s v="中土"/>
    <m/>
    <x v="0"/>
    <x v="18"/>
    <x v="3"/>
    <x v="4"/>
    <x v="6"/>
    <x v="3"/>
    <s v="3F/事務所"/>
  </r>
  <r>
    <x v="488"/>
    <x v="5"/>
    <m/>
    <m/>
    <m/>
    <x v="15"/>
    <x v="0"/>
    <x v="1"/>
    <x v="1"/>
    <x v="1"/>
    <x v="1"/>
    <m/>
    <m/>
    <n v="1"/>
    <m/>
    <n v="4"/>
    <x v="0"/>
    <x v="371"/>
    <m/>
    <m/>
    <x v="0"/>
    <x v="41"/>
    <x v="4"/>
    <x v="5"/>
    <x v="6"/>
    <x v="0"/>
    <s v="3F/シンク前"/>
  </r>
  <r>
    <x v="489"/>
    <x v="5"/>
    <m/>
    <m/>
    <m/>
    <x v="15"/>
    <x v="0"/>
    <x v="1"/>
    <x v="1"/>
    <x v="1"/>
    <x v="1"/>
    <m/>
    <m/>
    <m/>
    <m/>
    <n v="4"/>
    <x v="0"/>
    <x v="372"/>
    <m/>
    <s v="バルクの現品票へのメッシュサイズ等の印刷/手書きの件について、バルク担当者の方でもTPiCSに登録できるようツールを作成して提出(2026/03/04鳥山主任日報)"/>
    <x v="0"/>
    <x v="35"/>
    <x v="0"/>
    <x v="1"/>
    <x v="3"/>
    <x v="2"/>
    <s v="1F/バルク室"/>
  </r>
  <r>
    <x v="490"/>
    <x v="5"/>
    <m/>
    <m/>
    <m/>
    <x v="15"/>
    <x v="0"/>
    <x v="1"/>
    <x v="1"/>
    <x v="1"/>
    <x v="1"/>
    <m/>
    <m/>
    <m/>
    <m/>
    <n v="1"/>
    <x v="0"/>
    <x v="356"/>
    <m/>
    <m/>
    <x v="0"/>
    <x v="7"/>
    <x v="0"/>
    <x v="1"/>
    <x v="3"/>
    <x v="3"/>
    <s v="2F/事務所"/>
  </r>
  <r>
    <x v="491"/>
    <x v="5"/>
    <m/>
    <m/>
    <m/>
    <x v="15"/>
    <x v="0"/>
    <x v="1"/>
    <x v="1"/>
    <x v="1"/>
    <x v="1"/>
    <m/>
    <m/>
    <m/>
    <m/>
    <n v="1"/>
    <x v="0"/>
    <x v="157"/>
    <m/>
    <m/>
    <x v="0"/>
    <x v="0"/>
    <x v="0"/>
    <x v="0"/>
    <x v="0"/>
    <x v="0"/>
    <s v="3F/シンク前"/>
  </r>
  <r>
    <x v="492"/>
    <x v="6"/>
    <m/>
    <m/>
    <m/>
    <x v="15"/>
    <x v="0"/>
    <x v="1"/>
    <x v="1"/>
    <x v="1"/>
    <x v="1"/>
    <m/>
    <m/>
    <m/>
    <m/>
    <n v="4"/>
    <x v="0"/>
    <x v="373"/>
    <m/>
    <m/>
    <x v="0"/>
    <x v="34"/>
    <x v="0"/>
    <x v="1"/>
    <x v="4"/>
    <x v="3"/>
    <s v="2F/作業場南"/>
  </r>
  <r>
    <x v="493"/>
    <x v="6"/>
    <m/>
    <m/>
    <m/>
    <x v="15"/>
    <x v="0"/>
    <x v="1"/>
    <x v="1"/>
    <x v="1"/>
    <x v="1"/>
    <m/>
    <m/>
    <m/>
    <m/>
    <n v="1"/>
    <x v="0"/>
    <x v="297"/>
    <m/>
    <m/>
    <x v="0"/>
    <x v="36"/>
    <x v="0"/>
    <x v="1"/>
    <x v="3"/>
    <x v="2"/>
    <s v="1F/バルク室"/>
  </r>
  <r>
    <x v="494"/>
    <x v="6"/>
    <m/>
    <m/>
    <m/>
    <x v="15"/>
    <x v="0"/>
    <x v="1"/>
    <x v="1"/>
    <x v="1"/>
    <x v="1"/>
    <m/>
    <m/>
    <m/>
    <m/>
    <n v="1"/>
    <x v="0"/>
    <x v="374"/>
    <m/>
    <m/>
    <x v="0"/>
    <x v="42"/>
    <x v="0"/>
    <x v="1"/>
    <x v="7"/>
    <x v="0"/>
    <s v="3F/シンク前"/>
  </r>
  <r>
    <x v="495"/>
    <x v="6"/>
    <m/>
    <m/>
    <m/>
    <x v="15"/>
    <x v="0"/>
    <x v="1"/>
    <x v="1"/>
    <x v="1"/>
    <x v="1"/>
    <m/>
    <m/>
    <m/>
    <m/>
    <n v="1"/>
    <x v="0"/>
    <x v="375"/>
    <m/>
    <m/>
    <x v="0"/>
    <x v="2"/>
    <x v="0"/>
    <x v="0"/>
    <x v="1"/>
    <x v="0"/>
    <s v="3F/シンク前"/>
  </r>
  <r>
    <x v="496"/>
    <x v="6"/>
    <m/>
    <m/>
    <m/>
    <x v="15"/>
    <x v="0"/>
    <x v="1"/>
    <x v="1"/>
    <x v="1"/>
    <x v="1"/>
    <m/>
    <m/>
    <m/>
    <m/>
    <n v="1"/>
    <x v="0"/>
    <x v="376"/>
    <m/>
    <m/>
    <x v="0"/>
    <x v="10"/>
    <x v="0"/>
    <x v="1"/>
    <x v="5"/>
    <x v="2"/>
    <s v="2F/充填ライン南"/>
  </r>
  <r>
    <x v="497"/>
    <x v="6"/>
    <m/>
    <m/>
    <m/>
    <x v="15"/>
    <x v="0"/>
    <x v="1"/>
    <x v="1"/>
    <x v="1"/>
    <x v="1"/>
    <m/>
    <m/>
    <m/>
    <m/>
    <n v="3"/>
    <x v="0"/>
    <x v="377"/>
    <m/>
    <m/>
    <x v="0"/>
    <x v="37"/>
    <x v="0"/>
    <x v="1"/>
    <x v="3"/>
    <x v="2"/>
    <s v="1F/バルク室"/>
  </r>
  <r>
    <x v="498"/>
    <x v="7"/>
    <m/>
    <d v="2026-03-10T00:00:00"/>
    <n v="2"/>
    <x v="15"/>
    <x v="37"/>
    <x v="1"/>
    <x v="1"/>
    <x v="1"/>
    <x v="1"/>
    <m/>
    <m/>
    <n v="1"/>
    <n v="1"/>
    <n v="4"/>
    <x v="0"/>
    <x v="378"/>
    <s v="鳥山"/>
    <s v="3/18Claudeでの会議-議事録-手順作成-実践中"/>
    <x v="0"/>
    <x v="5"/>
    <x v="0"/>
    <x v="0"/>
    <x v="1"/>
    <x v="0"/>
    <s v="3F/シンク前"/>
  </r>
  <r>
    <x v="499"/>
    <x v="7"/>
    <m/>
    <m/>
    <m/>
    <x v="15"/>
    <x v="0"/>
    <x v="1"/>
    <x v="1"/>
    <x v="1"/>
    <x v="1"/>
    <m/>
    <m/>
    <m/>
    <n v="1"/>
    <n v="5"/>
    <x v="0"/>
    <x v="379"/>
    <m/>
    <m/>
    <x v="0"/>
    <x v="12"/>
    <x v="1"/>
    <x v="2"/>
    <x v="6"/>
    <x v="0"/>
    <s v="3F/シンク前"/>
  </r>
  <r>
    <x v="500"/>
    <x v="7"/>
    <m/>
    <m/>
    <m/>
    <x v="15"/>
    <x v="0"/>
    <x v="1"/>
    <x v="1"/>
    <x v="1"/>
    <x v="1"/>
    <m/>
    <m/>
    <m/>
    <m/>
    <n v="1"/>
    <x v="0"/>
    <x v="157"/>
    <m/>
    <m/>
    <x v="0"/>
    <x v="13"/>
    <x v="1"/>
    <x v="2"/>
    <x v="6"/>
    <x v="0"/>
    <s v="3F/シンク前"/>
  </r>
  <r>
    <x v="501"/>
    <x v="7"/>
    <m/>
    <m/>
    <m/>
    <x v="15"/>
    <x v="0"/>
    <x v="1"/>
    <x v="1"/>
    <x v="1"/>
    <x v="1"/>
    <m/>
    <m/>
    <m/>
    <m/>
    <n v="1"/>
    <x v="0"/>
    <x v="364"/>
    <m/>
    <m/>
    <x v="0"/>
    <x v="11"/>
    <x v="1"/>
    <x v="2"/>
    <x v="6"/>
    <x v="0"/>
    <s v="3F/シンク前"/>
  </r>
  <r>
    <x v="502"/>
    <x v="3"/>
    <m/>
    <m/>
    <m/>
    <x v="16"/>
    <x v="0"/>
    <x v="1"/>
    <x v="1"/>
    <x v="1"/>
    <x v="0"/>
    <n v="1"/>
    <m/>
    <n v="1"/>
    <m/>
    <n v="5"/>
    <x v="3"/>
    <x v="380"/>
    <m/>
    <m/>
    <x v="0"/>
    <x v="46"/>
    <x v="0"/>
    <x v="6"/>
    <x v="6"/>
    <x v="3"/>
    <s v="2F/事務所"/>
  </r>
  <r>
    <x v="503"/>
    <x v="3"/>
    <m/>
    <m/>
    <m/>
    <x v="16"/>
    <x v="0"/>
    <x v="1"/>
    <x v="1"/>
    <x v="1"/>
    <x v="0"/>
    <n v="1"/>
    <m/>
    <n v="1"/>
    <m/>
    <n v="5"/>
    <x v="3"/>
    <x v="381"/>
    <m/>
    <m/>
    <x v="0"/>
    <x v="26"/>
    <x v="0"/>
    <x v="0"/>
    <x v="1"/>
    <x v="0"/>
    <s v="3F/シンク前"/>
  </r>
  <r>
    <x v="504"/>
    <x v="3"/>
    <m/>
    <m/>
    <m/>
    <x v="16"/>
    <x v="0"/>
    <x v="1"/>
    <x v="1"/>
    <x v="1"/>
    <x v="0"/>
    <n v="1"/>
    <m/>
    <n v="1"/>
    <m/>
    <n v="4"/>
    <x v="1"/>
    <x v="157"/>
    <m/>
    <m/>
    <x v="0"/>
    <x v="27"/>
    <x v="5"/>
    <x v="6"/>
    <x v="6"/>
    <x v="4"/>
    <s v="-"/>
  </r>
  <r>
    <x v="505"/>
    <x v="3"/>
    <m/>
    <m/>
    <m/>
    <x v="16"/>
    <x v="0"/>
    <x v="1"/>
    <x v="1"/>
    <x v="1"/>
    <x v="0"/>
    <n v="1"/>
    <m/>
    <n v="1"/>
    <m/>
    <n v="5"/>
    <x v="3"/>
    <x v="157"/>
    <m/>
    <m/>
    <x v="0"/>
    <x v="4"/>
    <x v="0"/>
    <x v="0"/>
    <x v="1"/>
    <x v="0"/>
    <s v="3F/シンク前"/>
  </r>
  <r>
    <x v="506"/>
    <x v="3"/>
    <m/>
    <m/>
    <m/>
    <x v="16"/>
    <x v="0"/>
    <x v="1"/>
    <x v="1"/>
    <x v="1"/>
    <x v="0"/>
    <n v="1"/>
    <m/>
    <n v="1"/>
    <m/>
    <n v="5"/>
    <x v="3"/>
    <x v="382"/>
    <m/>
    <m/>
    <x v="0"/>
    <x v="3"/>
    <x v="0"/>
    <x v="0"/>
    <x v="2"/>
    <x v="1"/>
    <s v="1F/南西角"/>
  </r>
  <r>
    <x v="507"/>
    <x v="3"/>
    <m/>
    <m/>
    <m/>
    <x v="16"/>
    <x v="0"/>
    <x v="1"/>
    <x v="1"/>
    <x v="1"/>
    <x v="0"/>
    <n v="1"/>
    <m/>
    <n v="1"/>
    <m/>
    <n v="5"/>
    <x v="3"/>
    <x v="383"/>
    <m/>
    <m/>
    <x v="0"/>
    <x v="47"/>
    <x v="5"/>
    <x v="7"/>
    <x v="6"/>
    <x v="4"/>
    <s v="-"/>
  </r>
  <r>
    <x v="508"/>
    <x v="3"/>
    <m/>
    <m/>
    <m/>
    <x v="16"/>
    <x v="0"/>
    <x v="1"/>
    <x v="1"/>
    <x v="1"/>
    <x v="0"/>
    <n v="1"/>
    <m/>
    <n v="1"/>
    <m/>
    <n v="3"/>
    <x v="0"/>
    <x v="157"/>
    <m/>
    <m/>
    <x v="0"/>
    <x v="43"/>
    <x v="0"/>
    <x v="1"/>
    <x v="7"/>
    <x v="0"/>
    <s v="3F/シンク前"/>
  </r>
  <r>
    <x v="509"/>
    <x v="4"/>
    <m/>
    <m/>
    <m/>
    <x v="16"/>
    <x v="0"/>
    <x v="1"/>
    <x v="1"/>
    <x v="1"/>
    <x v="0"/>
    <n v="1"/>
    <m/>
    <n v="1"/>
    <m/>
    <n v="5"/>
    <x v="3"/>
    <x v="384"/>
    <m/>
    <m/>
    <x v="0"/>
    <x v="28"/>
    <x v="5"/>
    <x v="7"/>
    <x v="6"/>
    <x v="4"/>
    <s v="-"/>
  </r>
  <r>
    <x v="510"/>
    <x v="4"/>
    <m/>
    <m/>
    <m/>
    <x v="16"/>
    <x v="0"/>
    <x v="1"/>
    <x v="1"/>
    <x v="1"/>
    <x v="0"/>
    <n v="1"/>
    <m/>
    <n v="1"/>
    <m/>
    <n v="3"/>
    <x v="0"/>
    <x v="385"/>
    <m/>
    <m/>
    <x v="0"/>
    <x v="45"/>
    <x v="4"/>
    <x v="5"/>
    <x v="6"/>
    <x v="0"/>
    <s v="3F/シンク前"/>
  </r>
  <r>
    <x v="511"/>
    <x v="5"/>
    <m/>
    <m/>
    <m/>
    <x v="16"/>
    <x v="0"/>
    <x v="1"/>
    <x v="1"/>
    <x v="1"/>
    <x v="0"/>
    <n v="1"/>
    <m/>
    <n v="1"/>
    <m/>
    <n v="4"/>
    <x v="1"/>
    <x v="386"/>
    <m/>
    <m/>
    <x v="0"/>
    <x v="8"/>
    <x v="0"/>
    <x v="1"/>
    <x v="4"/>
    <x v="0"/>
    <s v="3F/シンク前"/>
  </r>
  <r>
    <x v="512"/>
    <x v="5"/>
    <m/>
    <m/>
    <m/>
    <x v="16"/>
    <x v="0"/>
    <x v="1"/>
    <x v="1"/>
    <x v="1"/>
    <x v="0"/>
    <n v="1"/>
    <m/>
    <n v="1"/>
    <m/>
    <n v="4"/>
    <x v="1"/>
    <x v="387"/>
    <m/>
    <m/>
    <x v="0"/>
    <x v="40"/>
    <x v="5"/>
    <x v="8"/>
    <x v="6"/>
    <x v="0"/>
    <s v="3F/シンク前"/>
  </r>
  <r>
    <x v="513"/>
    <x v="5"/>
    <m/>
    <m/>
    <m/>
    <x v="16"/>
    <x v="0"/>
    <x v="1"/>
    <x v="1"/>
    <x v="1"/>
    <x v="0"/>
    <n v="1"/>
    <m/>
    <n v="1"/>
    <m/>
    <n v="4"/>
    <x v="1"/>
    <x v="388"/>
    <m/>
    <m/>
    <x v="0"/>
    <x v="1"/>
    <x v="0"/>
    <x v="0"/>
    <x v="0"/>
    <x v="0"/>
    <s v="3F/シンク前"/>
  </r>
  <r>
    <x v="514"/>
    <x v="5"/>
    <m/>
    <m/>
    <m/>
    <x v="16"/>
    <x v="0"/>
    <x v="1"/>
    <x v="1"/>
    <x v="1"/>
    <x v="0"/>
    <n v="1"/>
    <m/>
    <n v="1"/>
    <m/>
    <n v="5"/>
    <x v="3"/>
    <x v="121"/>
    <m/>
    <m/>
    <x v="0"/>
    <x v="18"/>
    <x v="3"/>
    <x v="4"/>
    <x v="6"/>
    <x v="3"/>
    <s v="3F/事務所"/>
  </r>
  <r>
    <x v="515"/>
    <x v="5"/>
    <m/>
    <m/>
    <m/>
    <x v="16"/>
    <x v="0"/>
    <x v="1"/>
    <x v="1"/>
    <x v="1"/>
    <x v="0"/>
    <n v="1"/>
    <m/>
    <n v="1"/>
    <m/>
    <n v="4"/>
    <x v="1"/>
    <x v="157"/>
    <m/>
    <m/>
    <x v="0"/>
    <x v="41"/>
    <x v="4"/>
    <x v="5"/>
    <x v="6"/>
    <x v="0"/>
    <s v="3F/シンク前"/>
  </r>
  <r>
    <x v="516"/>
    <x v="5"/>
    <m/>
    <m/>
    <m/>
    <x v="16"/>
    <x v="0"/>
    <x v="1"/>
    <x v="1"/>
    <x v="1"/>
    <x v="0"/>
    <n v="1"/>
    <m/>
    <n v="1"/>
    <m/>
    <n v="5"/>
    <x v="3"/>
    <x v="157"/>
    <m/>
    <m/>
    <x v="0"/>
    <x v="35"/>
    <x v="0"/>
    <x v="1"/>
    <x v="3"/>
    <x v="2"/>
    <s v="1F/バルク室"/>
  </r>
  <r>
    <x v="517"/>
    <x v="5"/>
    <m/>
    <m/>
    <m/>
    <x v="16"/>
    <x v="0"/>
    <x v="1"/>
    <x v="1"/>
    <x v="1"/>
    <x v="0"/>
    <n v="1"/>
    <m/>
    <n v="1"/>
    <m/>
    <n v="2"/>
    <x v="0"/>
    <x v="356"/>
    <m/>
    <m/>
    <x v="0"/>
    <x v="7"/>
    <x v="0"/>
    <x v="1"/>
    <x v="3"/>
    <x v="3"/>
    <s v="2F/事務所"/>
  </r>
  <r>
    <x v="518"/>
    <x v="5"/>
    <m/>
    <m/>
    <m/>
    <x v="16"/>
    <x v="0"/>
    <x v="1"/>
    <x v="1"/>
    <x v="1"/>
    <x v="0"/>
    <n v="1"/>
    <m/>
    <n v="1"/>
    <m/>
    <n v="3"/>
    <x v="0"/>
    <x v="157"/>
    <m/>
    <m/>
    <x v="0"/>
    <x v="0"/>
    <x v="0"/>
    <x v="0"/>
    <x v="0"/>
    <x v="0"/>
    <s v="3F/シンク前"/>
  </r>
  <r>
    <x v="519"/>
    <x v="6"/>
    <m/>
    <m/>
    <m/>
    <x v="16"/>
    <x v="0"/>
    <x v="1"/>
    <x v="1"/>
    <x v="1"/>
    <x v="0"/>
    <n v="1"/>
    <m/>
    <n v="1"/>
    <m/>
    <n v="5"/>
    <x v="3"/>
    <x v="389"/>
    <m/>
    <m/>
    <x v="0"/>
    <x v="34"/>
    <x v="0"/>
    <x v="1"/>
    <x v="4"/>
    <x v="3"/>
    <s v="2F/作業場南"/>
  </r>
  <r>
    <x v="520"/>
    <x v="6"/>
    <m/>
    <m/>
    <m/>
    <x v="16"/>
    <x v="0"/>
    <x v="1"/>
    <x v="1"/>
    <x v="1"/>
    <x v="0"/>
    <n v="1"/>
    <m/>
    <n v="1"/>
    <m/>
    <n v="3"/>
    <x v="0"/>
    <x v="157"/>
    <m/>
    <m/>
    <x v="0"/>
    <x v="36"/>
    <x v="0"/>
    <x v="1"/>
    <x v="3"/>
    <x v="2"/>
    <s v="1F/バルク室"/>
  </r>
  <r>
    <x v="521"/>
    <x v="6"/>
    <m/>
    <m/>
    <m/>
    <x v="16"/>
    <x v="0"/>
    <x v="1"/>
    <x v="1"/>
    <x v="1"/>
    <x v="0"/>
    <n v="1"/>
    <m/>
    <n v="1"/>
    <m/>
    <n v="2"/>
    <x v="0"/>
    <x v="390"/>
    <m/>
    <m/>
    <x v="0"/>
    <x v="42"/>
    <x v="0"/>
    <x v="1"/>
    <x v="7"/>
    <x v="0"/>
    <s v="3F/シンク前"/>
  </r>
  <r>
    <x v="522"/>
    <x v="6"/>
    <m/>
    <m/>
    <m/>
    <x v="16"/>
    <x v="0"/>
    <x v="1"/>
    <x v="1"/>
    <x v="1"/>
    <x v="0"/>
    <n v="1"/>
    <m/>
    <n v="1"/>
    <m/>
    <n v="5"/>
    <x v="3"/>
    <x v="391"/>
    <m/>
    <m/>
    <x v="0"/>
    <x v="2"/>
    <x v="0"/>
    <x v="0"/>
    <x v="1"/>
    <x v="0"/>
    <s v="3F/シンク前"/>
  </r>
  <r>
    <x v="523"/>
    <x v="6"/>
    <m/>
    <m/>
    <m/>
    <x v="16"/>
    <x v="0"/>
    <x v="1"/>
    <x v="1"/>
    <x v="1"/>
    <x v="0"/>
    <n v="1"/>
    <m/>
    <n v="1"/>
    <m/>
    <n v="4"/>
    <x v="1"/>
    <x v="157"/>
    <m/>
    <m/>
    <x v="0"/>
    <x v="10"/>
    <x v="0"/>
    <x v="1"/>
    <x v="5"/>
    <x v="2"/>
    <s v="2F/充填ライン南"/>
  </r>
  <r>
    <x v="524"/>
    <x v="6"/>
    <m/>
    <m/>
    <m/>
    <x v="16"/>
    <x v="0"/>
    <x v="1"/>
    <x v="1"/>
    <x v="1"/>
    <x v="0"/>
    <n v="1"/>
    <m/>
    <n v="1"/>
    <m/>
    <n v="2"/>
    <x v="0"/>
    <x v="360"/>
    <m/>
    <m/>
    <x v="0"/>
    <x v="37"/>
    <x v="0"/>
    <x v="1"/>
    <x v="3"/>
    <x v="2"/>
    <s v="1F/バルク室"/>
  </r>
  <r>
    <x v="525"/>
    <x v="7"/>
    <m/>
    <m/>
    <m/>
    <x v="16"/>
    <x v="0"/>
    <x v="1"/>
    <x v="1"/>
    <x v="1"/>
    <x v="0"/>
    <n v="1"/>
    <m/>
    <n v="1"/>
    <m/>
    <n v="3"/>
    <x v="0"/>
    <x v="392"/>
    <m/>
    <m/>
    <x v="0"/>
    <x v="5"/>
    <x v="0"/>
    <x v="0"/>
    <x v="1"/>
    <x v="0"/>
    <s v="3F/シンク前"/>
  </r>
  <r>
    <x v="526"/>
    <x v="7"/>
    <m/>
    <m/>
    <m/>
    <x v="16"/>
    <x v="0"/>
    <x v="1"/>
    <x v="1"/>
    <x v="1"/>
    <x v="0"/>
    <n v="1"/>
    <m/>
    <n v="1"/>
    <m/>
    <n v="5"/>
    <x v="3"/>
    <x v="393"/>
    <m/>
    <m/>
    <x v="0"/>
    <x v="12"/>
    <x v="1"/>
    <x v="2"/>
    <x v="6"/>
    <x v="0"/>
    <s v="3F/シンク前"/>
  </r>
  <r>
    <x v="527"/>
    <x v="7"/>
    <m/>
    <m/>
    <m/>
    <x v="16"/>
    <x v="0"/>
    <x v="1"/>
    <x v="1"/>
    <x v="1"/>
    <x v="0"/>
    <n v="1"/>
    <m/>
    <n v="1"/>
    <m/>
    <n v="3"/>
    <x v="0"/>
    <x v="157"/>
    <m/>
    <m/>
    <x v="0"/>
    <x v="13"/>
    <x v="1"/>
    <x v="2"/>
    <x v="6"/>
    <x v="0"/>
    <s v="3F/シンク前"/>
  </r>
  <r>
    <x v="528"/>
    <x v="7"/>
    <m/>
    <m/>
    <m/>
    <x v="16"/>
    <x v="0"/>
    <x v="1"/>
    <x v="1"/>
    <x v="1"/>
    <x v="0"/>
    <n v="1"/>
    <m/>
    <n v="1"/>
    <m/>
    <n v="4"/>
    <x v="1"/>
    <x v="394"/>
    <m/>
    <m/>
    <x v="0"/>
    <x v="11"/>
    <x v="1"/>
    <x v="2"/>
    <x v="6"/>
    <x v="0"/>
    <s v="3F/シンク前"/>
  </r>
  <r>
    <x v="529"/>
    <x v="3"/>
    <m/>
    <m/>
    <m/>
    <x v="17"/>
    <x v="0"/>
    <x v="1"/>
    <x v="1"/>
    <x v="1"/>
    <x v="1"/>
    <m/>
    <m/>
    <m/>
    <m/>
    <n v="1"/>
    <x v="0"/>
    <x v="157"/>
    <m/>
    <m/>
    <x v="0"/>
    <x v="46"/>
    <x v="0"/>
    <x v="6"/>
    <x v="6"/>
    <x v="3"/>
    <s v="2F/事務所"/>
  </r>
  <r>
    <x v="530"/>
    <x v="3"/>
    <m/>
    <m/>
    <m/>
    <x v="17"/>
    <x v="0"/>
    <x v="1"/>
    <x v="1"/>
    <x v="1"/>
    <x v="1"/>
    <m/>
    <m/>
    <n v="1"/>
    <m/>
    <n v="5"/>
    <x v="0"/>
    <x v="395"/>
    <m/>
    <m/>
    <x v="0"/>
    <x v="26"/>
    <x v="0"/>
    <x v="0"/>
    <x v="1"/>
    <x v="0"/>
    <s v="3F/シンク前"/>
  </r>
  <r>
    <x v="531"/>
    <x v="3"/>
    <m/>
    <m/>
    <m/>
    <x v="17"/>
    <x v="0"/>
    <x v="1"/>
    <x v="1"/>
    <x v="1"/>
    <x v="1"/>
    <m/>
    <m/>
    <m/>
    <m/>
    <n v="1"/>
    <x v="0"/>
    <x v="157"/>
    <m/>
    <m/>
    <x v="0"/>
    <x v="27"/>
    <x v="5"/>
    <x v="6"/>
    <x v="6"/>
    <x v="4"/>
    <s v="-"/>
  </r>
  <r>
    <x v="532"/>
    <x v="3"/>
    <m/>
    <m/>
    <m/>
    <x v="17"/>
    <x v="0"/>
    <x v="1"/>
    <x v="1"/>
    <x v="1"/>
    <x v="1"/>
    <m/>
    <m/>
    <n v="1"/>
    <n v="1"/>
    <n v="5"/>
    <x v="0"/>
    <x v="396"/>
    <m/>
    <m/>
    <x v="0"/>
    <x v="4"/>
    <x v="0"/>
    <x v="0"/>
    <x v="1"/>
    <x v="0"/>
    <s v="3F/シンク前"/>
  </r>
  <r>
    <x v="533"/>
    <x v="3"/>
    <m/>
    <m/>
    <m/>
    <x v="17"/>
    <x v="0"/>
    <x v="1"/>
    <x v="1"/>
    <x v="1"/>
    <x v="1"/>
    <m/>
    <m/>
    <m/>
    <m/>
    <n v="1"/>
    <x v="0"/>
    <x v="157"/>
    <m/>
    <m/>
    <x v="0"/>
    <x v="3"/>
    <x v="0"/>
    <x v="0"/>
    <x v="2"/>
    <x v="1"/>
    <s v="1F/南西角"/>
  </r>
  <r>
    <x v="534"/>
    <x v="3"/>
    <m/>
    <m/>
    <m/>
    <x v="17"/>
    <x v="0"/>
    <x v="1"/>
    <x v="1"/>
    <x v="1"/>
    <x v="1"/>
    <m/>
    <m/>
    <n v="1"/>
    <m/>
    <n v="4"/>
    <x v="0"/>
    <x v="397"/>
    <m/>
    <m/>
    <x v="0"/>
    <x v="47"/>
    <x v="5"/>
    <x v="7"/>
    <x v="6"/>
    <x v="4"/>
    <s v="-"/>
  </r>
  <r>
    <x v="535"/>
    <x v="3"/>
    <m/>
    <m/>
    <m/>
    <x v="17"/>
    <x v="0"/>
    <x v="1"/>
    <x v="1"/>
    <x v="1"/>
    <x v="1"/>
    <m/>
    <m/>
    <m/>
    <m/>
    <n v="1"/>
    <x v="0"/>
    <x v="157"/>
    <m/>
    <m/>
    <x v="0"/>
    <x v="43"/>
    <x v="0"/>
    <x v="1"/>
    <x v="7"/>
    <x v="0"/>
    <s v="3F/シンク前"/>
  </r>
  <r>
    <x v="536"/>
    <x v="4"/>
    <m/>
    <m/>
    <m/>
    <x v="17"/>
    <x v="0"/>
    <x v="1"/>
    <x v="1"/>
    <x v="1"/>
    <x v="1"/>
    <m/>
    <m/>
    <n v="1"/>
    <m/>
    <n v="5"/>
    <x v="0"/>
    <x v="398"/>
    <m/>
    <m/>
    <x v="0"/>
    <x v="28"/>
    <x v="5"/>
    <x v="7"/>
    <x v="6"/>
    <x v="4"/>
    <s v="-"/>
  </r>
  <r>
    <x v="537"/>
    <x v="4"/>
    <m/>
    <m/>
    <m/>
    <x v="17"/>
    <x v="0"/>
    <x v="1"/>
    <x v="1"/>
    <x v="1"/>
    <x v="1"/>
    <m/>
    <m/>
    <n v="1"/>
    <n v="1"/>
    <n v="5"/>
    <x v="0"/>
    <x v="399"/>
    <m/>
    <m/>
    <x v="0"/>
    <x v="45"/>
    <x v="4"/>
    <x v="5"/>
    <x v="6"/>
    <x v="0"/>
    <s v="3F/シンク前"/>
  </r>
  <r>
    <x v="538"/>
    <x v="5"/>
    <m/>
    <d v="2026-03-10T00:00:00"/>
    <n v="1"/>
    <x v="17"/>
    <x v="36"/>
    <x v="1"/>
    <x v="1"/>
    <x v="1"/>
    <x v="1"/>
    <m/>
    <m/>
    <n v="1"/>
    <n v="1"/>
    <n v="4"/>
    <x v="0"/>
    <x v="400"/>
    <s v="鳥山"/>
    <s v="3/11ヒアリング-修正版着手"/>
    <x v="0"/>
    <x v="8"/>
    <x v="0"/>
    <x v="1"/>
    <x v="4"/>
    <x v="0"/>
    <s v="3F/シンク前"/>
  </r>
  <r>
    <x v="539"/>
    <x v="5"/>
    <m/>
    <m/>
    <m/>
    <x v="17"/>
    <x v="0"/>
    <x v="1"/>
    <x v="1"/>
    <x v="1"/>
    <x v="1"/>
    <m/>
    <m/>
    <m/>
    <m/>
    <n v="1"/>
    <x v="0"/>
    <x v="401"/>
    <m/>
    <m/>
    <x v="0"/>
    <x v="40"/>
    <x v="5"/>
    <x v="8"/>
    <x v="6"/>
    <x v="0"/>
    <s v="3F/シンク前"/>
  </r>
  <r>
    <x v="540"/>
    <x v="5"/>
    <m/>
    <m/>
    <m/>
    <x v="17"/>
    <x v="0"/>
    <x v="1"/>
    <x v="1"/>
    <x v="1"/>
    <x v="1"/>
    <m/>
    <m/>
    <m/>
    <n v="1"/>
    <n v="4"/>
    <x v="0"/>
    <x v="402"/>
    <m/>
    <m/>
    <x v="0"/>
    <x v="1"/>
    <x v="0"/>
    <x v="0"/>
    <x v="0"/>
    <x v="0"/>
    <s v="3F/シンク前"/>
  </r>
  <r>
    <x v="541"/>
    <x v="5"/>
    <m/>
    <m/>
    <m/>
    <x v="17"/>
    <x v="0"/>
    <x v="1"/>
    <x v="1"/>
    <x v="1"/>
    <x v="1"/>
    <m/>
    <m/>
    <m/>
    <m/>
    <n v="1"/>
    <x v="0"/>
    <x v="157"/>
    <m/>
    <m/>
    <x v="0"/>
    <x v="18"/>
    <x v="3"/>
    <x v="4"/>
    <x v="6"/>
    <x v="3"/>
    <s v="3F/事務所"/>
  </r>
  <r>
    <x v="542"/>
    <x v="5"/>
    <m/>
    <m/>
    <m/>
    <x v="17"/>
    <x v="0"/>
    <x v="1"/>
    <x v="1"/>
    <x v="1"/>
    <x v="1"/>
    <m/>
    <m/>
    <m/>
    <n v="1"/>
    <n v="4"/>
    <x v="0"/>
    <x v="403"/>
    <m/>
    <m/>
    <x v="0"/>
    <x v="41"/>
    <x v="4"/>
    <x v="5"/>
    <x v="6"/>
    <x v="0"/>
    <s v="3F/シンク前"/>
  </r>
  <r>
    <x v="543"/>
    <x v="5"/>
    <m/>
    <m/>
    <m/>
    <x v="17"/>
    <x v="0"/>
    <x v="1"/>
    <x v="1"/>
    <x v="1"/>
    <x v="1"/>
    <m/>
    <m/>
    <m/>
    <m/>
    <n v="1"/>
    <x v="0"/>
    <x v="157"/>
    <m/>
    <m/>
    <x v="0"/>
    <x v="35"/>
    <x v="0"/>
    <x v="1"/>
    <x v="3"/>
    <x v="2"/>
    <s v="1F/バルク室"/>
  </r>
  <r>
    <x v="544"/>
    <x v="5"/>
    <m/>
    <m/>
    <m/>
    <x v="17"/>
    <x v="0"/>
    <x v="1"/>
    <x v="1"/>
    <x v="1"/>
    <x v="1"/>
    <m/>
    <m/>
    <m/>
    <m/>
    <n v="1"/>
    <x v="0"/>
    <x v="157"/>
    <m/>
    <m/>
    <x v="0"/>
    <x v="7"/>
    <x v="0"/>
    <x v="1"/>
    <x v="3"/>
    <x v="3"/>
    <s v="2F/事務所"/>
  </r>
  <r>
    <x v="545"/>
    <x v="5"/>
    <m/>
    <m/>
    <m/>
    <x v="17"/>
    <x v="0"/>
    <x v="1"/>
    <x v="1"/>
    <x v="1"/>
    <x v="1"/>
    <m/>
    <m/>
    <m/>
    <m/>
    <n v="1"/>
    <x v="0"/>
    <x v="157"/>
    <m/>
    <m/>
    <x v="0"/>
    <x v="0"/>
    <x v="0"/>
    <x v="0"/>
    <x v="0"/>
    <x v="0"/>
    <s v="3F/シンク前"/>
  </r>
  <r>
    <x v="546"/>
    <x v="6"/>
    <m/>
    <m/>
    <m/>
    <x v="17"/>
    <x v="0"/>
    <x v="1"/>
    <x v="1"/>
    <x v="1"/>
    <x v="1"/>
    <m/>
    <m/>
    <m/>
    <m/>
    <n v="1"/>
    <x v="0"/>
    <x v="157"/>
    <m/>
    <m/>
    <x v="0"/>
    <x v="34"/>
    <x v="0"/>
    <x v="1"/>
    <x v="4"/>
    <x v="3"/>
    <s v="2F/作業場南"/>
  </r>
  <r>
    <x v="547"/>
    <x v="6"/>
    <m/>
    <m/>
    <m/>
    <x v="17"/>
    <x v="0"/>
    <x v="1"/>
    <x v="1"/>
    <x v="1"/>
    <x v="1"/>
    <m/>
    <m/>
    <m/>
    <m/>
    <n v="1"/>
    <x v="0"/>
    <x v="297"/>
    <m/>
    <m/>
    <x v="0"/>
    <x v="36"/>
    <x v="0"/>
    <x v="1"/>
    <x v="3"/>
    <x v="2"/>
    <s v="1F/バルク室"/>
  </r>
  <r>
    <x v="548"/>
    <x v="6"/>
    <m/>
    <m/>
    <m/>
    <x v="17"/>
    <x v="0"/>
    <x v="1"/>
    <x v="1"/>
    <x v="1"/>
    <x v="1"/>
    <m/>
    <m/>
    <m/>
    <m/>
    <n v="2"/>
    <x v="0"/>
    <x v="404"/>
    <m/>
    <m/>
    <x v="0"/>
    <x v="42"/>
    <x v="0"/>
    <x v="1"/>
    <x v="7"/>
    <x v="0"/>
    <s v="3F/シンク前"/>
  </r>
  <r>
    <x v="549"/>
    <x v="6"/>
    <m/>
    <m/>
    <m/>
    <x v="17"/>
    <x v="0"/>
    <x v="1"/>
    <x v="1"/>
    <x v="1"/>
    <x v="1"/>
    <m/>
    <m/>
    <m/>
    <m/>
    <n v="1"/>
    <x v="0"/>
    <x v="157"/>
    <m/>
    <m/>
    <x v="0"/>
    <x v="2"/>
    <x v="0"/>
    <x v="0"/>
    <x v="1"/>
    <x v="0"/>
    <s v="3F/シンク前"/>
  </r>
  <r>
    <x v="550"/>
    <x v="6"/>
    <m/>
    <m/>
    <m/>
    <x v="17"/>
    <x v="0"/>
    <x v="1"/>
    <x v="1"/>
    <x v="1"/>
    <x v="1"/>
    <m/>
    <m/>
    <m/>
    <m/>
    <n v="1"/>
    <x v="0"/>
    <x v="376"/>
    <m/>
    <m/>
    <x v="0"/>
    <x v="10"/>
    <x v="0"/>
    <x v="1"/>
    <x v="5"/>
    <x v="2"/>
    <s v="2F/充填ライン南"/>
  </r>
  <r>
    <x v="551"/>
    <x v="6"/>
    <m/>
    <m/>
    <m/>
    <x v="17"/>
    <x v="0"/>
    <x v="1"/>
    <x v="1"/>
    <x v="1"/>
    <x v="1"/>
    <m/>
    <m/>
    <m/>
    <m/>
    <n v="1"/>
    <x v="0"/>
    <x v="157"/>
    <m/>
    <m/>
    <x v="0"/>
    <x v="37"/>
    <x v="0"/>
    <x v="1"/>
    <x v="3"/>
    <x v="2"/>
    <s v="1F/バルク室"/>
  </r>
  <r>
    <x v="552"/>
    <x v="7"/>
    <m/>
    <m/>
    <m/>
    <x v="17"/>
    <x v="0"/>
    <x v="1"/>
    <x v="1"/>
    <x v="1"/>
    <x v="1"/>
    <m/>
    <m/>
    <m/>
    <m/>
    <n v="1"/>
    <x v="0"/>
    <x v="157"/>
    <m/>
    <m/>
    <x v="0"/>
    <x v="5"/>
    <x v="0"/>
    <x v="0"/>
    <x v="1"/>
    <x v="0"/>
    <s v="3F/シンク前"/>
  </r>
  <r>
    <x v="553"/>
    <x v="7"/>
    <m/>
    <m/>
    <m/>
    <x v="17"/>
    <x v="0"/>
    <x v="1"/>
    <x v="1"/>
    <x v="1"/>
    <x v="1"/>
    <m/>
    <m/>
    <m/>
    <n v="1"/>
    <n v="4"/>
    <x v="0"/>
    <x v="405"/>
    <m/>
    <m/>
    <x v="0"/>
    <x v="12"/>
    <x v="1"/>
    <x v="2"/>
    <x v="6"/>
    <x v="0"/>
    <s v="3F/シンク前"/>
  </r>
  <r>
    <x v="554"/>
    <x v="7"/>
    <m/>
    <m/>
    <m/>
    <x v="17"/>
    <x v="0"/>
    <x v="1"/>
    <x v="1"/>
    <x v="1"/>
    <x v="1"/>
    <m/>
    <m/>
    <m/>
    <m/>
    <n v="1"/>
    <x v="0"/>
    <x v="157"/>
    <m/>
    <m/>
    <x v="0"/>
    <x v="13"/>
    <x v="1"/>
    <x v="2"/>
    <x v="6"/>
    <x v="0"/>
    <s v="3F/シンク前"/>
  </r>
  <r>
    <x v="555"/>
    <x v="7"/>
    <m/>
    <m/>
    <m/>
    <x v="17"/>
    <x v="0"/>
    <x v="1"/>
    <x v="1"/>
    <x v="1"/>
    <x v="1"/>
    <m/>
    <m/>
    <m/>
    <m/>
    <n v="1"/>
    <x v="0"/>
    <x v="157"/>
    <m/>
    <m/>
    <x v="0"/>
    <x v="11"/>
    <x v="1"/>
    <x v="2"/>
    <x v="6"/>
    <x v="0"/>
    <s v="3F/シンク前"/>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大前道仁"/>
    <x v="0"/>
    <x v="0"/>
    <x v="0"/>
  </r>
  <r>
    <s v="小田勇雄"/>
    <x v="1"/>
    <x v="1"/>
    <x v="1"/>
  </r>
  <r>
    <s v="北村優樹"/>
    <x v="1"/>
    <x v="2"/>
    <x v="2"/>
  </r>
  <r>
    <s v="近藤雅人"/>
    <x v="2"/>
    <x v="3"/>
    <x v="0"/>
  </r>
  <r>
    <s v="田中裕一"/>
    <x v="1"/>
    <x v="1"/>
    <x v="1"/>
  </r>
  <r>
    <s v="津田宝加"/>
    <x v="2"/>
    <x v="3"/>
    <x v="0"/>
  </r>
  <r>
    <s v="堂山利奈"/>
    <x v="3"/>
    <x v="4"/>
    <x v="0"/>
  </r>
  <r>
    <s v="直木美佐子"/>
    <x v="2"/>
    <x v="3"/>
    <x v="0"/>
  </r>
  <r>
    <s v="西村穂乃果"/>
    <x v="4"/>
    <x v="5"/>
    <x v="0"/>
  </r>
  <r>
    <s v="橋口千聖"/>
    <x v="2"/>
    <x v="3"/>
    <x v="0"/>
  </r>
  <r>
    <s v="濱西藍伽"/>
    <x v="3"/>
    <x v="4"/>
    <x v="0"/>
  </r>
  <r>
    <s v="藤本洸平"/>
    <x v="1"/>
    <x v="1"/>
    <x v="1"/>
  </r>
  <r>
    <s v="松山丈弘"/>
    <x v="1"/>
    <x v="1"/>
    <x v="1"/>
  </r>
  <r>
    <s v="森尾直浩"/>
    <x v="1"/>
    <x v="2"/>
    <x v="2"/>
  </r>
  <r>
    <s v="矢野恵"/>
    <x v="2"/>
    <x v="3"/>
    <x v="0"/>
  </r>
  <r>
    <s v="山下基宏"/>
    <x v="2"/>
    <x v="3"/>
    <x v="0"/>
  </r>
  <r>
    <s v="吉山勝宏"/>
    <x v="1"/>
    <x v="1"/>
    <x v="3"/>
  </r>
  <r>
    <s v="小柏拓海"/>
    <x v="1"/>
    <x v="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n v="1"/>
    <s v="CFCL"/>
    <x v="0"/>
    <s v="津田宝加"/>
    <s v="特になし"/>
    <x v="0"/>
    <s v="特になし（整理のルールなどは開発内のルールで不便を感じたことはありません）"/>
    <x v="0"/>
    <s v="どれも使ったことがないので、とりあえず使ってみたいと思っています。"/>
    <x v="0"/>
    <s v="特になし"/>
    <x v="0"/>
    <s v="操作マニュアルがあればありがたいです。"/>
    <x v="0"/>
    <m/>
    <x v="0"/>
  </r>
  <r>
    <n v="2"/>
    <s v="CFCL"/>
    <x v="1"/>
    <s v="近藤雅人"/>
    <s v="原料資料等、添付ファイルが重いものがアウトルックに残っているがなかなか消せない。共通サーバーにアップするようにルール化しているが、一部守れていない社員がいる。処方や製造指図書のような重要ファイルが持ち出せる状況になっている。"/>
    <x v="1"/>
    <s v="ルールは作りたいですが、社員が逸脱することの方が多いので、なるべく手間のない仕組みを希望します。"/>
    <x v="1"/>
    <s v="ないです。"/>
    <x v="1"/>
    <s v="パスワード管理、ウイルス対策、情報漏洩"/>
    <x v="1"/>
    <s v="実演で教えていただきたいです。"/>
    <x v="0"/>
    <m/>
    <x v="0"/>
  </r>
  <r>
    <n v="3"/>
    <s v="CFCL"/>
    <x v="2"/>
    <s v="大前"/>
    <s v="部署内では特にありませんが、受注～製造までをエクセル管理ではなくシステムなどで一元管理になるのが理想だと思っています"/>
    <x v="1"/>
    <s v="整理のルール"/>
    <x v="2"/>
    <s v="共同編集について詳しく知りたい。スプレッドシートとどう違うか"/>
    <x v="2"/>
    <s v="ウイルス対策"/>
    <x v="1"/>
    <s v="中土主任を通さずにそれぞれがITサポートを受けられる環境"/>
    <x v="1"/>
    <s v="チャットワークも人によって有料、無料プランのバラツキがあるので、Microsoft 365で同じチャットツールが使えるのは良いと思います。"/>
    <x v="1"/>
  </r>
  <r>
    <n v="4"/>
    <s v="CFCL"/>
    <x v="3"/>
    <s v="松山丈弘"/>
    <s v="発注書や見積書の保管が個人でバラバラで管理出来ていない。"/>
    <x v="2"/>
    <s v="保存場所の統一化や業者毎のフォルダ分け"/>
    <x v="1"/>
    <m/>
    <x v="1"/>
    <m/>
    <x v="0"/>
    <m/>
    <x v="2"/>
    <s v="現場で使用しているパソコンのスペックが良くないので固まったり再接続の回数が多く作業に時間を要している。"/>
    <x v="2"/>
  </r>
  <r>
    <n v="5"/>
    <s v="CFCL"/>
    <x v="2"/>
    <s v="酒井絢音"/>
    <s v="特になし"/>
    <x v="0"/>
    <s v="特になし"/>
    <x v="0"/>
    <s v="特になし"/>
    <x v="1"/>
    <s v="特になし"/>
    <x v="0"/>
    <s v="特になし"/>
    <x v="2"/>
    <s v="業務が１人作業のため使いづらい等の意見が出ませんでした。何卒よろしくお願いいたします。"/>
    <x v="0"/>
  </r>
  <r>
    <n v="6"/>
    <s v="CFCL"/>
    <x v="3"/>
    <s v="藤本洸平"/>
    <s v="保存場所がバラバラ"/>
    <x v="2"/>
    <s v="なし"/>
    <x v="0"/>
    <s v="なし"/>
    <x v="1"/>
    <s v="なし"/>
    <x v="0"/>
    <s v="社内、取引先へのメールマナーがわからない。"/>
    <x v="1"/>
    <s v="パソコン本体が重たい。"/>
    <x v="2"/>
  </r>
  <r>
    <n v="7"/>
    <s v="CFCL"/>
    <x v="3"/>
    <s v="田中裕一"/>
    <s v="何がどこにあって、どれが最新か分からない・分かりづらい。"/>
    <x v="2"/>
    <m/>
    <x v="0"/>
    <s v="使い方がExcelしか分かりません。"/>
    <x v="0"/>
    <m/>
    <x v="0"/>
    <m/>
    <x v="2"/>
    <m/>
    <x v="0"/>
  </r>
  <r>
    <n v="8"/>
    <s v="CFCL"/>
    <x v="3"/>
    <s v="東口智一"/>
    <s v="主に06コスメファクトリー(08Ｑ美共有も）フォルダを使用しているが、ファイルの保存場所に明確なルールが無く探すのに時間がかかり、検索しても重く見つからない場合がある。"/>
    <x v="1"/>
    <s v="どのようなルールが適しているかわからないのでインフィニティさんにサポートしてもらいたい。過去の使用していないファイル、データなどもまとめるか、削除したい。"/>
    <x v="1"/>
    <s v="Microsoft 365 公式サイトを確認したが、いまいちピンとこない。現場に常駐しているのでデスクワークが少ないが、理解して使いこなせられるようにはなりたい。"/>
    <x v="2"/>
    <s v="ここ最近AppleやＳＢＩ証券を名乗る迷惑メールがくることがあり、無視しているが_x000a_来ないように出来ないか。"/>
    <x v="0"/>
    <s v="マニュアルがあれば空き時間や、家でも確認できるので欲しい。_x000a_ＩＴ関係の知識が全くないので基礎的な内容から研修して頂きたいです。"/>
    <x v="0"/>
    <s v="ＩＴ関係の知識がないのでこれを機に向上出来る機会にしたいので、研修などには_x000a_参加していきたい。"/>
    <x v="1"/>
  </r>
  <r>
    <n v="9"/>
    <s v="CFCL"/>
    <x v="3"/>
    <s v="小田勇雄"/>
    <s v="保存場所が統一されておらず、各自保管しているものもあり皆が共有できていない。不必要なフォルダもあるので削除したい"/>
    <x v="1"/>
    <s v="整理のルールがあれば教えて欲しいです。"/>
    <x v="2"/>
    <s v="MS365自体がよくわからないです。すみません。"/>
    <x v="0"/>
    <s v="PCのデスクトップ上で保管してしまっているので、正式な保管場所や方法を教えて欲しい。"/>
    <x v="1"/>
    <s v="PCの操作マニュアル、表作成、計算式など基本的なことを教えてもらえる場があれば助かります。"/>
    <x v="0"/>
    <m/>
    <x v="0"/>
  </r>
  <r>
    <n v="10"/>
    <s v="CFCL"/>
    <x v="3"/>
    <s v="小田晶彦"/>
    <s v="特になし"/>
    <x v="0"/>
    <s v="ﾊﾞﾙｸﾒﾝﾊﾞｰだけ使えるフォルダがあればよい。整理などは少しづつしている。"/>
    <x v="1"/>
    <s v="MS365自体よく知らない"/>
    <x v="0"/>
    <s v="迷惑メールがよく来るので来ないようにしてほしい。削除がめんどくさい。"/>
    <x v="0"/>
    <s v="製造中になるので実演や研修は製造日程を考えないといけないので難しい。質問ができすぐに答えてくれる人がいてくれると助かる。"/>
    <x v="1"/>
    <s v="現状問題なのは製造中空いた時間にパソコン作業する際フリーズや動作が遅くなるのが一番不便を感じる。TPIXも動作が鈍い時があるので改善してほしい。_x000a_どんなふうに変わるのか分からないので、フォルダやデータ管理を個々で管理していきましょうと言われても、変わることによってどういう事をしていいか分からない。_x000a_なので色々と質問されても分からないので、後々こうしたいとかは出てくる。_x000a_"/>
    <x v="2"/>
  </r>
  <r>
    <n v="11"/>
    <s v="CFCL"/>
    <x v="3"/>
    <s v="阿部俊樹"/>
    <s v="今のところありません。"/>
    <x v="0"/>
    <s v="まだ思いつきません。"/>
    <x v="0"/>
    <s v="特にありません。"/>
    <x v="1"/>
    <s v="特にありません。"/>
    <x v="0"/>
    <s v="操作マニュアルが欲しいです。"/>
    <x v="0"/>
    <m/>
    <x v="0"/>
  </r>
  <r>
    <n v="12"/>
    <s v="CFCL"/>
    <x v="1"/>
    <s v="西村"/>
    <s v="使用していないファイルがたくさんあり、必要なファイルやデータが探しづらい"/>
    <x v="1"/>
    <s v="特にありません"/>
    <x v="0"/>
    <s v="特にありません"/>
    <x v="1"/>
    <s v="特にありません"/>
    <x v="0"/>
    <s v="特にありません"/>
    <x v="2"/>
    <s v="特にありません"/>
    <x v="0"/>
  </r>
  <r>
    <n v="13"/>
    <s v="CFCL"/>
    <x v="3"/>
    <s v="外間裕貴人"/>
    <s v="特になし"/>
    <x v="0"/>
    <s v="特になし"/>
    <x v="0"/>
    <s v="分かりません"/>
    <x v="1"/>
    <s v="最近迷惑メールが来るようになっているので出来ればなくしたいです。"/>
    <x v="0"/>
    <s v="特になし"/>
    <x v="2"/>
    <s v="軽いフリーズをすることが結構あるので回線がもっといい環境になれば嬉しいです。"/>
    <x v="2"/>
  </r>
  <r>
    <n v="14"/>
    <s v="CFCL"/>
    <x v="0"/>
    <s v="矢野恵"/>
    <s v="共有フォルダ内のフォルダの移動・削除に権限を設けてほしい（パソコンの動きが遅かったり、手元が少し狂ったりで自分の意思に反して簡単にフォルダが移動されてしまうため）"/>
    <x v="1"/>
    <m/>
    <x v="0"/>
    <m/>
    <x v="1"/>
    <s v="急な休みを取らなければいけない時などに遠隔でシンクライアントにログイン出来たら便利だと感じるが、セキュリティ上難しいのか。"/>
    <x v="1"/>
    <s v="Excelのマクロの組み方?を教えてほしい（処方を組んだら、自動的に全成分表が出来上がる仕組みが欲しい）"/>
    <x v="0"/>
    <m/>
    <x v="0"/>
  </r>
  <r>
    <n v="15"/>
    <s v="CFCL"/>
    <x v="3"/>
    <s v="松井敬視"/>
    <s v="特になし"/>
    <x v="0"/>
    <s v="特になし"/>
    <x v="0"/>
    <s v="特になし"/>
    <x v="1"/>
    <s v="特になし"/>
    <x v="0"/>
    <s v="特になし"/>
    <x v="2"/>
    <s v="プレDXによってサーバー内がどのように変わるのか知りたいと思います。"/>
    <x v="2"/>
  </r>
  <r>
    <n v="16"/>
    <s v="CFCL"/>
    <x v="3"/>
    <s v="松下賢"/>
    <s v="どこに技術製造部のフォルダがあるのか知らず、まだ活用まで至っていない為、不安点は特にありません。"/>
    <x v="2"/>
    <s v="他部署が触れないようにする。"/>
    <x v="1"/>
    <s v="使用してから色々要望が生まれるかもわかりませんが現時点ではありません。"/>
    <x v="0"/>
    <s v="特にありません。"/>
    <x v="0"/>
    <s v="シンコーでの作業内容で必要なスキルについては、部署ごとに集まって実演で教育してほしいです。_x000a_OneDrive（個人用クラウドストレージ）、SharePoint（チーム用共有フォルダ）_x000a_Teams（チャット・会議）等"/>
    <x v="0"/>
    <s v="回線が遅い（フリーズが多い）気がするので少しでもスムーズになってほしいと思います。"/>
    <x v="2"/>
  </r>
  <r>
    <n v="17"/>
    <s v="CFCL"/>
    <x v="1"/>
    <s v="寺石歩実"/>
    <s v="お客様が会社名を変更された際、データを探すのに時間がかかります。最新の会社名で登録されているものもあれば昔の会社名のまま保管されているデータもあり、戸惑うことがあります。"/>
    <x v="1"/>
    <m/>
    <x v="0"/>
    <m/>
    <x v="1"/>
    <m/>
    <x v="0"/>
    <s v="いつでも見れる操作マニュアルがあればうれしいです。"/>
    <x v="0"/>
    <m/>
    <x v="0"/>
  </r>
  <r>
    <n v="18"/>
    <s v="CFCL"/>
    <x v="0"/>
    <s v="山下基宏"/>
    <s v="データ管理、保管で困ることはございません。エクセルが固まってデータが消えるぐらいです。"/>
    <x v="2"/>
    <s v="更新履歴の管理"/>
    <x v="1"/>
    <s v="権限管理、セキュリティーの強化（他者による処方などの書き込み、操作をやめる。データ持ち出しさせない。）"/>
    <x v="2"/>
    <s v="情報漏洩。処方、指図書をUSB等、外部メディアで持ち出しされる。"/>
    <x v="1"/>
    <s v="質問しやすい環境"/>
    <x v="1"/>
    <s v="簡易になればうれしいです。"/>
    <x v="2"/>
  </r>
  <r>
    <n v="19"/>
    <s v="CFCL"/>
    <x v="0"/>
    <s v="直木美佐子"/>
    <s v="USBやメールでデータの持ち出しが簡単にできてしまうことが不安です。"/>
    <x v="1"/>
    <s v="ISOに関わる書類で、REV.が更新された時のファイルの取り扱い（別ファイルにするのかどうか）"/>
    <x v="1"/>
    <s v="現段階でMS365がどんなものかがわからないので、特にありません。"/>
    <x v="0"/>
    <s v="ウイルス対策、情報漏洩"/>
    <x v="1"/>
    <s v="わからなくなった時にすぐに質問できる環境があると嬉しいです。"/>
    <x v="1"/>
    <s v="全体的にITスキルが上がり、個人差が少しでも埋まれば、もう少しスムーズな運用が可能になるのかな、と思ったりすることがあります。"/>
    <x v="1"/>
  </r>
  <r>
    <n v="20"/>
    <s v="CFCL"/>
    <x v="0"/>
    <s v="橋口千聖"/>
    <s v="慣れるまでファイルの保管場所が分からなくなることが多かった"/>
    <x v="2"/>
    <s v="マニュアルがない"/>
    <x v="2"/>
    <m/>
    <x v="1"/>
    <m/>
    <x v="0"/>
    <m/>
    <x v="2"/>
    <m/>
    <x v="0"/>
  </r>
  <r>
    <n v="21"/>
    <s v="CFCL"/>
    <x v="0"/>
    <s v="宗近倶枝"/>
    <s v="不要なデータを削除するなど仕分けや整理の時間がとりにくいです。"/>
    <x v="1"/>
    <s v="書類名の付け方のルールも希望します。"/>
    <x v="1"/>
    <s v="クラウド上の操作はネット環境の調子が良くない時も問題ないかどうかは気になります。"/>
    <x v="2"/>
    <s v="パスワード管理、アクセス権限"/>
    <x v="1"/>
    <s v="質問しやすい環境はほしいです。"/>
    <x v="1"/>
    <s v="操作が複雑にならない、工程が増えないことが希望です。"/>
    <x v="2"/>
  </r>
  <r>
    <n v="22"/>
    <s v="CFCL"/>
    <x v="2"/>
    <s v="中土陽介"/>
    <s v="ファイルの保存先や管理方法が人によってバラバラになっている。_x000a_どれが最新ファイルか分からなくなることがあり、特に複数人で作業する時に不安を感じる。_x000a_また、退職や異動があると引き継ぎ漏れで大事なデータが見つからないケースもある。"/>
    <x v="1"/>
    <s v="部署単位での共通フォルダ構成ルールを決めて整理をしたい。_x000a_更新履歴や編集者が分かる仕組みを使って、上書きミスや「誰が変えたか分からない問題」を減らしたい。_x000a_権限管理を部署ごと・役職ごとに明確にしたいが、シンプルなフォルダ構成と権限にしたい。"/>
    <x v="1"/>
    <s v="OneDriveとSharePointの使い分けがまだ曖昧で、どこに何を保存すればいいのか標準ルールがほしい。_x000a_共同編集やリンク共有を使ったことがないメンバーが多いため、基本操作を部署内で学べる機会が必要だと思う。"/>
    <x v="2"/>
    <s v="外部へのメール送信やデータ共有で情報漏えいしないか不安だが、情報漏えいすると雇用契約上 個人へのリスクがあることを周知したい。_x000a_社外からのアクセスやウイルス感染リスクなど、何をどう防げるのか社員全体で意識を高める必要を感じる。"/>
    <x v="1"/>
    <s v="MS365の基本操作（OneDrive、SharePoint、Teamsなど）を実演ベースで学ぶ研修がほしい。_x000a_部署内で聞けるように少人数での勉強会も検討したい。_x000a_また、IT用語が難しいく感じるので、初心者でも理解できる資料やマニュアルを用意してほしい。"/>
    <x v="0"/>
    <m/>
    <x v="0"/>
  </r>
  <r>
    <n v="23"/>
    <s v="本社"/>
    <x v="4"/>
    <s v="馬場阿弥子"/>
    <s v="保存場所の把握に困るのと、送付側受け取り側でデータを各自データ保存のため、最新版が把握しずらくなる（クライアント様との共有資料等）・エクセル等のデータ開きっぱなしで使用できない　等"/>
    <x v="1"/>
    <s v="現在も部署や課のフォルダはあるが、使用ルールが不明で、生産管理の名前のフォルダでも、他部署と共有で使用するフォルダだったり、誰と使ってるのかわからないし、似た名前で複数存在したら混乱する_x000a__x000a_誰と共有すべきデータか（課内？自分だけ？全体？）、共有しないのか等で、保存場所をルール化できたら、少し整理がつくのかなと感じます。"/>
    <x v="1"/>
    <s v="従来のフォルダ運用と、OneDriveとの使い分けは不安_x000a_共同編集、権限管理は誰がどこまで制限できたり、クライアント様との共有なども可能か知りたい"/>
    <x v="2"/>
    <s v="迷惑メールが一定数あったり、必要なメールがSPAM認定されてるので、エラーとかで届かない等にならないかは気になる"/>
    <x v="1"/>
    <s v="各部署でどこまでを管理範囲するのか、そのためにどんなITスキルが必要なのかを先ず教えて欲しいです。_x000a_範囲が見えたことで、理解不足の度合いが具体的になると思うので、質問もしやすくなると思います。_x000a_現時点では求められてることがわかってないので、質問することが難しいです。"/>
    <x v="0"/>
    <s v="今すぐでなぐの要望ではないですが、会社を大きくしていきたい。していく。という前提の上で、_x000a_常駐でなくて外部委託でもいいと思うので、先ず情報システム部の専任が欲しいです。_x000a_会社が大きくなれば、インフラやシステム保守は今後重要度は増すので、兼任では厳しいタイミングが来ると思うのと、サーバリプレイスで、クラウド等もうまく利用して仕事しやすい環境を目指す上で、社員や顧客の個人情報や、クライアント様が絡むような情報漏洩（イベント、商品企画・発売やコラボ情報等）を防ぐ環境作りを希望します。"/>
    <x v="1"/>
  </r>
  <r>
    <n v="24"/>
    <s v="本社"/>
    <x v="3"/>
    <s v="池田悦彰"/>
    <s v="どこに何が保管されているのか、ツリー図のようなものがあれば良い気がしました。"/>
    <x v="1"/>
    <s v="全社としてのルール、部署としてのルール、両方もしくはいずれかを決めればそれに沿えば良いのでわかりやすいです。"/>
    <x v="1"/>
    <s v="知識が無いためマニュアルが欲しいです。"/>
    <x v="0"/>
    <m/>
    <x v="0"/>
    <s v="一度社内説明会のようなものがあれば嬉しい気がしました。後は覚えるためにも極力マニュアルで各個人がやってみて、行きづまってから相談するようにした方が良いと感じます。"/>
    <x v="0"/>
    <m/>
    <x v="0"/>
  </r>
  <r>
    <n v="25"/>
    <s v="本社"/>
    <x v="4"/>
    <s v="鳥山一洋"/>
    <s v="不要なファイル、フォルダ、ショートカット等が散見される状態_x000a_要不要分からず、誰も手をつけることができていない_x000a_似たようなフォルダ、ファイルなども見受けられ、無駄なデータが多い"/>
    <x v="1"/>
    <s v="フォルダ作成のルール作り_x000a_個々での運用に任せきりになっており、収集がつかないので_x000a_全社員統一のルールを設定し、無駄を省く_x000a_1年以上更新されていないファイルなど抽出し、不要フォルダへ移すようなシステム"/>
    <x v="1"/>
    <s v="全く知見が無いので、基本の使い方～応用まで教えていただきたい_x000a_大畑様が仰っていた、社内コミュニケーションツールとしての活用方法をレクチャーいただきたい"/>
    <x v="2"/>
    <s v="社内でのセキュリティ意識、知識の維持向上のためのトレーニング方法_x000a_弊社にあったセキュリティ導入の範囲を知りたい_x000a_Lanscopeを使った具体的な管理方法_x000a_PCやAPなどに社内機器ではないものを接続できてしまうため_x000a_それをシャットアウトできるようなセキュリティ"/>
    <x v="1"/>
    <s v="全体的な知識の底上げの研修_x000a_・クライアントPCからサーバーに接続してサーバー内でPC業務を行っているなどの基礎知識_x000a_サーバーに負荷をかけない日常業務の進め方の研修_x000a_・メールに極力データを添付しない、Excelなど重くならないやり方など"/>
    <x v="0"/>
    <s v="専門的な内容多く、とっつきにくい印象をもたれがちではあるものの_x000a_サーバーは全員が使用しており、サーバーに接続しないとPC業務が行えないので_x000a_全員最低限の知識と、決められた運用守りより良いサーバー環境での業務ができるよう意識をもって取り組んでいきたいと思います"/>
    <x v="1"/>
  </r>
  <r>
    <n v="26"/>
    <s v="本社"/>
    <x v="4"/>
    <s v="徳永彩花"/>
    <s v="同じ案件でも名前がバラバラで複数あったりrejectしきれていない。クライアント名が変わった際変更しきれていなかったり一部だけが変わっていたりする。"/>
    <x v="1"/>
    <s v="見積保管などフォルダ作成時クライアント名、製品名の頭文字読み方を入れているが新規は読み方が共有されず字面からの予測でしか作れていないのでローマ字の新規案件は読み方を教えてほしい。"/>
    <x v="1"/>
    <s v="やってみないとわからないのでわからないがマニュアルやルールは明確にしてほしい。"/>
    <x v="2"/>
    <s v="最近迷惑メールが来る頻度が増えている。"/>
    <x v="0"/>
    <s v="マニュアルが欲しい。そのうえで質問しやすい環境がほしい。"/>
    <x v="0"/>
    <s v="定期的にパソコンのフリーズがあるので安定してほしい。_x000a_工程が複雑にならず、ダブった作業は増えないでほしい。_x000a_簡易になれば嬉しい。"/>
    <x v="2"/>
  </r>
  <r>
    <n v="27"/>
    <s v="本社"/>
    <x v="4"/>
    <s v="中島和哉"/>
    <s v="・ファイルの階層が多い為、探しにくい(多くても5階層までが理想)_x000a_・ファイル名に対して保管されているデータ名がマッチしないものがある_x000a_・フォルダ名に変更が必要となる場合のルールが決まっていない為、例えばクライアントに変更があった場合に、旧フォルダ名を残したままにし新たなフォルダを作成するのか、対象のフォルダの名称を直接変更するのかなど対応方法が明確になっていない_x000a_・不要なデータらしきものが結構ある"/>
    <x v="1"/>
    <s v="・フォルダ構成のルールがほしい(階層単位での一律ルール化は使いにくい可能性がある為、条件別のフォルダ構成のパターン化)_x000a_年月日で区別する必要のない場合、1階層目(部署)、2階層目(業務内容)、3階層目(対象ファイル)など_x000a_年度別でのデータがある場合、1階層目(部署)、2階層目(業務内容)、3階層目(年度)、4階層目(対象ファイル)など_x000a_月日別でのデータがある場合、1階層目(部署)、2階層目(業務内容)、3階層目(年度)、4～5階層目(月別、日別の対象ファイル)など_x000a_クライアント毎のデータがある場合、1階層目(部署)、2階層目(業務内容)、3階層目(クライアントの頭文字)、4階層目(クライアント)、5階層目(対象データ)など"/>
    <x v="1"/>
    <s v="・MS365のExcel(クラウド版)の基本操作_x000a_・OneDriveやSharePointの基本操作及び使い分け"/>
    <x v="2"/>
    <s v="具体的なNG行為とNG行為を行った場合にどのようなリスクがあるのか_x000a_事例を用いた詳細が知りたいです。"/>
    <x v="1"/>
    <s v="・MS365の基本操作の実演と初心者でもわかりやすいマニュアルがほしいです"/>
    <x v="0"/>
    <m/>
    <x v="0"/>
  </r>
  <r>
    <n v="28"/>
    <s v="本社"/>
    <x v="3"/>
    <s v="内藤恭介"/>
    <s v="保存場所がバラバラで整理されていない為、探しにくい。昔のデータは不要か判断できない為、追加する一方で増え続けていることも原因と思われる。整理できれば要領の負担軽減につながると思う。"/>
    <x v="1"/>
    <s v="今は誰でも新規ファイル、フォルダををつくれるが、共有のフォルダは各長が許可した場合のみ追加できるようにし、その他は個人ファイルにとどめた方が良い。_x000a_"/>
    <x v="1"/>
    <s v="特になし"/>
    <x v="1"/>
    <s v="特になし"/>
    <x v="0"/>
    <s v="製造の新入社員はエクセル、ワードのスキルがない人が多い。上司が直接教える以外のサポート環境があれば有難い。"/>
    <x v="0"/>
    <s v="迷惑メールが増えている。今でもフリーズすることがある。"/>
    <x v="2"/>
  </r>
  <r>
    <n v="29"/>
    <s v="本社"/>
    <x v="4"/>
    <s v="島田智章"/>
    <s v="部署内では特になし。"/>
    <x v="0"/>
    <s v="更新履歴の管理。"/>
    <x v="1"/>
    <s v="調べてもピンとこなかったのですが、使ってみたいです。"/>
    <x v="0"/>
    <s v="ウイルス対策と迷惑メールはなくしてほしい"/>
    <x v="1"/>
    <s v="質問しやすい環境と操作マニュアルは欲しい"/>
    <x v="0"/>
    <s v="ルールなど決まった際はみんながきちんとルール通りにしていけることを希望です"/>
    <x v="1"/>
  </r>
  <r>
    <n v="30"/>
    <s v="本社"/>
    <x v="4"/>
    <s v="東香里"/>
    <s v="見積書の保管管理でショートカットを作成し管理を行っていたがウイルス騒動時に全てショートカットが外れてしまった事があった為、また突然消えるのではと不安を感じる。"/>
    <x v="1"/>
    <s v="企画で使用していたフォルダを生産管理(一部で)でも使用している為、保管場所の統一を行いたい。"/>
    <x v="1"/>
    <s v="社内で使用についてルール化すると思われる為現時点での不安は特になし。"/>
    <x v="0"/>
    <s v="毎日迷惑メールが来る。(2～3件)"/>
    <x v="0"/>
    <s v="気になる事があればどこの何へ質問をすれば良いか窓口が明確にあると助かる。"/>
    <x v="1"/>
    <s v="ウイルス騒動以降ずっとメールの振り分けがおかしい(全体の設定？をやりなおすと聞いていたが何も始まらず、振り分けを一から設定しなおすべきか知りたい)。メールタイトルに「～が次の人の代理で送信しました」というのが出ないようにして欲しい。デスクトップのアイコンが頻度は低いがシャッフルされてしまう現象を止めて欲しい。"/>
    <x v="2"/>
  </r>
  <r>
    <n v="31"/>
    <s v="本社"/>
    <x v="5"/>
    <s v="濱西藍伽"/>
    <s v="何をどう管理したらいいか分からない"/>
    <x v="2"/>
    <s v="整理のルール"/>
    <x v="2"/>
    <s v="使い分け、使い方"/>
    <x v="0"/>
    <s v="アクセス権限、パスワード管理"/>
    <x v="1"/>
    <s v="操作マニュアル"/>
    <x v="0"/>
    <s v="特にございません。"/>
    <x v="0"/>
  </r>
  <r>
    <n v="32"/>
    <s v="本社"/>
    <x v="5"/>
    <s v="杉尾瑞樹"/>
    <s v="入社したばかりなので現在は問題なく進めれています。_x000a_昔にパソコンが飛びデータが消えたという話を聞いたのでバックアップなどは一応あるのか知っておきたいです。"/>
    <x v="2"/>
    <s v="整理のルール、フォルダ構成、更新履歴の管理が明確にあれば助かります。"/>
    <x v="1"/>
    <s v="OneDriveの接続環境(前職で使用した際に接続がうまくいかないパソコンがあったため)"/>
    <x v="2"/>
    <s v="パスワード管理について(今後MS３６５で使用する場合各自のパスワードになるのか、現在自身のoutlockなどパスワードを知らないため)"/>
    <x v="1"/>
    <s v="質問しやすい環境があれば嬉しいです。"/>
    <x v="1"/>
    <m/>
    <x v="0"/>
  </r>
  <r>
    <n v="33"/>
    <s v="本社"/>
    <x v="1"/>
    <s v="野村秀太朗"/>
    <s v="ネット発注等の関係で新規ソフトのインストールを行いたいが、現状のシステムでは困難なこと"/>
    <x v="1"/>
    <s v="新規ソフトのインストールを行うための手順をルール化し明確にしてほしい"/>
    <x v="1"/>
    <m/>
    <x v="1"/>
    <s v="迷惑メールが多量に届くためブロックする方法や対策について相談を行いたい"/>
    <x v="0"/>
    <s v="社内のネットワーク関連について質問できる、担当者や部署を定めてほしい"/>
    <x v="0"/>
    <m/>
    <x v="0"/>
  </r>
  <r>
    <n v="34"/>
    <s v="本社"/>
    <x v="6"/>
    <s v="丸中都"/>
    <s v="フォルダの種類が多く保存場所も統一されてないので、検索するのに時間が要する。_x000a_同じようなデータが点在してるので、どれが正しいデータなのか不明である。"/>
    <x v="1"/>
    <s v="他部署と共有で使用してるフォルダもあるので、全体的なルールが必要かと思われる。"/>
    <x v="1"/>
    <s v="ネット環境次第で動作が左右されるのかが気になる。"/>
    <x v="2"/>
    <s v="ウイルス対策が強化されるのか心配。"/>
    <x v="1"/>
    <s v="MS365をネットで調べるだけでは知識が身につかないので、実務ベースでの研修をしていただきたい。パソコン用語が難しいので理解できるような資料もほしい。_x000a_"/>
    <x v="0"/>
    <s v="特になし。"/>
    <x v="0"/>
  </r>
  <r>
    <n v="35"/>
    <s v="本社"/>
    <x v="6"/>
    <s v="図書杏子"/>
    <s v="管理部内でも個人別で保存場所や保存方法がバラバラなので部署内共有フォルダを整理し誰が見ても分かりやすく引継ぎなどスムーズに行えるようにしたい。しかし誰でも簡単にアクセスできる環境になると不注意で削除や書き換えしてしまう心配もある。"/>
    <x v="1"/>
    <s v="部署内の他の人のフォルダを把握したいが削除上書きのミスが心配なので何かセキュリティーあると安心です。現状個人プレーで保管管理しているので部署内でルールを決めて共有したい。"/>
    <x v="1"/>
    <s v="MS365はインターネット回線が繋がらなくなった場合仕事がストップしてしうか不安です。必要最小限のファイルをローカルに保管できるとありがたいです。"/>
    <x v="2"/>
    <s v="今まで通り管理部のフォルダは他部署からアクセスできない設定にしていただきたいです。"/>
    <x v="1"/>
    <s v="ＩＴに疎いので分からない時に気軽に確認できるコールセンターやチャット相談などがあれば嬉しいです。"/>
    <x v="1"/>
    <s v="ネットへアクセスできない時の日々の業務が滞ることが心配なので最悪の場合、電話・ＦＡＸ・手書き伝票で対応出来るようにローカルで作業できる保険があると安心です。"/>
    <x v="1"/>
  </r>
  <r>
    <n v="36"/>
    <s v="本社"/>
    <x v="6"/>
    <s v="越智絵美子"/>
    <s v="共有フォルダとは別にデスクトップにも保存してますが、前サーバーが感染した時消えました。私のPCはローカルにも保存できないので少し不安です"/>
    <x v="1"/>
    <s v="特にありません"/>
    <x v="0"/>
    <s v="MS365をどう使うか理解できてなく申し訳ないのですが、ツールが増えて各個人が好きなように使いだすと確認作業が増えて見逃しが起こらないか気になります。使用者によって有料・無料の区別があると認識がずれたり、受けれるサポートが違ったりしないかどうか、データの保存に制限があるのかでしょうか。ずれてる話だったらすみません"/>
    <x v="2"/>
    <s v="こうした方がよいとかあれば教えてほしいです"/>
    <x v="2"/>
    <s v="いつでも質問できる環境があると嬉しいです。Chatなどでもありがたいですが伝わりにくかったり説明に時間がかかるので電話でも繋がるとさらに嬉しいです"/>
    <x v="0"/>
    <s v="電子化が進んでるので今より電子データの容量が増えるのが心配です。ネットが繋がらなかったときに予備の回線というか別回線が使えたらなーと思います。すみません。"/>
    <x v="1"/>
  </r>
  <r>
    <n v="37"/>
    <s v="本社"/>
    <x v="4"/>
    <s v="北村"/>
    <s v="特になし"/>
    <x v="0"/>
    <s v="特になし"/>
    <x v="0"/>
    <s v="実際に触ってみないと何とも言えない"/>
    <x v="0"/>
    <s v="特になし"/>
    <x v="0"/>
    <s v="操作マニュアルがあれば非常にありがたいです"/>
    <x v="0"/>
    <s v="特になし"/>
    <x v="0"/>
  </r>
  <r>
    <n v="38"/>
    <s v="本社"/>
    <x v="3"/>
    <s v="大川泰弘"/>
    <s v="必要なファイルと不必要なファイルがどれなのか考えるときがあります"/>
    <x v="1"/>
    <s v="パソコン自体がくわしくありませんので、どうしたらいいのかがわかりません。"/>
    <x v="2"/>
    <s v="まずMS３６５を詳しく理解したいです。"/>
    <x v="2"/>
    <s v="特にありません。"/>
    <x v="0"/>
    <s v="例であげていただいてるように実演や勉強会のようなもので教えてほしい。"/>
    <x v="0"/>
    <s v="特にはありません。"/>
    <x v="0"/>
  </r>
  <r>
    <n v="39"/>
    <s v="本社"/>
    <x v="3"/>
    <s v="伊澤浩司"/>
    <s v="ファイルの保存先が複雑である。製造で必要な情報が製造用以外にある。"/>
    <x v="1"/>
    <s v="パソコンが得意では無いので希望がぱっと浮かびませんが、出来るだけ簡単にして欲しいです。"/>
    <x v="2"/>
    <s v="日々製造がメインで事務所にいる人と違いパソコンは夕方にしか使用しません。よってMS365が何かもわかりませんので不安だらけです。"/>
    <x v="0"/>
    <s v="迷惑メール(野村證券、アマゾン等)よく来ます。"/>
    <x v="0"/>
    <s v="液体製造は人員が不足の為、日々製造で手一杯です。夕方にパソコンを使用するのでわからない事があれば電話ですぐに対応して欲しい。"/>
    <x v="1"/>
    <s v="管理のリーダーはパソコンが強い人が行った方が良いと思います。"/>
    <x v="2"/>
  </r>
  <r>
    <n v="40"/>
    <s v="本社"/>
    <x v="4"/>
    <s v="森尾直浩"/>
    <s v="保存場所がバラバラで検索に苦労する"/>
    <x v="2"/>
    <s v="更新履歴の管理"/>
    <x v="1"/>
    <m/>
    <x v="1"/>
    <s v="ウイルス対策"/>
    <x v="1"/>
    <s v="操作マニュアルが欲しい"/>
    <x v="0"/>
    <m/>
    <x v="0"/>
  </r>
  <r>
    <n v="41"/>
    <s v="本社"/>
    <x v="1"/>
    <s v="井上幸哉"/>
    <s v="データがどこにあるか分からない。_x000a_たぶん昔と今で作業者や作業部署が違うので、点在していることが原因だと思う。_x000a_平たく言うとフォルダ構成が無茶苦茶_x000a__x000a_品保のフォルダを作って欲しい。_x000a_食添とコスメの品保のフォルダを分けて欲しい。_x000a__x000a_各自が自由に使えるフォルダが欲しい_x000a_（スキャンフォルダの感じ）_x000a__x000a_デバイス（プリンタ―）が多いので、「どれ？」になる。_x000a_ない分は削除して欲しい。全部あるならごめんなさい。_x000a__x000a_記録しているデータの目的と実際（データ加工）に必要としている内容が合ってない_x000a__x000a_食添の試験成績書の作成関係の基準があいまい過ぎて困っている。_x000a_台帳は、商品名⇒出荷先で検索すると見つけやすいが、試験成績書は商品名と出荷先名が並列であるので探すことが難しい（慣れはした）。_x000a_"/>
    <x v="1"/>
    <s v="似た名称のフォルダやファイルが多く「どれ？」になる。_x000a_規格書も「自社FM」と「他社FM」と「食添の購入原料の規格書」「コスメの購入原料の規格書」_x000a_のように複数ありそれぞれ点在している。_x000a_出来れば、発行した規格書、SDS、試験成績書系と、購入原料の規格書で分けて欲しい_x000a_「01食添_規格書_自社FM_250708_第1版.xlsx」のような分けかたをしたい。_x000a__x000a_品目マスタ的なもの_x000a_品目コードと絡めて書類を作る習慣化_x000a__x000a_食添の製造が在庫管理をどうしているか存じませんが、注文がきた⇒入力⇒製品在庫のチェック⇒予定在庫から引く⇒足りない場合は製造するので、原材料のチェック⇒原材料の発注⇒入荷したら原材料のチェック⇒・・・_x000a_人の手をかけすぎているように思う。_x000a_入力までしたら、何とかして欲しい。_x000a__x000a_データを蓄積するのはいいが、分析や解析ができていない。簡単に出来たらいい。"/>
    <x v="1"/>
    <s v="MSのOneDriveなど使い方を知らない。_x000a_昔、Googleのスプレッドシートを使ったことはあるが、いまいちしっくりこなかった記憶がある。_x000a_MSがサービスを止めるってなった時、どうします？_x000a__x000a_"/>
    <x v="2"/>
    <m/>
    <x v="0"/>
    <s v="エクセルのVBAを教えて欲しい（独学の限界を感じてます）。_x000a_"/>
    <x v="0"/>
    <s v="シンクライアントを使わないなら、PCのスペックを上げて欲しい。_x000a_（ラベル屋さん的なアプリを使うことがあるのですが、GPUとかって高い方がいいですか？）_x000a__x000a_サーバーに付随して思ったことですが、_x000a_当社のHPに、規格書やSDSを載せれる物だけ載せれば、問い合わせ対応が減ると思う（営業や付随部署の負担軽減目的）。_x000a__x000a_調味料製剤のご要望承ります。みたいな物があればいいと思う（売上アップ目的）。"/>
    <x v="1"/>
  </r>
  <r>
    <n v="42"/>
    <s v="東京"/>
    <x v="7"/>
    <s v="南光彦"/>
    <m/>
    <x v="0"/>
    <m/>
    <x v="0"/>
    <m/>
    <x v="1"/>
    <m/>
    <x v="0"/>
    <m/>
    <x v="2"/>
    <s v="商談時や移動時にVPN接続をしなければ共有フォルダなど見られず、よりクイックにスマホやPCから閲覧・操作をしたい。_x000a_新幹線移動が多く、電波が悪い時にローカルで作業できそれがサーバーと紐づけると良い。_x000a_スマホである程度のメールチェックなどしたいが、全て入ると量が多すぎて困る。現在チャットなどは保存機能を活用。_x000a_メールもアプリで管理できると。。"/>
    <x v="1"/>
  </r>
  <r>
    <n v="43"/>
    <s v="東京"/>
    <x v="7"/>
    <s v="橋本悠司"/>
    <m/>
    <x v="0"/>
    <m/>
    <x v="0"/>
    <m/>
    <x v="1"/>
    <s v="サーバーやアプリに繋がらないなどの時の簡易トラブル対処マニュアル作成"/>
    <x v="1"/>
    <s v="IT、セキュリティー、MS365などのリテラシーを高める勉強会"/>
    <x v="0"/>
    <s v="サーバーや回線等による作業待ち時間を減らしたい_x000a_スマホから資料を作成、確認、送付できるようにしたい（見積書、発注書、試作概要書、受注フォーマット、裏面原稿、仕様書、製造予定、倉庫在庫、営業資料etc...）_x000a_売上、粗利、数量などの予実を極力リアルタイムで共有、把握できるようにしたい。_x000a_案件全体の進捗状況を一覧でタスク化（把握、確認）したい。（試作、原価、見積、安定性試験、容器相性試験、受注、契約書締結、校正、資材納期、製造予定、出荷etc...）_x000a_メールやcahtの連絡時間を省略したい（保存や更新をしたら共有者へ自動通知など）_x000a_生成AIなどで試作概要書や提案書を自動作成したい_x000a_必要な情報をすぐに見つけられるようにしたい（例：ワークフローからその資料へアクセスなど）_x000a_ワークフローを誰でもすぐに確認して実行できるようにしたい（ISOの手順書のような紙ベースでは、手順通りの実行が難しいと感じる）_x000a_売上機会損失を減らしたい（納品から一定期間が空いたら担当営業へ自動通知など）_x000a_日報が属人的な内容にならないようメール以外の簡単な方法で見やすくしたい_x000a_気づきや改善要望は日報ではなく別の共有方法にしたい"/>
    <x v="1"/>
  </r>
  <r>
    <n v="44"/>
    <s v="東京"/>
    <x v="7"/>
    <s v="堀真紀"/>
    <m/>
    <x v="0"/>
    <m/>
    <x v="0"/>
    <m/>
    <x v="1"/>
    <m/>
    <x v="0"/>
    <s v="PCに負荷がかかる動作についてしっかり理解できていないため、教わりたいです。ゴミ箱を定期的に空にするなど、心がけることや、どういった動作で負荷をかけてしまっているのか、教えていただきたいです。"/>
    <x v="0"/>
    <m/>
    <x v="0"/>
  </r>
  <r>
    <n v="45"/>
    <s v="東京"/>
    <x v="7"/>
    <s v="野田健治"/>
    <m/>
    <x v="0"/>
    <m/>
    <x v="0"/>
    <s v="ファイルを間違って削除したとき、元に戻せるのか。→自分で復元できるのか、誰かに頼まないといけないのか知りたいです。_x000a_メールやファイルって、どれくらいの期間保存されるのか。→必要な情報が消えてしまわないか不安です。_x000a_誰がどのファイルを編集したのか、あとから確認できる？→使うときに「上書き」が怖いので、履歴の見方を知りたいです。"/>
    <x v="2"/>
    <m/>
    <x v="0"/>
    <m/>
    <x v="2"/>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7F4EC-0D82-4EB2-A65F-BBC9C20B4EF9}" name="ピボットテーブル6" cacheId="112" applyNumberFormats="0" applyBorderFormats="0" applyFontFormats="0" applyPatternFormats="0" applyAlignmentFormats="0" applyWidthHeightFormats="1" dataCaption="値" updatedVersion="8" minRefreshableVersion="3" itemPrintTitles="1" createdVersion="8" indent="0" compact="0" compactData="0" multipleFieldFilters="0">
  <location ref="A22:E33" firstHeaderRow="0" firstDataRow="1" firstDataCol="2"/>
  <pivotFields count="9">
    <pivotField compact="0" outline="0" showAll="0">
      <items count="14">
        <item x="11"/>
        <item x="0"/>
        <item x="3"/>
        <item x="8"/>
        <item x="6"/>
        <item x="9"/>
        <item x="10"/>
        <item x="5"/>
        <item x="1"/>
        <item x="2"/>
        <item x="12"/>
        <item x="7"/>
        <item x="4"/>
        <item t="default"/>
      </items>
    </pivotField>
    <pivotField compact="0" outline="0" showAll="0">
      <items count="15">
        <item x="0"/>
        <item x="9"/>
        <item x="10"/>
        <item x="1"/>
        <item x="11"/>
        <item x="5"/>
        <item x="8"/>
        <item x="7"/>
        <item x="3"/>
        <item x="4"/>
        <item x="2"/>
        <item x="13"/>
        <item x="12"/>
        <item x="6"/>
        <item t="default"/>
      </items>
    </pivotField>
    <pivotField dataField="1" compact="0" outline="0" showAll="0"/>
    <pivotField dataField="1" compact="0" outline="0" showAll="0"/>
    <pivotField dataField="1" compact="0"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defaultSubtotal="0">
      <items count="4">
        <item x="0"/>
        <item x="1"/>
        <item x="2"/>
        <item x="3"/>
      </items>
    </pivotField>
    <pivotField compact="0" outline="0" showAll="0">
      <items count="15">
        <item x="0"/>
        <item x="1"/>
        <item x="2"/>
        <item x="3"/>
        <item x="4"/>
        <item x="5"/>
        <item x="6"/>
        <item x="7"/>
        <item x="8"/>
        <item x="9"/>
        <item x="10"/>
        <item x="11"/>
        <item x="12"/>
        <item x="13"/>
        <item t="default"/>
      </items>
    </pivotField>
    <pivotField compact="0" outline="0" showAll="0">
      <items count="4">
        <item x="0"/>
        <item x="1"/>
        <item x="2"/>
        <item t="default"/>
      </items>
    </pivotField>
  </pivotFields>
  <rowFields count="2">
    <field x="6"/>
    <field x="5"/>
  </rowFields>
  <rowItems count="11">
    <i>
      <x/>
      <x/>
    </i>
    <i>
      <x v="1"/>
      <x v="4"/>
    </i>
    <i r="1">
      <x v="5"/>
    </i>
    <i r="1">
      <x v="6"/>
    </i>
    <i r="1">
      <x v="7"/>
    </i>
    <i r="1">
      <x v="8"/>
    </i>
    <i r="1">
      <x v="9"/>
    </i>
    <i r="1">
      <x v="10"/>
    </i>
    <i r="1">
      <x v="11"/>
    </i>
    <i r="1">
      <x v="12"/>
    </i>
    <i t="grand">
      <x/>
    </i>
  </rowItems>
  <colFields count="1">
    <field x="-2"/>
  </colFields>
  <colItems count="3">
    <i>
      <x/>
    </i>
    <i i="1">
      <x v="1"/>
    </i>
    <i i="2">
      <x v="2"/>
    </i>
  </colItems>
  <dataFields count="3">
    <dataField name="個数 / 3区分" fld="4" subtotal="count" baseField="0" baseItem="0"/>
    <dataField name="個数 / 2区分" fld="3" subtotal="count" baseField="0" baseItem="0"/>
    <dataField name="個数 / 1区分" fld="2" subtotal="count" baseField="0" baseItem="0"/>
  </dataFields>
  <formats count="15">
    <format dxfId="4086">
      <pivotArea dataOnly="0" outline="0" fieldPosition="0">
        <references count="1">
          <reference field="6" count="1">
            <x v="0"/>
          </reference>
        </references>
      </pivotArea>
    </format>
    <format dxfId="4085">
      <pivotArea dataOnly="0" outline="0" fieldPosition="0">
        <references count="1">
          <reference field="5" count="1">
            <x v="0"/>
          </reference>
        </references>
      </pivotArea>
    </format>
    <format dxfId="4084">
      <pivotArea field="6" type="button" dataOnly="0" labelOnly="1" outline="0" axis="axisRow" fieldPosition="0"/>
    </format>
    <format dxfId="4083">
      <pivotArea type="all" dataOnly="0" outline="0" fieldPosition="0"/>
    </format>
    <format dxfId="4082">
      <pivotArea field="6" type="button" dataOnly="0" labelOnly="1" outline="0" axis="axisRow" fieldPosition="0"/>
    </format>
    <format dxfId="4081">
      <pivotArea field="6" type="button" dataOnly="0" labelOnly="1" outline="0" axis="axisRow" fieldPosition="0"/>
    </format>
    <format dxfId="4080">
      <pivotArea type="all" dataOnly="0" outline="0" fieldPosition="0"/>
    </format>
    <format dxfId="4079">
      <pivotArea outline="0" collapsedLevelsAreSubtotals="1" fieldPosition="0"/>
    </format>
    <format dxfId="4078">
      <pivotArea field="6" type="button" dataOnly="0" labelOnly="1" outline="0" axis="axisRow" fieldPosition="0"/>
    </format>
    <format dxfId="4077">
      <pivotArea field="5" type="button" dataOnly="0" labelOnly="1" outline="0" axis="axisRow" fieldPosition="1"/>
    </format>
    <format dxfId="4076">
      <pivotArea dataOnly="0" labelOnly="1" outline="0" fieldPosition="0">
        <references count="1">
          <reference field="6" count="2">
            <x v="0"/>
            <x v="1"/>
          </reference>
        </references>
      </pivotArea>
    </format>
    <format dxfId="4075">
      <pivotArea dataOnly="0" labelOnly="1" grandRow="1" outline="0" fieldPosition="0"/>
    </format>
    <format dxfId="4074">
      <pivotArea dataOnly="0" labelOnly="1" outline="0" fieldPosition="0">
        <references count="2">
          <reference field="5" count="1">
            <x v="0"/>
          </reference>
          <reference field="6" count="1" selected="0">
            <x v="0"/>
          </reference>
        </references>
      </pivotArea>
    </format>
    <format dxfId="4073">
      <pivotArea dataOnly="0" labelOnly="1" outline="0" fieldPosition="0">
        <references count="2">
          <reference field="5" count="9">
            <x v="4"/>
            <x v="5"/>
            <x v="6"/>
            <x v="7"/>
            <x v="8"/>
            <x v="9"/>
            <x v="10"/>
            <x v="11"/>
            <x v="12"/>
          </reference>
          <reference field="6" count="1" selected="0">
            <x v="1"/>
          </reference>
        </references>
      </pivotArea>
    </format>
    <format dxfId="4072">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08780-9F6F-45AE-8359-0745BD4B9D3E}" name="ピボットテーブル5" cacheId="112" applyNumberFormats="0" applyBorderFormats="0" applyFontFormats="0" applyPatternFormats="0" applyAlignmentFormats="0" applyWidthHeightFormats="1" dataCaption="値" updatedVersion="8" minRefreshableVersion="3" itemPrintTitles="1" createdVersion="8" indent="0" compact="0" compactData="0" multipleFieldFilters="0">
  <location ref="A2:E12" firstHeaderRow="0" firstDataRow="1" firstDataCol="2"/>
  <pivotFields count="9">
    <pivotField compact="0" outline="0" showAll="0" defaultSubtotal="0">
      <items count="13">
        <item x="11"/>
        <item x="0"/>
        <item x="3"/>
        <item x="8"/>
        <item x="6"/>
        <item x="9"/>
        <item x="10"/>
        <item x="5"/>
        <item x="1"/>
        <item x="2"/>
        <item x="12"/>
        <item x="7"/>
        <item x="4"/>
      </items>
    </pivotField>
    <pivotField compact="0" outline="0" showAll="0" defaultSubtotal="0">
      <items count="14">
        <item x="0"/>
        <item x="9"/>
        <item x="10"/>
        <item x="1"/>
        <item x="11"/>
        <item x="5"/>
        <item x="8"/>
        <item x="7"/>
        <item x="3"/>
        <item x="4"/>
        <item x="2"/>
        <item x="13"/>
        <item x="12"/>
        <item x="6"/>
      </items>
    </pivotField>
    <pivotField dataField="1" compact="0" outline="0" showAll="0" defaultSubtotal="0"/>
    <pivotField dataField="1" compact="0" outline="0" showAll="0" defaultSubtotal="0"/>
    <pivotField dataField="1"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4">
        <item x="0"/>
        <item x="1"/>
        <item x="2"/>
        <item x="3"/>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3">
        <item x="0"/>
        <item x="1"/>
        <item x="2"/>
      </items>
    </pivotField>
  </pivotFields>
  <rowFields count="2">
    <field x="8"/>
    <field x="7"/>
  </rowFields>
  <rowItems count="10">
    <i>
      <x/>
      <x/>
    </i>
    <i>
      <x v="1"/>
      <x v="2"/>
    </i>
    <i r="1">
      <x v="3"/>
    </i>
    <i r="1">
      <x v="4"/>
    </i>
    <i r="1">
      <x v="5"/>
    </i>
    <i r="1">
      <x v="6"/>
    </i>
    <i r="1">
      <x v="7"/>
    </i>
    <i r="1">
      <x v="8"/>
    </i>
    <i r="1">
      <x v="9"/>
    </i>
    <i t="grand">
      <x/>
    </i>
  </rowItems>
  <colFields count="1">
    <field x="-2"/>
  </colFields>
  <colItems count="3">
    <i>
      <x/>
    </i>
    <i i="1">
      <x v="1"/>
    </i>
    <i i="2">
      <x v="2"/>
    </i>
  </colItems>
  <dataFields count="3">
    <dataField name="個数 / 3区分" fld="4" subtotal="count" baseField="0" baseItem="0"/>
    <dataField name="個数 / 2区分" fld="3" subtotal="count" baseField="0" baseItem="0"/>
    <dataField name="個数 / 1区分" fld="2" subtotal="count" baseField="0" baseItem="0"/>
  </dataFields>
  <formats count="15">
    <format dxfId="4101">
      <pivotArea dataOnly="0" outline="0" fieldPosition="0">
        <references count="1">
          <reference field="8" count="1">
            <x v="0"/>
          </reference>
        </references>
      </pivotArea>
    </format>
    <format dxfId="4100">
      <pivotArea dataOnly="0" outline="0" fieldPosition="0">
        <references count="1">
          <reference field="7" count="1">
            <x v="0"/>
          </reference>
        </references>
      </pivotArea>
    </format>
    <format dxfId="4099">
      <pivotArea field="8" type="button" dataOnly="0" labelOnly="1" outline="0" axis="axisRow" fieldPosition="0"/>
    </format>
    <format dxfId="4098">
      <pivotArea type="all" dataOnly="0" outline="0" fieldPosition="0"/>
    </format>
    <format dxfId="4097">
      <pivotArea field="8" type="button" dataOnly="0" labelOnly="1" outline="0" axis="axisRow" fieldPosition="0"/>
    </format>
    <format dxfId="4096">
      <pivotArea field="8" type="button" dataOnly="0" labelOnly="1" outline="0" axis="axisRow" fieldPosition="0"/>
    </format>
    <format dxfId="4095">
      <pivotArea type="all" dataOnly="0" outline="0" fieldPosition="0"/>
    </format>
    <format dxfId="4094">
      <pivotArea outline="0" collapsedLevelsAreSubtotals="1" fieldPosition="0"/>
    </format>
    <format dxfId="4093">
      <pivotArea field="8" type="button" dataOnly="0" labelOnly="1" outline="0" axis="axisRow" fieldPosition="0"/>
    </format>
    <format dxfId="4092">
      <pivotArea field="7" type="button" dataOnly="0" labelOnly="1" outline="0" axis="axisRow" fieldPosition="1"/>
    </format>
    <format dxfId="4091">
      <pivotArea dataOnly="0" labelOnly="1" outline="0" fieldPosition="0">
        <references count="1">
          <reference field="8" count="2">
            <x v="0"/>
            <x v="1"/>
          </reference>
        </references>
      </pivotArea>
    </format>
    <format dxfId="4090">
      <pivotArea dataOnly="0" labelOnly="1" grandRow="1" outline="0" fieldPosition="0"/>
    </format>
    <format dxfId="4089">
      <pivotArea dataOnly="0" labelOnly="1" outline="0" fieldPosition="0">
        <references count="2">
          <reference field="7" count="1">
            <x v="0"/>
          </reference>
          <reference field="8" count="1" selected="0">
            <x v="0"/>
          </reference>
        </references>
      </pivotArea>
    </format>
    <format dxfId="4088">
      <pivotArea dataOnly="0" labelOnly="1" outline="0" fieldPosition="0">
        <references count="2">
          <reference field="7" count="8">
            <x v="2"/>
            <x v="3"/>
            <x v="4"/>
            <x v="5"/>
            <x v="6"/>
            <x v="7"/>
            <x v="8"/>
            <x v="9"/>
          </reference>
          <reference field="8" count="1" selected="0">
            <x v="1"/>
          </reference>
        </references>
      </pivotArea>
    </format>
    <format dxfId="4087">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C96128-6371-488F-A3E9-693C60A4961B}" name="ピボットテーブル2" cacheId="112" applyNumberFormats="0" applyBorderFormats="0" applyFontFormats="0" applyPatternFormats="0" applyAlignmentFormats="0" applyWidthHeightFormats="1" dataCaption="値" updatedVersion="8" minRefreshableVersion="3" rowGrandTotals="0" colGrandTotals="0" itemPrintTitles="1" createdVersion="8" indent="0" compact="0" compactData="0" multipleFieldFilters="0">
  <location ref="G2:M29" firstHeaderRow="1" firstDataRow="1" firstDataCol="7"/>
  <pivotFields count="9">
    <pivotField compact="0" outline="0" showAll="0" defaultSubtotal="0">
      <items count="13">
        <item x="11"/>
        <item x="0"/>
        <item x="3"/>
        <item x="8"/>
        <item x="6"/>
        <item x="9"/>
        <item x="10"/>
        <item x="5"/>
        <item x="1"/>
        <item x="2"/>
        <item x="12"/>
        <item x="7"/>
        <item x="4"/>
      </items>
    </pivotField>
    <pivotField compact="0" outline="0" showAll="0" defaultSubtotal="0">
      <items count="14">
        <item x="0"/>
        <item x="9"/>
        <item x="10"/>
        <item x="1"/>
        <item x="11"/>
        <item x="5"/>
        <item x="8"/>
        <item x="7"/>
        <item x="3"/>
        <item x="4"/>
        <item x="2"/>
        <item x="13"/>
        <item x="12"/>
        <item x="6"/>
      </items>
    </pivotField>
    <pivotField axis="axisRow" compact="0" outline="0" showAll="0" defaultSubtotal="0">
      <items count="8">
        <item x="0"/>
        <item x="1"/>
        <item x="2"/>
        <item x="4"/>
        <item x="3"/>
        <item x="5"/>
        <item sd="0" x="7"/>
        <item x="6"/>
      </items>
    </pivotField>
    <pivotField axis="axisRow" compact="0" outline="0" showAll="0" defaultSubtotal="0">
      <items count="12">
        <item h="1" x="10"/>
        <item x="1"/>
        <item x="6"/>
        <item x="2"/>
        <item x="9"/>
        <item x="4"/>
        <item x="5"/>
        <item x="8"/>
        <item x="7"/>
        <item x="3"/>
        <item h="1" x="11"/>
        <item x="0"/>
      </items>
    </pivotField>
    <pivotField axis="axisRow" compact="0" outline="0" showAll="0" defaultSubtotal="0">
      <items count="27">
        <item x="1"/>
        <item x="18"/>
        <item x="22"/>
        <item x="17"/>
        <item x="12"/>
        <item x="13"/>
        <item x="15"/>
        <item x="14"/>
        <item x="16"/>
        <item x="11"/>
        <item x="9"/>
        <item x="10"/>
        <item x="8"/>
        <item x="19"/>
        <item x="23"/>
        <item x="2"/>
        <item x="3"/>
        <item x="4"/>
        <item x="5"/>
        <item x="6"/>
        <item x="7"/>
        <item h="1" x="0"/>
        <item x="20"/>
        <item x="21"/>
        <item x="24"/>
        <item x="25"/>
        <item x="26"/>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4">
        <item x="0"/>
        <item x="1"/>
        <item x="2"/>
        <item x="3"/>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3">
        <item x="0"/>
        <item x="1"/>
        <item x="2"/>
      </items>
    </pivotField>
  </pivotFields>
  <rowFields count="7">
    <field x="8"/>
    <field x="7"/>
    <field x="2"/>
    <field x="3"/>
    <field x="4"/>
    <field x="6"/>
    <field x="5"/>
  </rowFields>
  <rowItems count="27">
    <i>
      <x v="1"/>
      <x v="3"/>
      <x/>
      <x v="11"/>
      <x/>
      <x v="1"/>
      <x v="4"/>
    </i>
    <i r="4">
      <x v="15"/>
      <x v="1"/>
      <x v="4"/>
    </i>
    <i r="4">
      <x v="16"/>
      <x v="1"/>
      <x v="4"/>
    </i>
    <i r="4">
      <x v="17"/>
      <x v="1"/>
      <x v="4"/>
    </i>
    <i r="4">
      <x v="18"/>
      <x v="1"/>
      <x v="4"/>
    </i>
    <i r="4">
      <x v="19"/>
      <x v="1"/>
      <x v="5"/>
    </i>
    <i r="4">
      <x v="20"/>
      <x v="1"/>
      <x v="5"/>
    </i>
    <i r="2">
      <x v="1"/>
      <x v="1"/>
      <x v="12"/>
      <x v="1"/>
      <x v="4"/>
    </i>
    <i r="2">
      <x v="2"/>
      <x v="5"/>
      <x v="1"/>
      <x v="1"/>
      <x v="5"/>
    </i>
    <i r="4">
      <x v="3"/>
      <x v="1"/>
      <x v="5"/>
    </i>
    <i r="1">
      <x v="4"/>
      <x v="2"/>
      <x v="9"/>
      <x v="4"/>
      <x v="1"/>
      <x v="4"/>
    </i>
    <i r="4">
      <x v="5"/>
      <x v="1"/>
      <x v="5"/>
    </i>
    <i r="4">
      <x v="7"/>
      <x v="1"/>
      <x v="6"/>
    </i>
    <i r="2">
      <x v="3"/>
      <x v="7"/>
      <x v="2"/>
      <x v="1"/>
      <x v="10"/>
    </i>
    <i r="2">
      <x v="5"/>
      <x v="4"/>
      <x v="24"/>
      <x v="1"/>
      <x v="5"/>
    </i>
    <i r="1">
      <x v="5"/>
      <x v="2"/>
      <x v="2"/>
      <x v="23"/>
      <x v="1"/>
      <x v="11"/>
    </i>
    <i r="2">
      <x v="5"/>
      <x v="4"/>
      <x v="25"/>
      <x v="1"/>
      <x v="5"/>
    </i>
    <i r="4">
      <x v="26"/>
      <x v="1"/>
      <x v="6"/>
    </i>
    <i r="1">
      <x v="6"/>
      <x v="2"/>
      <x v="5"/>
      <x v="13"/>
      <x v="1"/>
      <x v="7"/>
    </i>
    <i r="3">
      <x v="6"/>
      <x v="22"/>
      <x v="1"/>
      <x v="11"/>
    </i>
    <i r="3">
      <x v="8"/>
      <x v="22"/>
      <x v="1"/>
      <x v="10"/>
    </i>
    <i r="1">
      <x v="7"/>
      <x v="1"/>
      <x v="1"/>
      <x v="10"/>
      <x v="1"/>
      <x v="9"/>
    </i>
    <i r="2">
      <x v="2"/>
      <x v="9"/>
      <x v="6"/>
      <x v="1"/>
      <x v="8"/>
    </i>
    <i r="4">
      <x v="8"/>
      <x v="1"/>
      <x v="8"/>
    </i>
    <i r="1">
      <x v="8"/>
      <x v="3"/>
      <x v="7"/>
      <x v="14"/>
      <x v="1"/>
      <x v="10"/>
    </i>
    <i r="1">
      <x v="9"/>
      <x v="1"/>
      <x v="3"/>
      <x v="9"/>
      <x v="1"/>
      <x v="10"/>
    </i>
    <i r="4">
      <x v="11"/>
      <x v="1"/>
      <x v="10"/>
    </i>
  </rowItems>
  <colItems count="1">
    <i/>
  </colItems>
  <formats count="114">
    <format dxfId="4192">
      <pivotArea dataOnly="0" outline="0" fieldPosition="0">
        <references count="1">
          <reference field="4" count="1">
            <x v="21"/>
          </reference>
        </references>
      </pivotArea>
    </format>
    <format dxfId="4191">
      <pivotArea dataOnly="0" outline="0" fieldPosition="0">
        <references count="1">
          <reference field="2" count="1">
            <x v="6"/>
          </reference>
        </references>
      </pivotArea>
    </format>
    <format dxfId="4190">
      <pivotArea field="6" type="button" dataOnly="0" labelOnly="1" outline="0" axis="axisRow" fieldPosition="5"/>
    </format>
    <format dxfId="4189">
      <pivotArea type="all" dataOnly="0" outline="0" fieldPosition="0"/>
    </format>
    <format dxfId="4188">
      <pivotArea field="6" type="button" dataOnly="0" labelOnly="1" outline="0" axis="axisRow" fieldPosition="5"/>
    </format>
    <format dxfId="4187">
      <pivotArea field="5" type="button" dataOnly="0" labelOnly="1" outline="0" axis="axisRow" fieldPosition="6"/>
    </format>
    <format dxfId="4186">
      <pivotArea field="2" type="button" dataOnly="0" labelOnly="1" outline="0" axis="axisRow" fieldPosition="2"/>
    </format>
    <format dxfId="4185">
      <pivotArea field="4" type="button" dataOnly="0" labelOnly="1" outline="0" axis="axisRow" fieldPosition="4"/>
    </format>
    <format dxfId="4184">
      <pivotArea field="8" type="button" dataOnly="0" labelOnly="1" outline="0" axis="axisRow" fieldPosition="0"/>
    </format>
    <format dxfId="4183">
      <pivotArea dataOnly="0" outline="0" fieldPosition="0">
        <references count="1">
          <reference field="3" count="1">
            <x v="9"/>
          </reference>
        </references>
      </pivotArea>
    </format>
    <format dxfId="4182">
      <pivotArea dataOnly="0" outline="0" fieldPosition="0">
        <references count="1">
          <reference field="3" count="1">
            <x v="1"/>
          </reference>
        </references>
      </pivotArea>
    </format>
    <format dxfId="4181">
      <pivotArea dataOnly="0" outline="0" fieldPosition="0">
        <references count="1">
          <reference field="3" count="1">
            <x v="4"/>
          </reference>
        </references>
      </pivotArea>
    </format>
    <format dxfId="4180">
      <pivotArea dataOnly="0" outline="0" fieldPosition="0">
        <references count="1">
          <reference field="3" count="1">
            <x v="5"/>
          </reference>
        </references>
      </pivotArea>
    </format>
    <format dxfId="4179">
      <pivotArea dataOnly="0" outline="0" fieldPosition="0">
        <references count="1">
          <reference field="3" count="1">
            <x v="7"/>
          </reference>
        </references>
      </pivotArea>
    </format>
    <format dxfId="4178">
      <pivotArea dataOnly="0" outline="0" fieldPosition="0">
        <references count="1">
          <reference field="3" count="1">
            <x v="2"/>
          </reference>
        </references>
      </pivotArea>
    </format>
    <format dxfId="4177">
      <pivotArea dataOnly="0" outline="0" fieldPosition="0">
        <references count="1">
          <reference field="3" count="1">
            <x v="6"/>
          </reference>
        </references>
      </pivotArea>
    </format>
    <format dxfId="4176">
      <pivotArea dataOnly="0" outline="0" fieldPosition="0">
        <references count="1">
          <reference field="3" count="1">
            <x v="8"/>
          </reference>
        </references>
      </pivotArea>
    </format>
    <format dxfId="4175">
      <pivotArea dataOnly="0" outline="0" fieldPosition="0">
        <references count="1">
          <reference field="3" count="1">
            <x v="3"/>
          </reference>
        </references>
      </pivotArea>
    </format>
    <format dxfId="4174">
      <pivotArea dataOnly="0" labelOnly="1" outline="0" fieldPosition="0">
        <references count="1">
          <reference field="8" count="0"/>
        </references>
      </pivotArea>
    </format>
    <format dxfId="4173">
      <pivotArea dataOnly="0" labelOnly="1" outline="0" fieldPosition="0">
        <references count="1">
          <reference field="7" count="0"/>
        </references>
      </pivotArea>
    </format>
    <format dxfId="4172">
      <pivotArea field="8" type="button" dataOnly="0" labelOnly="1" outline="0" axis="axisRow" fieldPosition="0"/>
    </format>
    <format dxfId="4171">
      <pivotArea field="7" type="button" dataOnly="0" labelOnly="1" outline="0" axis="axisRow" fieldPosition="1"/>
    </format>
    <format dxfId="4170">
      <pivotArea field="2" type="button" dataOnly="0" labelOnly="1" outline="0" axis="axisRow" fieldPosition="2"/>
    </format>
    <format dxfId="4169">
      <pivotArea field="3" type="button" dataOnly="0" labelOnly="1" outline="0" axis="axisRow" fieldPosition="3"/>
    </format>
    <format dxfId="4168">
      <pivotArea field="4" type="button" dataOnly="0" labelOnly="1" outline="0" axis="axisRow" fieldPosition="4"/>
    </format>
    <format dxfId="4167">
      <pivotArea field="6" type="button" dataOnly="0" labelOnly="1" outline="0" axis="axisRow" fieldPosition="5"/>
    </format>
    <format dxfId="4166">
      <pivotArea field="5" type="button" dataOnly="0" labelOnly="1" outline="0" axis="axisRow" fieldPosition="6"/>
    </format>
    <format dxfId="4165">
      <pivotArea field="8" type="button" dataOnly="0" labelOnly="1" outline="0" axis="axisRow" fieldPosition="0"/>
    </format>
    <format dxfId="4164">
      <pivotArea field="7" type="button" dataOnly="0" labelOnly="1" outline="0" axis="axisRow" fieldPosition="1"/>
    </format>
    <format dxfId="4163">
      <pivotArea field="2" type="button" dataOnly="0" labelOnly="1" outline="0" axis="axisRow" fieldPosition="2"/>
    </format>
    <format dxfId="4162">
      <pivotArea field="3" type="button" dataOnly="0" labelOnly="1" outline="0" axis="axisRow" fieldPosition="3"/>
    </format>
    <format dxfId="4161">
      <pivotArea field="4" type="button" dataOnly="0" labelOnly="1" outline="0" axis="axisRow" fieldPosition="4"/>
    </format>
    <format dxfId="4160">
      <pivotArea field="6" type="button" dataOnly="0" labelOnly="1" outline="0" axis="axisRow" fieldPosition="5"/>
    </format>
    <format dxfId="4159">
      <pivotArea field="5" type="button" dataOnly="0" labelOnly="1" outline="0" axis="axisRow" fieldPosition="6"/>
    </format>
    <format dxfId="4158">
      <pivotArea type="all" dataOnly="0" outline="0" fieldPosition="0"/>
    </format>
    <format dxfId="4157">
      <pivotArea dataOnly="0" labelOnly="1" outline="0" fieldPosition="0">
        <references count="1">
          <reference field="8" count="1">
            <x v="1"/>
          </reference>
        </references>
      </pivotArea>
    </format>
    <format dxfId="4156">
      <pivotArea dataOnly="0" labelOnly="1" outline="0" fieldPosition="0">
        <references count="2">
          <reference field="7" count="7">
            <x v="3"/>
            <x v="4"/>
            <x v="5"/>
            <x v="6"/>
            <x v="7"/>
            <x v="8"/>
            <x v="9"/>
          </reference>
          <reference field="8" count="1" selected="0">
            <x v="1"/>
          </reference>
        </references>
      </pivotArea>
    </format>
    <format dxfId="4155">
      <pivotArea dataOnly="0" labelOnly="1" outline="0" fieldPosition="0">
        <references count="3">
          <reference field="2" count="3">
            <x v="0"/>
            <x v="1"/>
            <x v="2"/>
          </reference>
          <reference field="7" count="1" selected="0">
            <x v="3"/>
          </reference>
          <reference field="8" count="1" selected="0">
            <x v="1"/>
          </reference>
        </references>
      </pivotArea>
    </format>
    <format dxfId="4154">
      <pivotArea dataOnly="0" labelOnly="1" outline="0" fieldPosition="0">
        <references count="3">
          <reference field="2" count="2">
            <x v="3"/>
            <x v="5"/>
          </reference>
          <reference field="7" count="1" selected="0">
            <x v="4"/>
          </reference>
          <reference field="8" count="1" selected="0">
            <x v="1"/>
          </reference>
        </references>
      </pivotArea>
    </format>
    <format dxfId="4153">
      <pivotArea dataOnly="0" labelOnly="1" outline="0" fieldPosition="0">
        <references count="3">
          <reference field="2" count="2">
            <x v="2"/>
            <x v="5"/>
          </reference>
          <reference field="7" count="1" selected="0">
            <x v="5"/>
          </reference>
          <reference field="8" count="1" selected="0">
            <x v="1"/>
          </reference>
        </references>
      </pivotArea>
    </format>
    <format dxfId="4152">
      <pivotArea dataOnly="0" labelOnly="1" outline="0" fieldPosition="0">
        <references count="3">
          <reference field="2" count="2">
            <x v="1"/>
            <x v="2"/>
          </reference>
          <reference field="7" count="1" selected="0">
            <x v="6"/>
          </reference>
          <reference field="8" count="1" selected="0">
            <x v="1"/>
          </reference>
        </references>
      </pivotArea>
    </format>
    <format dxfId="4151">
      <pivotArea dataOnly="0" labelOnly="1" outline="0" fieldPosition="0">
        <references count="3">
          <reference field="2" count="1">
            <x v="3"/>
          </reference>
          <reference field="7" count="1" selected="0">
            <x v="8"/>
          </reference>
          <reference field="8" count="1" selected="0">
            <x v="1"/>
          </reference>
        </references>
      </pivotArea>
    </format>
    <format dxfId="4150">
      <pivotArea dataOnly="0" labelOnly="1" outline="0" fieldPosition="0">
        <references count="3">
          <reference field="2" count="1">
            <x v="1"/>
          </reference>
          <reference field="7" count="1" selected="0">
            <x v="9"/>
          </reference>
          <reference field="8" count="1" selected="0">
            <x v="1"/>
          </reference>
        </references>
      </pivotArea>
    </format>
    <format dxfId="4149">
      <pivotArea dataOnly="0" labelOnly="1" outline="0" fieldPosition="0">
        <references count="4">
          <reference field="2" count="1" selected="0">
            <x v="1"/>
          </reference>
          <reference field="3" count="1">
            <x v="1"/>
          </reference>
          <reference field="7" count="1" selected="0">
            <x v="3"/>
          </reference>
          <reference field="8" count="1" selected="0">
            <x v="1"/>
          </reference>
        </references>
      </pivotArea>
    </format>
    <format dxfId="4148">
      <pivotArea dataOnly="0" labelOnly="1" outline="0" fieldPosition="0">
        <references count="4">
          <reference field="2" count="1" selected="0">
            <x v="2"/>
          </reference>
          <reference field="3" count="2">
            <x v="5"/>
            <x v="9"/>
          </reference>
          <reference field="7" count="1" selected="0">
            <x v="3"/>
          </reference>
          <reference field="8" count="1" selected="0">
            <x v="1"/>
          </reference>
        </references>
      </pivotArea>
    </format>
    <format dxfId="4147">
      <pivotArea dataOnly="0" labelOnly="1" outline="0" fieldPosition="0">
        <references count="4">
          <reference field="2" count="1" selected="0">
            <x v="2"/>
          </reference>
          <reference field="3" count="1">
            <x v="9"/>
          </reference>
          <reference field="7" count="1" selected="0">
            <x v="4"/>
          </reference>
          <reference field="8" count="1" selected="0">
            <x v="1"/>
          </reference>
        </references>
      </pivotArea>
    </format>
    <format dxfId="4146">
      <pivotArea dataOnly="0" labelOnly="1" outline="0" fieldPosition="0">
        <references count="4">
          <reference field="2" count="1" selected="0">
            <x v="3"/>
          </reference>
          <reference field="3" count="1">
            <x v="7"/>
          </reference>
          <reference field="7" count="1" selected="0">
            <x v="4"/>
          </reference>
          <reference field="8" count="1" selected="0">
            <x v="1"/>
          </reference>
        </references>
      </pivotArea>
    </format>
    <format dxfId="4145">
      <pivotArea dataOnly="0" labelOnly="1" outline="0" fieldPosition="0">
        <references count="4">
          <reference field="2" count="1" selected="0">
            <x v="5"/>
          </reference>
          <reference field="3" count="1">
            <x v="4"/>
          </reference>
          <reference field="7" count="1" selected="0">
            <x v="4"/>
          </reference>
          <reference field="8" count="1" selected="0">
            <x v="1"/>
          </reference>
        </references>
      </pivotArea>
    </format>
    <format dxfId="4144">
      <pivotArea dataOnly="0" labelOnly="1" outline="0" fieldPosition="0">
        <references count="4">
          <reference field="2" count="1" selected="0">
            <x v="2"/>
          </reference>
          <reference field="3" count="1">
            <x v="2"/>
          </reference>
          <reference field="7" count="1" selected="0">
            <x v="5"/>
          </reference>
          <reference field="8" count="1" selected="0">
            <x v="1"/>
          </reference>
        </references>
      </pivotArea>
    </format>
    <format dxfId="4143">
      <pivotArea dataOnly="0" labelOnly="1" outline="0" fieldPosition="0">
        <references count="4">
          <reference field="2" count="1" selected="0">
            <x v="5"/>
          </reference>
          <reference field="3" count="1">
            <x v="4"/>
          </reference>
          <reference field="7" count="1" selected="0">
            <x v="5"/>
          </reference>
          <reference field="8" count="1" selected="0">
            <x v="1"/>
          </reference>
        </references>
      </pivotArea>
    </format>
    <format dxfId="4142">
      <pivotArea dataOnly="0" labelOnly="1" outline="0" fieldPosition="0">
        <references count="4">
          <reference field="2" count="1" selected="0">
            <x v="1"/>
          </reference>
          <reference field="3" count="1">
            <x v="1"/>
          </reference>
          <reference field="7" count="1" selected="0">
            <x v="6"/>
          </reference>
          <reference field="8" count="1" selected="0">
            <x v="1"/>
          </reference>
        </references>
      </pivotArea>
    </format>
    <format dxfId="4141">
      <pivotArea dataOnly="0" labelOnly="1" outline="0" fieldPosition="0">
        <references count="4">
          <reference field="2" count="1" selected="0">
            <x v="2"/>
          </reference>
          <reference field="3" count="3">
            <x v="5"/>
            <x v="6"/>
            <x v="8"/>
          </reference>
          <reference field="7" count="1" selected="0">
            <x v="6"/>
          </reference>
          <reference field="8" count="1" selected="0">
            <x v="1"/>
          </reference>
        </references>
      </pivotArea>
    </format>
    <format dxfId="4140">
      <pivotArea dataOnly="0" labelOnly="1" outline="0" fieldPosition="0">
        <references count="4">
          <reference field="2" count="1" selected="0">
            <x v="2"/>
          </reference>
          <reference field="3" count="1">
            <x v="9"/>
          </reference>
          <reference field="7" count="1" selected="0">
            <x v="7"/>
          </reference>
          <reference field="8" count="1" selected="0">
            <x v="1"/>
          </reference>
        </references>
      </pivotArea>
    </format>
    <format dxfId="4139">
      <pivotArea dataOnly="0" labelOnly="1" outline="0" fieldPosition="0">
        <references count="4">
          <reference field="2" count="1" selected="0">
            <x v="3"/>
          </reference>
          <reference field="3" count="1">
            <x v="7"/>
          </reference>
          <reference field="7" count="1" selected="0">
            <x v="8"/>
          </reference>
          <reference field="8" count="1" selected="0">
            <x v="1"/>
          </reference>
        </references>
      </pivotArea>
    </format>
    <format dxfId="4138">
      <pivotArea dataOnly="0" labelOnly="1" outline="0" fieldPosition="0">
        <references count="4">
          <reference field="2" count="1" selected="0">
            <x v="1"/>
          </reference>
          <reference field="3" count="1">
            <x v="3"/>
          </reference>
          <reference field="7" count="1" selected="0">
            <x v="9"/>
          </reference>
          <reference field="8" count="1" selected="0">
            <x v="1"/>
          </reference>
        </references>
      </pivotArea>
    </format>
    <format dxfId="4137">
      <pivotArea dataOnly="0" labelOnly="1" outline="0" fieldPosition="0">
        <references count="5">
          <reference field="2" count="1" selected="0">
            <x v="1"/>
          </reference>
          <reference field="3" count="1" selected="0">
            <x v="1"/>
          </reference>
          <reference field="4" count="1">
            <x v="12"/>
          </reference>
          <reference field="7" count="1" selected="0">
            <x v="3"/>
          </reference>
          <reference field="8" count="1" selected="0">
            <x v="1"/>
          </reference>
        </references>
      </pivotArea>
    </format>
    <format dxfId="4136">
      <pivotArea dataOnly="0" labelOnly="1" outline="0" fieldPosition="0">
        <references count="5">
          <reference field="2" count="1" selected="0">
            <x v="2"/>
          </reference>
          <reference field="3" count="1" selected="0">
            <x v="9"/>
          </reference>
          <reference field="4" count="1">
            <x v="4"/>
          </reference>
          <reference field="7" count="1" selected="0">
            <x v="3"/>
          </reference>
          <reference field="8" count="1" selected="0">
            <x v="1"/>
          </reference>
        </references>
      </pivotArea>
    </format>
    <format dxfId="4135">
      <pivotArea dataOnly="0" labelOnly="1" outline="0" fieldPosition="0">
        <references count="5">
          <reference field="2" count="1" selected="0">
            <x v="2"/>
          </reference>
          <reference field="3" count="1" selected="0">
            <x v="5"/>
          </reference>
          <reference field="4" count="2">
            <x v="1"/>
            <x v="3"/>
          </reference>
          <reference field="7" count="1" selected="0">
            <x v="3"/>
          </reference>
          <reference field="8" count="1" selected="0">
            <x v="1"/>
          </reference>
        </references>
      </pivotArea>
    </format>
    <format dxfId="4134">
      <pivotArea dataOnly="0" labelOnly="1" outline="0" fieldPosition="0">
        <references count="5">
          <reference field="2" count="1" selected="0">
            <x v="2"/>
          </reference>
          <reference field="3" count="1" selected="0">
            <x v="9"/>
          </reference>
          <reference field="4" count="2">
            <x v="5"/>
            <x v="7"/>
          </reference>
          <reference field="7" count="1" selected="0">
            <x v="4"/>
          </reference>
          <reference field="8" count="1" selected="0">
            <x v="1"/>
          </reference>
        </references>
      </pivotArea>
    </format>
    <format dxfId="4133">
      <pivotArea dataOnly="0" labelOnly="1" outline="0" fieldPosition="0">
        <references count="5">
          <reference field="2" count="1" selected="0">
            <x v="3"/>
          </reference>
          <reference field="3" count="1" selected="0">
            <x v="7"/>
          </reference>
          <reference field="4" count="1">
            <x v="2"/>
          </reference>
          <reference field="7" count="1" selected="0">
            <x v="4"/>
          </reference>
          <reference field="8" count="1" selected="0">
            <x v="1"/>
          </reference>
        </references>
      </pivotArea>
    </format>
    <format dxfId="4132">
      <pivotArea dataOnly="0" labelOnly="1" outline="0" fieldPosition="0">
        <references count="5">
          <reference field="2" count="1" selected="0">
            <x v="2"/>
          </reference>
          <reference field="3" count="1" selected="0">
            <x v="2"/>
          </reference>
          <reference field="4" count="1">
            <x v="23"/>
          </reference>
          <reference field="7" count="1" selected="0">
            <x v="5"/>
          </reference>
          <reference field="8" count="1" selected="0">
            <x v="1"/>
          </reference>
        </references>
      </pivotArea>
    </format>
    <format dxfId="4131">
      <pivotArea dataOnly="0" labelOnly="1" outline="0" fieldPosition="0">
        <references count="5">
          <reference field="2" count="1" selected="0">
            <x v="1"/>
          </reference>
          <reference field="3" count="1" selected="0">
            <x v="1"/>
          </reference>
          <reference field="4" count="1">
            <x v="10"/>
          </reference>
          <reference field="7" count="1" selected="0">
            <x v="6"/>
          </reference>
          <reference field="8" count="1" selected="0">
            <x v="1"/>
          </reference>
        </references>
      </pivotArea>
    </format>
    <format dxfId="4130">
      <pivotArea dataOnly="0" labelOnly="1" outline="0" fieldPosition="0">
        <references count="5">
          <reference field="2" count="1" selected="0">
            <x v="2"/>
          </reference>
          <reference field="3" count="1" selected="0">
            <x v="6"/>
          </reference>
          <reference field="4" count="1">
            <x v="22"/>
          </reference>
          <reference field="7" count="1" selected="0">
            <x v="6"/>
          </reference>
          <reference field="8" count="1" selected="0">
            <x v="1"/>
          </reference>
        </references>
      </pivotArea>
    </format>
    <format dxfId="4129">
      <pivotArea dataOnly="0" labelOnly="1" outline="0" fieldPosition="0">
        <references count="5">
          <reference field="2" count="1" selected="0">
            <x v="2"/>
          </reference>
          <reference field="3" count="1" selected="0">
            <x v="5"/>
          </reference>
          <reference field="4" count="1">
            <x v="13"/>
          </reference>
          <reference field="7" count="1" selected="0">
            <x v="6"/>
          </reference>
          <reference field="8" count="1" selected="0">
            <x v="1"/>
          </reference>
        </references>
      </pivotArea>
    </format>
    <format dxfId="4128">
      <pivotArea dataOnly="0" labelOnly="1" outline="0" fieldPosition="0">
        <references count="5">
          <reference field="2" count="1" selected="0">
            <x v="2"/>
          </reference>
          <reference field="3" count="1" selected="0">
            <x v="9"/>
          </reference>
          <reference field="4" count="2">
            <x v="6"/>
            <x v="8"/>
          </reference>
          <reference field="7" count="1" selected="0">
            <x v="7"/>
          </reference>
          <reference field="8" count="1" selected="0">
            <x v="1"/>
          </reference>
        </references>
      </pivotArea>
    </format>
    <format dxfId="4127">
      <pivotArea dataOnly="0" labelOnly="1" outline="0" fieldPosition="0">
        <references count="5">
          <reference field="2" count="1" selected="0">
            <x v="3"/>
          </reference>
          <reference field="3" count="1" selected="0">
            <x v="7"/>
          </reference>
          <reference field="4" count="1">
            <x v="14"/>
          </reference>
          <reference field="7" count="1" selected="0">
            <x v="8"/>
          </reference>
          <reference field="8" count="1" selected="0">
            <x v="1"/>
          </reference>
        </references>
      </pivotArea>
    </format>
    <format dxfId="4126">
      <pivotArea dataOnly="0" labelOnly="1" outline="0" fieldPosition="0">
        <references count="5">
          <reference field="2" count="1" selected="0">
            <x v="1"/>
          </reference>
          <reference field="3" count="1" selected="0">
            <x v="3"/>
          </reference>
          <reference field="4" count="2">
            <x v="9"/>
            <x v="11"/>
          </reference>
          <reference field="7" count="1" selected="0">
            <x v="9"/>
          </reference>
          <reference field="8" count="1" selected="0">
            <x v="1"/>
          </reference>
        </references>
      </pivotArea>
    </format>
    <format dxfId="4125">
      <pivotArea dataOnly="0" labelOnly="1" outline="0" fieldPosition="0">
        <references count="7">
          <reference field="2" count="1" selected="0">
            <x v="1"/>
          </reference>
          <reference field="3" count="1" selected="0">
            <x v="1"/>
          </reference>
          <reference field="4" count="1" selected="0">
            <x v="12"/>
          </reference>
          <reference field="5" count="1">
            <x v="4"/>
          </reference>
          <reference field="6" count="1" selected="0">
            <x v="1"/>
          </reference>
          <reference field="7" count="1" selected="0">
            <x v="3"/>
          </reference>
          <reference field="8" count="1" selected="0">
            <x v="1"/>
          </reference>
        </references>
      </pivotArea>
    </format>
    <format dxfId="4124">
      <pivotArea dataOnly="0" labelOnly="1" outline="0" fieldPosition="0">
        <references count="7">
          <reference field="2" count="1" selected="0">
            <x v="2"/>
          </reference>
          <reference field="3" count="1" selected="0">
            <x v="9"/>
          </reference>
          <reference field="4" count="1" selected="0">
            <x v="4"/>
          </reference>
          <reference field="5" count="1">
            <x v="4"/>
          </reference>
          <reference field="6" count="1" selected="0">
            <x v="1"/>
          </reference>
          <reference field="7" count="1" selected="0">
            <x v="3"/>
          </reference>
          <reference field="8" count="1" selected="0">
            <x v="1"/>
          </reference>
        </references>
      </pivotArea>
    </format>
    <format dxfId="4123">
      <pivotArea dataOnly="0" labelOnly="1" outline="0" fieldPosition="0">
        <references count="7">
          <reference field="2" count="1" selected="0">
            <x v="2"/>
          </reference>
          <reference field="3" count="1" selected="0">
            <x v="5"/>
          </reference>
          <reference field="4" count="1" selected="0">
            <x v="1"/>
          </reference>
          <reference field="5" count="1">
            <x v="5"/>
          </reference>
          <reference field="6" count="1" selected="0">
            <x v="1"/>
          </reference>
          <reference field="7" count="1" selected="0">
            <x v="3"/>
          </reference>
          <reference field="8" count="1" selected="0">
            <x v="1"/>
          </reference>
        </references>
      </pivotArea>
    </format>
    <format dxfId="4122">
      <pivotArea dataOnly="0" labelOnly="1" outline="0" fieldPosition="0">
        <references count="7">
          <reference field="2" count="1" selected="0">
            <x v="2"/>
          </reference>
          <reference field="3" count="1" selected="0">
            <x v="5"/>
          </reference>
          <reference field="4" count="1" selected="0">
            <x v="3"/>
          </reference>
          <reference field="5" count="1">
            <x v="5"/>
          </reference>
          <reference field="6" count="1" selected="0">
            <x v="1"/>
          </reference>
          <reference field="7" count="1" selected="0">
            <x v="3"/>
          </reference>
          <reference field="8" count="1" selected="0">
            <x v="1"/>
          </reference>
        </references>
      </pivotArea>
    </format>
    <format dxfId="4121">
      <pivotArea dataOnly="0" labelOnly="1" outline="0" fieldPosition="0">
        <references count="7">
          <reference field="2" count="1" selected="0">
            <x v="2"/>
          </reference>
          <reference field="3" count="1" selected="0">
            <x v="9"/>
          </reference>
          <reference field="4" count="1" selected="0">
            <x v="5"/>
          </reference>
          <reference field="5" count="1">
            <x v="5"/>
          </reference>
          <reference field="6" count="1" selected="0">
            <x v="1"/>
          </reference>
          <reference field="7" count="1" selected="0">
            <x v="4"/>
          </reference>
          <reference field="8" count="1" selected="0">
            <x v="1"/>
          </reference>
        </references>
      </pivotArea>
    </format>
    <format dxfId="4120">
      <pivotArea dataOnly="0" labelOnly="1" outline="0" fieldPosition="0">
        <references count="7">
          <reference field="2" count="1" selected="0">
            <x v="2"/>
          </reference>
          <reference field="3" count="1" selected="0">
            <x v="9"/>
          </reference>
          <reference field="4" count="1" selected="0">
            <x v="7"/>
          </reference>
          <reference field="5" count="1">
            <x v="6"/>
          </reference>
          <reference field="6" count="1" selected="0">
            <x v="1"/>
          </reference>
          <reference field="7" count="1" selected="0">
            <x v="4"/>
          </reference>
          <reference field="8" count="1" selected="0">
            <x v="1"/>
          </reference>
        </references>
      </pivotArea>
    </format>
    <format dxfId="4119">
      <pivotArea dataOnly="0" labelOnly="1" outline="0" fieldPosition="0">
        <references count="7">
          <reference field="2" count="1" selected="0">
            <x v="3"/>
          </reference>
          <reference field="3" count="1" selected="0">
            <x v="7"/>
          </reference>
          <reference field="4" count="1" selected="0">
            <x v="2"/>
          </reference>
          <reference field="5" count="1">
            <x v="10"/>
          </reference>
          <reference field="6" count="1" selected="0">
            <x v="1"/>
          </reference>
          <reference field="7" count="1" selected="0">
            <x v="4"/>
          </reference>
          <reference field="8" count="1" selected="0">
            <x v="1"/>
          </reference>
        </references>
      </pivotArea>
    </format>
    <format dxfId="4118">
      <pivotArea dataOnly="0" labelOnly="1" outline="0" fieldPosition="0">
        <references count="7">
          <reference field="2" count="1" selected="0">
            <x v="2"/>
          </reference>
          <reference field="3" count="1" selected="0">
            <x v="2"/>
          </reference>
          <reference field="4" count="1" selected="0">
            <x v="23"/>
          </reference>
          <reference field="5" count="1">
            <x v="11"/>
          </reference>
          <reference field="6" count="1" selected="0">
            <x v="1"/>
          </reference>
          <reference field="7" count="1" selected="0">
            <x v="5"/>
          </reference>
          <reference field="8" count="1" selected="0">
            <x v="1"/>
          </reference>
        </references>
      </pivotArea>
    </format>
    <format dxfId="4117">
      <pivotArea dataOnly="0" labelOnly="1" outline="0" fieldPosition="0">
        <references count="7">
          <reference field="2" count="1" selected="0">
            <x v="1"/>
          </reference>
          <reference field="3" count="1" selected="0">
            <x v="1"/>
          </reference>
          <reference field="4" count="1" selected="0">
            <x v="10"/>
          </reference>
          <reference field="5" count="1">
            <x v="9"/>
          </reference>
          <reference field="6" count="1" selected="0">
            <x v="1"/>
          </reference>
          <reference field="7" count="1" selected="0">
            <x v="6"/>
          </reference>
          <reference field="8" count="1" selected="0">
            <x v="1"/>
          </reference>
        </references>
      </pivotArea>
    </format>
    <format dxfId="4116">
      <pivotArea dataOnly="0" labelOnly="1" outline="0" fieldPosition="0">
        <references count="7">
          <reference field="2" count="1" selected="0">
            <x v="2"/>
          </reference>
          <reference field="3" count="1" selected="0">
            <x v="6"/>
          </reference>
          <reference field="4" count="1" selected="0">
            <x v="22"/>
          </reference>
          <reference field="5" count="1">
            <x v="11"/>
          </reference>
          <reference field="6" count="1" selected="0">
            <x v="1"/>
          </reference>
          <reference field="7" count="1" selected="0">
            <x v="6"/>
          </reference>
          <reference field="8" count="1" selected="0">
            <x v="1"/>
          </reference>
        </references>
      </pivotArea>
    </format>
    <format dxfId="4115">
      <pivotArea dataOnly="0" labelOnly="1" outline="0" fieldPosition="0">
        <references count="7">
          <reference field="2" count="1" selected="0">
            <x v="2"/>
          </reference>
          <reference field="3" count="1" selected="0">
            <x v="8"/>
          </reference>
          <reference field="4" count="1" selected="0">
            <x v="22"/>
          </reference>
          <reference field="5" count="1">
            <x v="10"/>
          </reference>
          <reference field="6" count="1" selected="0">
            <x v="1"/>
          </reference>
          <reference field="7" count="1" selected="0">
            <x v="6"/>
          </reference>
          <reference field="8" count="1" selected="0">
            <x v="1"/>
          </reference>
        </references>
      </pivotArea>
    </format>
    <format dxfId="4114">
      <pivotArea dataOnly="0" labelOnly="1" outline="0" fieldPosition="0">
        <references count="7">
          <reference field="2" count="1" selected="0">
            <x v="2"/>
          </reference>
          <reference field="3" count="1" selected="0">
            <x v="5"/>
          </reference>
          <reference field="4" count="1" selected="0">
            <x v="13"/>
          </reference>
          <reference field="5" count="1">
            <x v="7"/>
          </reference>
          <reference field="6" count="1" selected="0">
            <x v="1"/>
          </reference>
          <reference field="7" count="1" selected="0">
            <x v="6"/>
          </reference>
          <reference field="8" count="1" selected="0">
            <x v="1"/>
          </reference>
        </references>
      </pivotArea>
    </format>
    <format dxfId="4113">
      <pivotArea dataOnly="0" labelOnly="1" outline="0" fieldPosition="0">
        <references count="7">
          <reference field="2" count="1" selected="0">
            <x v="2"/>
          </reference>
          <reference field="3" count="1" selected="0">
            <x v="9"/>
          </reference>
          <reference field="4" count="1" selected="0">
            <x v="6"/>
          </reference>
          <reference field="5" count="1">
            <x v="8"/>
          </reference>
          <reference field="6" count="1" selected="0">
            <x v="1"/>
          </reference>
          <reference field="7" count="1" selected="0">
            <x v="7"/>
          </reference>
          <reference field="8" count="1" selected="0">
            <x v="1"/>
          </reference>
        </references>
      </pivotArea>
    </format>
    <format dxfId="4112">
      <pivotArea dataOnly="0" labelOnly="1" outline="0" fieldPosition="0">
        <references count="7">
          <reference field="2" count="1" selected="0">
            <x v="2"/>
          </reference>
          <reference field="3" count="1" selected="0">
            <x v="9"/>
          </reference>
          <reference field="4" count="1" selected="0">
            <x v="8"/>
          </reference>
          <reference field="5" count="1">
            <x v="8"/>
          </reference>
          <reference field="6" count="1" selected="0">
            <x v="1"/>
          </reference>
          <reference field="7" count="1" selected="0">
            <x v="7"/>
          </reference>
          <reference field="8" count="1" selected="0">
            <x v="1"/>
          </reference>
        </references>
      </pivotArea>
    </format>
    <format dxfId="4111">
      <pivotArea dataOnly="0" labelOnly="1" outline="0" fieldPosition="0">
        <references count="7">
          <reference field="2" count="1" selected="0">
            <x v="3"/>
          </reference>
          <reference field="3" count="1" selected="0">
            <x v="7"/>
          </reference>
          <reference field="4" count="1" selected="0">
            <x v="14"/>
          </reference>
          <reference field="5" count="1">
            <x v="10"/>
          </reference>
          <reference field="6" count="1" selected="0">
            <x v="1"/>
          </reference>
          <reference field="7" count="1" selected="0">
            <x v="8"/>
          </reference>
          <reference field="8" count="1" selected="0">
            <x v="1"/>
          </reference>
        </references>
      </pivotArea>
    </format>
    <format dxfId="4110">
      <pivotArea dataOnly="0" labelOnly="1" outline="0" fieldPosition="0">
        <references count="7">
          <reference field="2" count="1" selected="0">
            <x v="1"/>
          </reference>
          <reference field="3" count="1" selected="0">
            <x v="3"/>
          </reference>
          <reference field="4" count="1" selected="0">
            <x v="9"/>
          </reference>
          <reference field="5" count="1">
            <x v="10"/>
          </reference>
          <reference field="6" count="1" selected="0">
            <x v="1"/>
          </reference>
          <reference field="7" count="1" selected="0">
            <x v="9"/>
          </reference>
          <reference field="8" count="1" selected="0">
            <x v="1"/>
          </reference>
        </references>
      </pivotArea>
    </format>
    <format dxfId="4109">
      <pivotArea dataOnly="0" labelOnly="1" outline="0" fieldPosition="0">
        <references count="7">
          <reference field="2" count="1" selected="0">
            <x v="1"/>
          </reference>
          <reference field="3" count="1" selected="0">
            <x v="3"/>
          </reference>
          <reference field="4" count="1" selected="0">
            <x v="11"/>
          </reference>
          <reference field="5" count="1">
            <x v="10"/>
          </reference>
          <reference field="6" count="1" selected="0">
            <x v="1"/>
          </reference>
          <reference field="7" count="1" selected="0">
            <x v="9"/>
          </reference>
          <reference field="8" count="1" selected="0">
            <x v="1"/>
          </reference>
        </references>
      </pivotArea>
    </format>
    <format dxfId="4108">
      <pivotArea field="8" type="button" dataOnly="0" labelOnly="1" outline="0" axis="axisRow" fieldPosition="0"/>
    </format>
    <format dxfId="4107">
      <pivotArea field="7" type="button" dataOnly="0" labelOnly="1" outline="0" axis="axisRow" fieldPosition="1"/>
    </format>
    <format dxfId="4106">
      <pivotArea field="2" type="button" dataOnly="0" labelOnly="1" outline="0" axis="axisRow" fieldPosition="2"/>
    </format>
    <format dxfId="4105">
      <pivotArea field="3" type="button" dataOnly="0" labelOnly="1" outline="0" axis="axisRow" fieldPosition="3"/>
    </format>
    <format dxfId="4104">
      <pivotArea field="4" type="button" dataOnly="0" labelOnly="1" outline="0" axis="axisRow" fieldPosition="4"/>
    </format>
    <format dxfId="4103">
      <pivotArea field="6" type="button" dataOnly="0" labelOnly="1" outline="0" axis="axisRow" fieldPosition="5"/>
    </format>
    <format dxfId="4102">
      <pivotArea field="5" type="button" dataOnly="0" labelOnly="1" outline="0" axis="axisRow" fieldPosition="6"/>
    </format>
    <format dxfId="3227">
      <pivotArea dataOnly="0" outline="0" fieldPosition="0">
        <references count="1">
          <reference field="3" count="1">
            <x v="11"/>
          </reference>
        </references>
      </pivotArea>
    </format>
    <format dxfId="2374">
      <pivotArea dataOnly="0" outline="0" fieldPosition="0">
        <references count="1">
          <reference field="5" count="1">
            <x v="4"/>
          </reference>
        </references>
      </pivotArea>
    </format>
    <format dxfId="2372">
      <pivotArea dataOnly="0" outline="0" fieldPosition="0">
        <references count="1">
          <reference field="5" count="1">
            <x v="4"/>
          </reference>
        </references>
      </pivotArea>
    </format>
    <format dxfId="2371">
      <pivotArea dataOnly="0" outline="0" fieldPosition="0">
        <references count="1">
          <reference field="5" count="1">
            <x v="5"/>
          </reference>
        </references>
      </pivotArea>
    </format>
    <format dxfId="2369">
      <pivotArea dataOnly="0" outline="0" fieldPosition="0">
        <references count="1">
          <reference field="5" count="1">
            <x v="5"/>
          </reference>
        </references>
      </pivotArea>
    </format>
    <format dxfId="2368">
      <pivotArea dataOnly="0" outline="0" fieldPosition="0">
        <references count="1">
          <reference field="5" count="1">
            <x v="5"/>
          </reference>
        </references>
      </pivotArea>
    </format>
    <format dxfId="2367">
      <pivotArea dataOnly="0" outline="0" fieldPosition="0">
        <references count="1">
          <reference field="5" count="1">
            <x v="4"/>
          </reference>
        </references>
      </pivotArea>
    </format>
    <format dxfId="2366">
      <pivotArea dataOnly="0" outline="0" fieldPosition="0">
        <references count="1">
          <reference field="5" count="1">
            <x v="6"/>
          </reference>
        </references>
      </pivotArea>
    </format>
    <format dxfId="2365">
      <pivotArea dataOnly="0" outline="0" fieldPosition="0">
        <references count="1">
          <reference field="5" count="1">
            <x v="6"/>
          </reference>
        </references>
      </pivotArea>
    </format>
    <format dxfId="755">
      <pivotArea dataOnly="0" outline="0" fieldPosition="0">
        <references count="1">
          <reference field="4" count="2">
            <x v="1"/>
            <x v="3"/>
          </reference>
        </references>
      </pivotArea>
    </format>
    <format dxfId="754">
      <pivotArea dataOnly="0" outline="0" fieldPosition="0">
        <references count="1">
          <reference field="4" count="1">
            <x v="2"/>
          </reference>
        </references>
      </pivotArea>
    </format>
    <format dxfId="753">
      <pivotArea dataOnly="0" labelOnly="1" outline="0" fieldPosition="0">
        <references count="5">
          <reference field="2" count="1" selected="0">
            <x v="5"/>
          </reference>
          <reference field="3" count="1" selected="0">
            <x v="4"/>
          </reference>
          <reference field="4" count="1">
            <x v="24"/>
          </reference>
          <reference field="7" count="1" selected="0">
            <x v="4"/>
          </reference>
          <reference field="8" count="1" selected="0">
            <x v="1"/>
          </reference>
        </references>
      </pivotArea>
    </format>
    <format dxfId="752">
      <pivotArea dataOnly="0" outline="0" fieldPosition="0">
        <references count="1">
          <reference field="4" count="2">
            <x v="25"/>
            <x v="26"/>
          </reference>
        </references>
      </pivotArea>
    </format>
    <format dxfId="751">
      <pivotArea dataOnly="0" outline="0" fieldPosition="0">
        <references count="1">
          <reference field="4" count="1">
            <x v="12"/>
          </reference>
        </references>
      </pivotArea>
    </format>
    <format dxfId="8">
      <pivotArea dataOnly="0" outline="0" fieldPosition="0">
        <references count="1">
          <reference field="4" count="1">
            <x v="1"/>
          </reference>
        </references>
      </pivotArea>
    </format>
    <format dxfId="7">
      <pivotArea dataOnly="0" outline="0" fieldPosition="0">
        <references count="1">
          <reference field="4" count="1">
            <x v="2"/>
          </reference>
        </references>
      </pivotArea>
    </format>
    <format dxfId="6">
      <pivotArea dataOnly="0" outline="0" fieldPosition="0">
        <references count="1">
          <reference field="4" count="1">
            <x v="3"/>
          </reference>
        </references>
      </pivotArea>
    </format>
    <format dxfId="5">
      <pivotArea dataOnly="0" outline="0" fieldPosition="0">
        <references count="1">
          <reference field="4" count="1">
            <x v="24"/>
          </reference>
        </references>
      </pivotArea>
    </format>
    <format dxfId="4">
      <pivotArea dataOnly="0" labelOnly="1" outline="0" fieldPosition="0">
        <references count="5">
          <reference field="2" count="1" selected="0">
            <x v="5"/>
          </reference>
          <reference field="3" count="1" selected="0">
            <x v="4"/>
          </reference>
          <reference field="4" count="1">
            <x v="25"/>
          </reference>
          <reference field="7" count="1" selected="0">
            <x v="5"/>
          </reference>
          <reference field="8" count="1" selected="0">
            <x v="1"/>
          </reference>
        </references>
      </pivotArea>
    </format>
    <format dxfId="3">
      <pivotArea dataOnly="0" labelOnly="1" outline="0" fieldPosition="0">
        <references count="5">
          <reference field="2" count="1" selected="0">
            <x v="5"/>
          </reference>
          <reference field="3" count="1" selected="0">
            <x v="4"/>
          </reference>
          <reference field="4" count="1">
            <x v="26"/>
          </reference>
          <reference field="7" count="1" selected="0">
            <x v="5"/>
          </reference>
          <reference field="8" count="1" selected="0">
            <x v="1"/>
          </reference>
        </references>
      </pivotArea>
    </format>
    <format dxfId="2">
      <pivotArea dataOnly="0" labelOnly="1" outline="0" fieldPosition="0">
        <references count="7">
          <reference field="2" count="1" selected="0">
            <x v="5"/>
          </reference>
          <reference field="3" count="1" selected="0">
            <x v="4"/>
          </reference>
          <reference field="4" count="1" selected="0">
            <x v="24"/>
          </reference>
          <reference field="5" count="1">
            <x v="5"/>
          </reference>
          <reference field="6" count="1" selected="0">
            <x v="1"/>
          </reference>
          <reference field="7" count="1" selected="0">
            <x v="4"/>
          </reference>
          <reference field="8" count="1" selected="0">
            <x v="1"/>
          </reference>
        </references>
      </pivotArea>
    </format>
    <format dxfId="1">
      <pivotArea dataOnly="0" labelOnly="1" outline="0" fieldPosition="0">
        <references count="7">
          <reference field="2" count="1" selected="0">
            <x v="5"/>
          </reference>
          <reference field="3" count="1" selected="0">
            <x v="4"/>
          </reference>
          <reference field="4" count="1" selected="0">
            <x v="25"/>
          </reference>
          <reference field="5" count="1">
            <x v="5"/>
          </reference>
          <reference field="6" count="1" selected="0">
            <x v="1"/>
          </reference>
          <reference field="7" count="1" selected="0">
            <x v="5"/>
          </reference>
          <reference field="8" count="1" selected="0">
            <x v="1"/>
          </reference>
        </references>
      </pivotArea>
    </format>
    <format dxfId="0">
      <pivotArea dataOnly="0" labelOnly="1" outline="0" fieldPosition="0">
        <references count="7">
          <reference field="2" count="1" selected="0">
            <x v="5"/>
          </reference>
          <reference field="3" count="1" selected="0">
            <x v="4"/>
          </reference>
          <reference field="4" count="1" selected="0">
            <x v="26"/>
          </reference>
          <reference field="5" count="1">
            <x v="6"/>
          </reference>
          <reference field="6" count="1" selected="0">
            <x v="1"/>
          </reference>
          <reference field="7" count="1" selected="0">
            <x v="5"/>
          </reference>
          <reference field="8"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DEF48E-F164-4019-B095-30C5DF257F8E}" name="ピボットテーブル2" cacheId="131" applyNumberFormats="0" applyBorderFormats="0" applyFontFormats="0" applyPatternFormats="0" applyAlignmentFormats="0" applyWidthHeightFormats="1" dataCaption="値" updatedVersion="8" minRefreshableVersion="3" itemPrintTitles="1" createdVersion="8" indent="0" compact="0" compactData="0" multipleFieldFilters="0">
  <location ref="A3:C45" firstHeaderRow="0" firstDataRow="1" firstDataCol="1"/>
  <pivotFields count="29">
    <pivotField compact="0" outline="0" showAll="0"/>
    <pivotField compact="0" numFmtId="179" outline="0" showAll="0">
      <items count="9">
        <item x="0"/>
        <item x="1"/>
        <item x="2"/>
        <item x="3"/>
        <item x="4"/>
        <item x="5"/>
        <item x="6"/>
        <item x="7"/>
        <item t="default"/>
      </items>
    </pivotField>
    <pivotField compact="0" outline="0" showAll="0"/>
    <pivotField compact="0" outline="0" showAll="0"/>
    <pivotField compact="0" outline="0" showAll="0"/>
    <pivotField compact="0" outline="0" showAll="0"/>
    <pivotField axis="axisRow" compact="0" outline="0" showAll="0">
      <items count="42">
        <item x="31"/>
        <item x="19"/>
        <item x="22"/>
        <item x="21"/>
        <item x="36"/>
        <item x="23"/>
        <item x="25"/>
        <item x="20"/>
        <item x="2"/>
        <item x="8"/>
        <item x="11"/>
        <item x="12"/>
        <item x="40"/>
        <item x="14"/>
        <item x="15"/>
        <item x="3"/>
        <item x="1"/>
        <item x="17"/>
        <item x="4"/>
        <item x="16"/>
        <item x="13"/>
        <item x="24"/>
        <item x="39"/>
        <item x="5"/>
        <item x="6"/>
        <item x="28"/>
        <item x="32"/>
        <item x="29"/>
        <item x="37"/>
        <item x="27"/>
        <item x="9"/>
        <item x="7"/>
        <item x="18"/>
        <item x="38"/>
        <item x="10"/>
        <item x="30"/>
        <item x="33"/>
        <item x="34"/>
        <item x="26"/>
        <item x="35"/>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1">
    <field x="6"/>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2">
    <i>
      <x/>
    </i>
    <i i="1">
      <x v="1"/>
    </i>
  </colItems>
  <dataFields count="2">
    <dataField name="合計 / 意識/姿勢" fld="15" baseField="0" baseItem="0"/>
    <dataField name="個数 / 原文" fld="17" subtotal="count" baseField="0" baseItem="0"/>
  </dataFields>
  <formats count="4">
    <format dxfId="4071">
      <pivotArea type="all" dataOnly="0" outline="0" fieldPosition="0"/>
    </format>
    <format dxfId="4070">
      <pivotArea field="6" type="button" dataOnly="0" labelOnly="1" outline="0" axis="axisRow" fieldPosition="0"/>
    </format>
    <format dxfId="4069">
      <pivotArea dataOnly="0" labelOnly="1" outline="0" fieldPosition="0">
        <references count="1">
          <reference field="6" count="0"/>
        </references>
      </pivotArea>
    </format>
    <format dxfId="4068">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58242D-2786-4EE4-9BEF-629210A71DC9}" name="ピボットテーブル2" cacheId="131" applyNumberFormats="0" applyBorderFormats="0" applyFontFormats="0" applyPatternFormats="0" applyAlignmentFormats="0" applyWidthHeightFormats="1" dataCaption="値" updatedVersion="8" minRefreshableVersion="3" rowGrandTotals="0" colGrandTotals="0" itemPrintTitles="1" createdVersion="8" indent="0" compact="0" compactData="0" multipleFieldFilters="0">
  <location ref="A5:N95" firstHeaderRow="1" firstDataRow="1" firstDataCol="14" rowPageCount="2" colPageCount="1"/>
  <pivotFields count="29">
    <pivotField axis="axisRow" compact="0" outline="0" subtotalTop="0" showAll="0" defaultSubtotal="0">
      <items count="5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s>
      <extLst>
        <ext xmlns:x14="http://schemas.microsoft.com/office/spreadsheetml/2009/9/main" uri="{2946ED86-A175-432a-8AC1-64E0C546D7DE}">
          <x14:pivotField fillDownLabels="1"/>
        </ext>
      </extLst>
    </pivotField>
    <pivotField compact="0" numFmtId="179" outline="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8">
        <item x="6"/>
        <item x="7"/>
        <item x="8"/>
        <item x="9"/>
        <item x="10"/>
        <item x="11"/>
        <item x="5"/>
        <item x="4"/>
        <item x="2"/>
        <item x="12"/>
        <item x="13"/>
        <item x="14"/>
        <item x="15"/>
        <item x="16"/>
        <item x="17"/>
        <item x="3"/>
        <item x="1"/>
        <item x="0"/>
      </items>
      <extLst>
        <ext xmlns:x14="http://schemas.microsoft.com/office/spreadsheetml/2009/9/main" uri="{2946ED86-A175-432a-8AC1-64E0C546D7DE}">
          <x14:pivotField fillDownLabels="1"/>
        </ext>
      </extLst>
    </pivotField>
    <pivotField axis="axisRow" compact="0" outline="0" subtotalTop="0" showAll="0" defaultSubtotal="0">
      <items count="41">
        <item x="31"/>
        <item x="19"/>
        <item x="22"/>
        <item x="21"/>
        <item x="36"/>
        <item x="23"/>
        <item x="25"/>
        <item x="20"/>
        <item x="2"/>
        <item x="8"/>
        <item x="11"/>
        <item x="12"/>
        <item x="40"/>
        <item x="14"/>
        <item x="15"/>
        <item x="3"/>
        <item x="1"/>
        <item x="17"/>
        <item x="16"/>
        <item x="13"/>
        <item x="39"/>
        <item x="5"/>
        <item x="6"/>
        <item x="28"/>
        <item x="32"/>
        <item x="29"/>
        <item x="37"/>
        <item x="27"/>
        <item x="9"/>
        <item x="7"/>
        <item x="18"/>
        <item x="38"/>
        <item x="30"/>
        <item x="33"/>
        <item x="34"/>
        <item x="35"/>
        <item x="0"/>
        <item x="4"/>
        <item x="10"/>
        <item x="26"/>
        <item x="24"/>
      </items>
      <extLst>
        <ext xmlns:x14="http://schemas.microsoft.com/office/spreadsheetml/2009/9/main" uri="{2946ED86-A175-432a-8AC1-64E0C546D7DE}">
          <x14:pivotField fillDownLabels="1"/>
        </ext>
      </extLst>
    </pivotField>
    <pivotField axis="axisPage" compact="0" outline="0" multipleItemSelectionAllowed="1" showAll="0" defaultSubtotal="0">
      <items count="2">
        <item x="0"/>
        <item h="1" x="1"/>
      </items>
      <extLst>
        <ext xmlns:x14="http://schemas.microsoft.com/office/spreadsheetml/2009/9/main" uri="{2946ED86-A175-432a-8AC1-64E0C546D7DE}">
          <x14:pivotField fillDownLabels="1"/>
        </ext>
      </extLst>
    </pivotField>
    <pivotField axis="axisRow" compact="0" outline="0" multipleItemSelectionAllowed="1"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ubtotalTop="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06">
        <item x="347"/>
        <item x="314"/>
        <item x="328"/>
        <item x="75"/>
        <item x="12"/>
        <item x="87"/>
        <item x="381"/>
        <item x="207"/>
        <item x="263"/>
        <item x="80"/>
        <item x="86"/>
        <item x="64"/>
        <item x="4"/>
        <item x="18"/>
        <item x="65"/>
        <item x="60"/>
        <item x="44"/>
        <item x="88"/>
        <item x="70"/>
        <item x="57"/>
        <item x="15"/>
        <item x="73"/>
        <item x="62"/>
        <item x="71"/>
        <item x="69"/>
        <item x="81"/>
        <item x="24"/>
        <item x="83"/>
        <item x="34"/>
        <item x="17"/>
        <item x="0"/>
        <item x="37"/>
        <item x="74"/>
        <item x="84"/>
        <item x="85"/>
        <item x="78"/>
        <item x="76"/>
        <item x="22"/>
        <item x="67"/>
        <item x="3"/>
        <item x="41"/>
        <item x="25"/>
        <item x="72"/>
        <item x="20"/>
        <item x="9"/>
        <item x="13"/>
        <item x="143"/>
        <item x="178"/>
        <item x="23"/>
        <item x="21"/>
        <item x="14"/>
        <item x="19"/>
        <item x="8"/>
        <item x="10"/>
        <item x="68"/>
        <item x="82"/>
        <item x="59"/>
        <item x="35"/>
        <item x="40"/>
        <item x="36"/>
        <item x="5"/>
        <item x="66"/>
        <item x="63"/>
        <item x="79"/>
        <item x="43"/>
        <item x="7"/>
        <item x="58"/>
        <item x="362"/>
        <item x="396"/>
        <item x="42"/>
        <item x="26"/>
        <item x="56"/>
        <item x="2"/>
        <item x="1"/>
        <item x="6"/>
        <item x="77"/>
        <item x="45"/>
        <item x="349"/>
        <item x="306"/>
        <item x="329"/>
        <item x="11"/>
        <item x="327"/>
        <item x="39"/>
        <item x="38"/>
        <item x="61"/>
        <item x="355"/>
        <item x="399"/>
        <item x="363"/>
        <item x="387"/>
        <item x="386"/>
        <item x="383"/>
        <item x="388"/>
        <item x="382"/>
        <item x="384"/>
        <item x="252"/>
        <item x="348"/>
        <item x="170"/>
        <item x="115"/>
        <item x="271"/>
        <item x="282"/>
        <item x="99"/>
        <item x="193"/>
        <item x="258"/>
        <item x="213"/>
        <item x="214"/>
        <item x="270"/>
        <item x="194"/>
        <item x="195"/>
        <item x="218"/>
        <item x="202"/>
        <item x="211"/>
        <item x="117"/>
        <item x="223"/>
        <item x="249"/>
        <item x="379"/>
        <item x="361"/>
        <item x="135"/>
        <item x="237"/>
        <item x="375"/>
        <item x="360"/>
        <item x="309"/>
        <item x="331"/>
        <item x="254"/>
        <item x="272"/>
        <item x="376"/>
        <item x="295"/>
        <item x="221"/>
        <item x="228"/>
        <item x="240"/>
        <item x="235"/>
        <item x="277"/>
        <item x="54"/>
        <item x="133"/>
        <item x="307"/>
        <item x="201"/>
        <item x="242"/>
        <item x="222"/>
        <item x="392"/>
        <item x="30"/>
        <item x="32"/>
        <item x="116"/>
        <item x="104"/>
        <item x="304"/>
        <item x="46"/>
        <item x="302"/>
        <item x="253"/>
        <item x="51"/>
        <item x="105"/>
        <item x="103"/>
        <item x="278"/>
        <item x="378"/>
        <item x="156"/>
        <item x="134"/>
        <item x="140"/>
        <item x="132"/>
        <item x="374"/>
        <item x="163"/>
        <item x="402"/>
        <item x="189"/>
        <item x="319"/>
        <item x="385"/>
        <item x="393"/>
        <item x="190"/>
        <item x="162"/>
        <item x="298"/>
        <item x="33"/>
        <item x="212"/>
        <item x="149"/>
        <item x="305"/>
        <item x="229"/>
        <item x="220"/>
        <item x="238"/>
        <item x="187"/>
        <item x="186"/>
        <item x="281"/>
        <item x="308"/>
        <item x="165"/>
        <item x="317"/>
        <item x="154"/>
        <item x="138"/>
        <item x="118"/>
        <item x="219"/>
        <item x="321"/>
        <item x="150"/>
        <item x="176"/>
        <item x="47"/>
        <item x="55"/>
        <item x="285"/>
        <item x="325"/>
        <item x="216"/>
        <item x="166"/>
        <item x="248"/>
        <item x="171"/>
        <item x="262"/>
        <item x="334"/>
        <item x="108"/>
        <item x="119"/>
        <item x="316"/>
        <item x="206"/>
        <item x="294"/>
        <item x="159"/>
        <item x="111"/>
        <item x="256"/>
        <item x="351"/>
        <item x="312"/>
        <item x="337"/>
        <item x="107"/>
        <item x="31"/>
        <item x="260"/>
        <item x="275"/>
        <item x="333"/>
        <item x="403"/>
        <item x="318"/>
        <item x="126"/>
        <item x="147"/>
        <item x="92"/>
        <item x="286"/>
        <item x="398"/>
        <item x="230"/>
        <item x="345"/>
        <item x="98"/>
        <item x="100"/>
        <item x="94"/>
        <item x="259"/>
        <item x="50"/>
        <item x="136"/>
        <item x="301"/>
        <item x="151"/>
        <item x="287"/>
        <item x="181"/>
        <item x="96"/>
        <item x="114"/>
        <item x="266"/>
        <item x="370"/>
        <item x="226"/>
        <item x="191"/>
        <item x="49"/>
        <item x="152"/>
        <item x="91"/>
        <item x="89"/>
        <item x="131"/>
        <item x="280"/>
        <item x="359"/>
        <item x="343"/>
        <item x="322"/>
        <item x="234"/>
        <item x="311"/>
        <item x="367"/>
        <item x="284"/>
        <item x="199"/>
        <item x="146"/>
        <item x="177"/>
        <item x="400"/>
        <item x="122"/>
        <item x="340"/>
        <item x="174"/>
        <item x="389"/>
        <item x="358"/>
        <item x="279"/>
        <item x="324"/>
        <item x="315"/>
        <item x="283"/>
        <item x="200"/>
        <item x="169"/>
        <item x="180"/>
        <item x="290"/>
        <item x="404"/>
        <item x="129"/>
        <item x="179"/>
        <item x="241"/>
        <item x="405"/>
        <item x="225"/>
        <item x="233"/>
        <item x="210"/>
        <item x="192"/>
        <item x="391"/>
        <item x="390"/>
        <item x="394"/>
        <item x="130"/>
        <item x="198"/>
        <item x="339"/>
        <item x="28"/>
        <item x="188"/>
        <item x="366"/>
        <item x="255"/>
        <item x="268"/>
        <item x="265"/>
        <item x="257"/>
        <item x="245"/>
        <item x="215"/>
        <item x="247"/>
        <item x="95"/>
        <item x="232"/>
        <item x="209"/>
        <item x="269"/>
        <item x="127"/>
        <item x="326"/>
        <item x="373"/>
        <item x="53"/>
        <item x="335"/>
        <item x="330"/>
        <item x="203"/>
        <item x="172"/>
        <item x="101"/>
        <item x="303"/>
        <item x="397"/>
        <item x="227"/>
        <item x="377"/>
        <item x="102"/>
        <item x="183"/>
        <item x="332"/>
        <item x="160"/>
        <item x="182"/>
        <item x="164"/>
        <item x="323"/>
        <item x="109"/>
        <item x="372"/>
        <item x="344"/>
        <item x="264"/>
        <item x="29"/>
        <item x="365"/>
        <item x="250"/>
        <item x="93"/>
        <item x="346"/>
        <item x="48"/>
        <item x="291"/>
        <item x="205"/>
        <item x="395"/>
        <item x="175"/>
        <item x="261"/>
        <item x="288"/>
        <item x="289"/>
        <item x="267"/>
        <item x="244"/>
        <item x="273"/>
        <item x="276"/>
        <item x="251"/>
        <item x="168"/>
        <item x="184"/>
        <item x="369"/>
        <item x="120"/>
        <item x="204"/>
        <item x="246"/>
        <item x="52"/>
        <item x="208"/>
        <item x="310"/>
        <item x="292"/>
        <item x="350"/>
        <item x="90"/>
        <item x="299"/>
        <item x="142"/>
        <item x="167"/>
        <item x="196"/>
        <item x="296"/>
        <item x="121"/>
        <item x="158"/>
        <item x="297"/>
        <item x="300"/>
        <item x="401"/>
        <item x="353"/>
        <item x="342"/>
        <item x="364"/>
        <item x="217"/>
        <item x="113"/>
        <item x="148"/>
        <item x="338"/>
        <item x="371"/>
        <item x="341"/>
        <item x="106"/>
        <item x="112"/>
        <item x="124"/>
        <item x="153"/>
        <item x="110"/>
        <item x="137"/>
        <item x="141"/>
        <item x="336"/>
        <item x="173"/>
        <item x="123"/>
        <item x="145"/>
        <item x="185"/>
        <item x="197"/>
        <item x="125"/>
        <item x="155"/>
        <item x="144"/>
        <item x="128"/>
        <item x="161"/>
        <item x="139"/>
        <item x="368"/>
        <item x="352"/>
        <item x="320"/>
        <item x="313"/>
        <item x="357"/>
        <item x="236"/>
        <item x="356"/>
        <item x="243"/>
        <item x="224"/>
        <item x="231"/>
        <item x="293"/>
        <item x="239"/>
        <item x="354"/>
        <item x="380"/>
        <item x="97"/>
        <item x="274"/>
        <item x="157"/>
        <item x="16"/>
        <item x="2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0"/>
        <item h="1" x="1"/>
      </items>
      <extLst>
        <ext xmlns:x14="http://schemas.microsoft.com/office/spreadsheetml/2009/9/main" uri="{2946ED86-A175-432a-8AC1-64E0C546D7DE}">
          <x14:pivotField fillDownLabels="1"/>
        </ext>
      </extLst>
    </pivotField>
    <pivotField axis="axisRow" compact="0" outline="0" showAll="0" defaultSubtotal="0">
      <items count="48">
        <item x="34"/>
        <item x="43"/>
        <item x="45"/>
        <item x="12"/>
        <item x="35"/>
        <item x="13"/>
        <item x="24"/>
        <item x="28"/>
        <item x="17"/>
        <item x="19"/>
        <item x="38"/>
        <item x="16"/>
        <item x="18"/>
        <item x="7"/>
        <item x="9"/>
        <item x="36"/>
        <item x="37"/>
        <item x="31"/>
        <item x="46"/>
        <item x="44"/>
        <item x="11"/>
        <item x="40"/>
        <item x="23"/>
        <item x="42"/>
        <item x="15"/>
        <item x="3"/>
        <item x="47"/>
        <item x="14"/>
        <item x="2"/>
        <item x="26"/>
        <item x="25"/>
        <item x="20"/>
        <item x="21"/>
        <item x="33"/>
        <item x="5"/>
        <item x="10"/>
        <item x="1"/>
        <item x="32"/>
        <item x="0"/>
        <item x="8"/>
        <item x="27"/>
        <item x="4"/>
        <item x="6"/>
        <item x="29"/>
        <item x="41"/>
        <item x="30"/>
        <item x="22"/>
        <item x="39"/>
      </items>
      <extLst>
        <ext xmlns:x14="http://schemas.microsoft.com/office/spreadsheetml/2009/9/main" uri="{2946ED86-A175-432a-8AC1-64E0C546D7DE}">
          <x14:pivotField fillDownLabels="1"/>
        </ext>
      </extLst>
    </pivotField>
    <pivotField axis="axisRow" compact="0" outline="0" showAll="0" defaultSubtotal="0">
      <items count="6">
        <item x="3"/>
        <item x="4"/>
        <item x="1"/>
        <item x="5"/>
        <item x="0"/>
        <item x="2"/>
      </items>
      <extLst>
        <ext xmlns:x14="http://schemas.microsoft.com/office/spreadsheetml/2009/9/main" uri="{2946ED86-A175-432a-8AC1-64E0C546D7DE}">
          <x14:pivotField fillDownLabels="1"/>
        </ext>
      </extLst>
    </pivotField>
    <pivotField axis="axisRow" compact="0" outline="0" showAll="0" defaultSubtotal="0">
      <items count="9">
        <item x="6"/>
        <item x="3"/>
        <item x="7"/>
        <item x="2"/>
        <item x="8"/>
        <item x="4"/>
        <item x="0"/>
        <item x="1"/>
        <item x="5"/>
      </items>
      <extLst>
        <ext xmlns:x14="http://schemas.microsoft.com/office/spreadsheetml/2009/9/main" uri="{2946ED86-A175-432a-8AC1-64E0C546D7DE}">
          <x14:pivotField fillDownLabels="1"/>
        </ext>
      </extLst>
    </pivotField>
    <pivotField axis="axisRow" compact="0" outline="0" showAll="0" defaultSubtotal="0">
      <items count="8">
        <item x="6"/>
        <item x="3"/>
        <item x="7"/>
        <item x="5"/>
        <item x="1"/>
        <item x="0"/>
        <item x="2"/>
        <item x="4"/>
      </items>
      <extLst>
        <ext xmlns:x14="http://schemas.microsoft.com/office/spreadsheetml/2009/9/main" uri="{2946ED86-A175-432a-8AC1-64E0C546D7DE}">
          <x14:pivotField fillDownLabels="1"/>
        </ext>
      </extLst>
    </pivotField>
    <pivotField axis="axisRow" compact="0" outline="0" showAll="0" defaultSubtotal="0">
      <items count="5">
        <item x="0"/>
        <item x="2"/>
        <item x="3"/>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14">
    <field x="8"/>
    <field x="9"/>
    <field x="10"/>
    <field x="25"/>
    <field x="22"/>
    <field x="23"/>
    <field x="24"/>
    <field x="28"/>
    <field x="27"/>
    <field x="6"/>
    <field x="0"/>
    <field x="17"/>
    <field x="21"/>
    <field x="5"/>
  </rowFields>
  <rowItems count="90">
    <i>
      <x/>
      <x/>
      <x/>
      <x v="2"/>
      <x v="4"/>
      <x v="7"/>
      <x v="1"/>
      <x v="1"/>
      <x v="3"/>
      <x v="29"/>
      <x v="27"/>
      <x v="41"/>
      <x v="13"/>
      <x v="17"/>
    </i>
    <i r="2">
      <x v="1"/>
      <x/>
      <x v="4"/>
      <x v="6"/>
      <x v="4"/>
      <x v="1"/>
      <x v="3"/>
      <x v="16"/>
      <x v="16"/>
      <x v="20"/>
      <x v="41"/>
      <x v="17"/>
    </i>
    <i r="9">
      <x v="36"/>
      <x v="11"/>
      <x v="53"/>
      <x v="28"/>
      <x v="17"/>
    </i>
    <i r="10">
      <x v="19"/>
      <x v="13"/>
      <x v="41"/>
      <x v="17"/>
    </i>
    <i r="6">
      <x v="5"/>
      <x v="1"/>
      <x v="3"/>
      <x v="8"/>
      <x v="4"/>
      <x v="12"/>
      <x v="36"/>
      <x v="17"/>
    </i>
    <i r="10">
      <x v="5"/>
      <x v="60"/>
      <x v="36"/>
      <x v="17"/>
    </i>
    <i r="9">
      <x v="16"/>
      <x v="1"/>
      <x v="73"/>
      <x v="38"/>
      <x v="17"/>
    </i>
    <i r="10">
      <x v="3"/>
      <x v="39"/>
      <x v="36"/>
      <x v="17"/>
    </i>
    <i r="9">
      <x v="36"/>
      <x/>
      <x v="30"/>
      <x v="38"/>
      <x v="17"/>
    </i>
    <i r="3">
      <x v="2"/>
      <x/>
      <x v="5"/>
      <x/>
      <x v="1"/>
      <x v="3"/>
      <x v="1"/>
      <x v="61"/>
      <x v="56"/>
      <x v="8"/>
      <x v="17"/>
    </i>
    <i r="10">
      <x v="89"/>
      <x v="5"/>
      <x v="6"/>
      <x v="17"/>
    </i>
    <i r="9">
      <x v="2"/>
      <x v="72"/>
      <x v="18"/>
      <x v="31"/>
      <x v="17"/>
    </i>
    <i r="9">
      <x v="3"/>
      <x v="59"/>
      <x v="19"/>
      <x v="8"/>
      <x v="17"/>
    </i>
    <i r="10">
      <x v="67"/>
      <x v="14"/>
      <x v="9"/>
      <x v="17"/>
    </i>
    <i r="9">
      <x v="7"/>
      <x v="58"/>
      <x v="71"/>
      <x v="8"/>
      <x v="17"/>
    </i>
    <i r="10">
      <x v="66"/>
      <x v="11"/>
      <x v="9"/>
      <x v="17"/>
    </i>
    <i r="10">
      <x v="88"/>
      <x v="10"/>
      <x v="6"/>
      <x v="17"/>
    </i>
    <i r="9">
      <x v="8"/>
      <x v="81"/>
      <x v="63"/>
      <x v="46"/>
      <x v="17"/>
    </i>
    <i r="9">
      <x v="18"/>
      <x v="90"/>
      <x v="17"/>
      <x v="6"/>
      <x v="17"/>
    </i>
    <i r="9">
      <x v="21"/>
      <x v="82"/>
      <x v="9"/>
      <x v="46"/>
      <x v="17"/>
    </i>
    <i r="4">
      <x v="1"/>
      <x v="8"/>
      <x/>
      <x v="1"/>
      <x v="3"/>
      <x v="5"/>
      <x v="85"/>
      <x v="27"/>
      <x v="22"/>
      <x v="17"/>
    </i>
    <i r="4">
      <x v="4"/>
      <x v="7"/>
      <x v="1"/>
      <x v="1"/>
      <x v="3"/>
      <x v="9"/>
      <x v="28"/>
      <x v="70"/>
      <x v="13"/>
      <x v="17"/>
    </i>
    <i r="4">
      <x v="5"/>
      <x v="1"/>
      <x/>
      <x v="1"/>
      <x v="3"/>
      <x v="1"/>
      <x v="56"/>
      <x v="131"/>
      <x v="24"/>
      <x v="17"/>
    </i>
    <i r="9">
      <x v="18"/>
      <x v="49"/>
      <x v="185"/>
      <x v="27"/>
      <x v="17"/>
    </i>
    <i r="10">
      <x v="55"/>
      <x v="298"/>
      <x v="24"/>
      <x v="17"/>
    </i>
    <i r="10">
      <x v="57"/>
      <x v="186"/>
      <x v="11"/>
      <x v="17"/>
    </i>
    <i r="1">
      <x v="1"/>
      <x/>
      <x/>
      <x v="4"/>
      <x v="7"/>
      <x v="7"/>
      <x v="1"/>
      <x v="7"/>
      <x v="39"/>
      <x v="375"/>
      <x v="397"/>
      <x v="39"/>
      <x v="5"/>
    </i>
    <i r="3">
      <x v="3"/>
      <x v="4"/>
      <x v="6"/>
      <x v="6"/>
      <x v="1"/>
      <x v="3"/>
      <x v="37"/>
      <x v="14"/>
      <x v="45"/>
      <x v="25"/>
      <x v="17"/>
    </i>
    <i r="2">
      <x v="1"/>
      <x/>
      <x v="2"/>
      <x v="3"/>
      <x/>
      <x v="1"/>
      <x v="3"/>
      <x v="13"/>
      <x v="38"/>
      <x v="59"/>
      <x v="20"/>
      <x v="17"/>
    </i>
    <i r="9">
      <x v="18"/>
      <x v="46"/>
      <x v="16"/>
      <x v="5"/>
      <x v="17"/>
    </i>
    <i r="9">
      <x v="19"/>
      <x v="37"/>
      <x v="57"/>
      <x v="20"/>
      <x v="17"/>
    </i>
    <i r="9">
      <x v="28"/>
      <x v="40"/>
      <x v="83"/>
      <x v="3"/>
      <x v="17"/>
    </i>
    <i r="9">
      <x v="36"/>
      <x v="44"/>
      <x v="69"/>
      <x v="3"/>
      <x v="17"/>
    </i>
    <i r="10">
      <x v="45"/>
      <x v="64"/>
      <x v="3"/>
      <x v="17"/>
    </i>
    <i r="10">
      <x v="47"/>
      <x v="76"/>
      <x v="5"/>
      <x v="17"/>
    </i>
    <i r="4">
      <x v="4"/>
      <x v="6"/>
      <x v="4"/>
      <x v="1"/>
      <x v="3"/>
      <x v="36"/>
      <x v="9"/>
      <x v="52"/>
      <x v="28"/>
      <x v="17"/>
    </i>
    <i r="10">
      <x v="10"/>
      <x v="44"/>
      <x v="28"/>
      <x v="17"/>
    </i>
    <i r="10">
      <x v="18"/>
      <x v="29"/>
      <x v="41"/>
      <x v="17"/>
    </i>
    <i r="10">
      <x v="21"/>
      <x v="53"/>
      <x v="34"/>
      <x v="17"/>
    </i>
    <i r="10">
      <x v="22"/>
      <x v="43"/>
      <x v="34"/>
      <x v="17"/>
    </i>
    <i r="6">
      <x v="5"/>
      <x v="1"/>
      <x v="3"/>
      <x v="36"/>
      <x v="2"/>
      <x v="72"/>
      <x v="38"/>
      <x v="17"/>
    </i>
    <i r="10">
      <x v="6"/>
      <x v="74"/>
      <x v="36"/>
      <x v="17"/>
    </i>
    <i r="8">
      <x v="7"/>
      <x v="36"/>
      <x v="373"/>
      <x v="346"/>
      <x v="38"/>
      <x v="5"/>
    </i>
    <i r="5">
      <x v="7"/>
      <x v="7"/>
      <x v="1"/>
      <x v="3"/>
      <x v="36"/>
      <x v="30"/>
      <x v="281"/>
      <x v="39"/>
      <x v="17"/>
    </i>
    <i r="3">
      <x v="1"/>
      <x v="4"/>
      <x v="6"/>
      <x v="6"/>
      <x v="1"/>
      <x v="3"/>
      <x v="36"/>
      <x v="24"/>
      <x v="37"/>
      <x v="42"/>
      <x v="17"/>
    </i>
    <i r="10">
      <x v="25"/>
      <x v="48"/>
      <x v="42"/>
      <x v="17"/>
    </i>
    <i r="5">
      <x v="7"/>
      <x v="1"/>
      <x v="1"/>
      <x v="7"/>
      <x v="36"/>
      <x v="360"/>
      <x v="248"/>
      <x v="4"/>
      <x v="5"/>
    </i>
    <i r="10">
      <x v="363"/>
      <x v="216"/>
      <x v="16"/>
      <x v="5"/>
    </i>
    <i r="6">
      <x v="3"/>
      <x v="1"/>
      <x v="3"/>
      <x v="11"/>
      <x v="35"/>
      <x v="165"/>
      <x v="35"/>
      <x v="17"/>
    </i>
    <i r="9">
      <x v="36"/>
      <x v="34"/>
      <x v="139"/>
      <x v="35"/>
      <x v="17"/>
    </i>
    <i r="8">
      <x v="7"/>
      <x v="36"/>
      <x v="353"/>
      <x v="174"/>
      <x v="37"/>
      <x v="5"/>
    </i>
    <i r="3">
      <x v="2"/>
      <x/>
      <x v="5"/>
      <x/>
      <x v="1"/>
      <x v="3"/>
      <x v="36"/>
      <x v="60"/>
      <x v="66"/>
      <x v="8"/>
      <x v="17"/>
    </i>
    <i r="10">
      <x v="63"/>
      <x v="84"/>
      <x v="12"/>
      <x v="17"/>
    </i>
    <i r="10">
      <x v="64"/>
      <x v="22"/>
      <x v="12"/>
      <x v="17"/>
    </i>
    <i r="10">
      <x v="65"/>
      <x v="62"/>
      <x v="9"/>
      <x v="17"/>
    </i>
    <i r="10">
      <x v="68"/>
      <x v="61"/>
      <x v="9"/>
      <x v="17"/>
    </i>
    <i r="10">
      <x v="69"/>
      <x v="38"/>
      <x v="9"/>
      <x v="17"/>
    </i>
    <i r="10">
      <x v="70"/>
      <x v="54"/>
      <x v="9"/>
      <x v="17"/>
    </i>
    <i r="10">
      <x v="71"/>
      <x v="24"/>
      <x v="31"/>
      <x v="17"/>
    </i>
    <i r="10">
      <x v="73"/>
      <x v="23"/>
      <x v="31"/>
      <x v="17"/>
    </i>
    <i r="10">
      <x v="74"/>
      <x v="42"/>
      <x v="31"/>
      <x v="17"/>
    </i>
    <i r="10">
      <x v="76"/>
      <x v="32"/>
      <x v="32"/>
      <x v="17"/>
    </i>
    <i r="10">
      <x v="77"/>
      <x v="3"/>
      <x v="32"/>
      <x v="17"/>
    </i>
    <i r="10">
      <x v="78"/>
      <x v="36"/>
      <x v="46"/>
      <x v="17"/>
    </i>
    <i r="10">
      <x v="79"/>
      <x v="75"/>
      <x v="46"/>
      <x v="17"/>
    </i>
    <i r="10">
      <x v="80"/>
      <x v="35"/>
      <x v="46"/>
      <x v="17"/>
    </i>
    <i r="10">
      <x v="86"/>
      <x v="33"/>
      <x v="6"/>
      <x v="17"/>
    </i>
    <i r="10">
      <x v="87"/>
      <x v="34"/>
      <x v="6"/>
      <x v="17"/>
    </i>
    <i r="4">
      <x v="1"/>
      <x v="8"/>
      <x/>
      <x v="1"/>
      <x v="3"/>
      <x v="36"/>
      <x v="83"/>
      <x v="25"/>
      <x v="22"/>
      <x v="17"/>
    </i>
    <i r="10">
      <x v="84"/>
      <x v="55"/>
      <x v="22"/>
      <x v="17"/>
    </i>
    <i r="4">
      <x v="4"/>
      <x v="7"/>
      <x v="1"/>
      <x v="1"/>
      <x v="3"/>
      <x v="36"/>
      <x v="26"/>
      <x v="26"/>
      <x v="13"/>
      <x v="17"/>
    </i>
    <i r="10">
      <x v="29"/>
      <x v="405"/>
      <x v="13"/>
      <x v="17"/>
    </i>
    <i r="6">
      <x v="3"/>
      <x v="1"/>
      <x v="3"/>
      <x v="38"/>
      <x v="32"/>
      <x v="138"/>
      <x v="14"/>
      <x v="17"/>
    </i>
    <i r="8">
      <x v="7"/>
      <x v="36"/>
      <x v="351"/>
      <x v="258"/>
      <x v="17"/>
      <x v="5"/>
    </i>
    <i r="4">
      <x v="5"/>
      <x v="1"/>
      <x/>
      <x v="1"/>
      <x v="3"/>
      <x v="38"/>
      <x v="54"/>
      <x v="343"/>
      <x v="24"/>
      <x v="17"/>
    </i>
    <i r="3">
      <x v="3"/>
      <x v="4"/>
      <x v="6"/>
      <x v="6"/>
      <x v="1"/>
      <x v="3"/>
      <x v="36"/>
      <x v="13"/>
      <x v="4"/>
      <x v="25"/>
      <x v="17"/>
    </i>
    <i r="3">
      <x v="4"/>
      <x v="3"/>
      <x v="2"/>
      <x/>
      <x v="1"/>
      <x v="6"/>
      <x v="36"/>
      <x v="106"/>
      <x v="141"/>
      <x v="7"/>
      <x v="8"/>
    </i>
    <i r="9">
      <x v="40"/>
      <x v="118"/>
      <x v="140"/>
      <x v="7"/>
      <x v="15"/>
    </i>
    <i>
      <x v="1"/>
      <x/>
      <x/>
      <x/>
      <x v="4"/>
      <x v="6"/>
      <x v="4"/>
      <x v="1"/>
      <x v="6"/>
      <x v="39"/>
      <x v="102"/>
      <x v="221"/>
      <x v="41"/>
      <x v="15"/>
    </i>
    <i r="1">
      <x v="1"/>
      <x/>
      <x/>
      <x v="1"/>
      <x v="8"/>
      <x/>
      <x v="1"/>
      <x v="7"/>
      <x v="39"/>
      <x v="290"/>
      <x v="398"/>
      <x v="44"/>
      <x v="3"/>
    </i>
    <i r="4">
      <x v="4"/>
      <x v="6"/>
      <x v="4"/>
      <x v="1"/>
      <x v="3"/>
      <x v="15"/>
      <x v="12"/>
      <x v="80"/>
      <x v="28"/>
      <x v="17"/>
    </i>
    <i r="10">
      <x v="17"/>
      <x v="404"/>
      <x v="41"/>
      <x v="17"/>
    </i>
    <i r="8">
      <x v="7"/>
      <x v="39"/>
      <x v="280"/>
      <x v="396"/>
      <x v="41"/>
      <x v="3"/>
    </i>
    <i r="10">
      <x v="286"/>
      <x v="129"/>
      <x v="34"/>
      <x v="3"/>
    </i>
    <i r="6">
      <x v="5"/>
      <x v="1"/>
      <x v="7"/>
      <x v="39"/>
      <x v="283"/>
      <x v="272"/>
      <x v="38"/>
      <x v="3"/>
    </i>
    <i r="10">
      <x v="287"/>
      <x v="392"/>
      <x v="36"/>
      <x v="3"/>
    </i>
    <i r="5">
      <x v="7"/>
      <x v="2"/>
      <x v="1"/>
      <x v="7"/>
      <x v="39"/>
      <x v="296"/>
      <x v="394"/>
      <x v="1"/>
      <x v="3"/>
    </i>
    <i r="3">
      <x v="1"/>
      <x v="4"/>
      <x v="7"/>
      <x v="1"/>
      <x v="1"/>
      <x v="7"/>
      <x v="39"/>
      <x v="270"/>
      <x v="271"/>
      <x v="4"/>
      <x v="3"/>
    </i>
    <i r="6">
      <x v="3"/>
      <x v="1"/>
      <x v="7"/>
      <x v="39"/>
      <x v="265"/>
      <x v="136"/>
      <x v="35"/>
      <x v="3"/>
    </i>
    <i r="3">
      <x v="2"/>
      <x v="4"/>
      <x v="7"/>
      <x v="1"/>
      <x v="1"/>
      <x v="7"/>
      <x v="39"/>
      <x v="267"/>
      <x v="395"/>
      <x v="13"/>
      <x v="3"/>
    </i>
  </rowItems>
  <colItems count="1">
    <i/>
  </colItems>
  <pageFields count="2">
    <pageField fld="7" hier="-1"/>
    <pageField fld="20" hier="-1"/>
  </pageFields>
  <formats count="29">
    <format dxfId="4067">
      <pivotArea type="all" dataOnly="0" outline="0" fieldPosition="0"/>
    </format>
    <format dxfId="4066">
      <pivotArea field="28" type="button" dataOnly="0" labelOnly="1" outline="0" axis="axisRow" fieldPosition="7"/>
    </format>
    <format dxfId="4065">
      <pivotArea field="27" type="button" dataOnly="0" labelOnly="1" outline="0" axis="axisRow" fieldPosition="8"/>
    </format>
    <format dxfId="4064">
      <pivotArea field="17" type="button" dataOnly="0" labelOnly="1" outline="0" axis="axisRow" fieldPosition="11"/>
    </format>
    <format dxfId="4063">
      <pivotArea dataOnly="0" labelOnly="1" outline="0" fieldPosition="0">
        <references count="1">
          <reference field="28" count="1">
            <x v="1"/>
          </reference>
        </references>
      </pivotArea>
    </format>
    <format dxfId="4062">
      <pivotArea dataOnly="0" labelOnly="1" grandRow="1" outline="0" fieldPosition="0"/>
    </format>
    <format dxfId="4061">
      <pivotArea dataOnly="0" labelOnly="1" outline="0" fieldPosition="0">
        <references count="2">
          <reference field="27" count="3">
            <x v="3"/>
            <x v="6"/>
            <x v="7"/>
          </reference>
          <reference field="28" count="1" selected="0">
            <x v="1"/>
          </reference>
        </references>
      </pivotArea>
    </format>
    <format dxfId="4060">
      <pivotArea field="7" type="button" dataOnly="0" labelOnly="1" outline="0" axis="axisPage" fieldPosition="0"/>
    </format>
    <format dxfId="4059">
      <pivotArea field="20" type="button" dataOnly="0" labelOnly="1" outline="0" axis="axisPage" fieldPosition="1"/>
    </format>
    <format dxfId="4058">
      <pivotArea field="7" type="button" dataOnly="0" labelOnly="1" outline="0" axis="axisPage" fieldPosition="0"/>
    </format>
    <format dxfId="4057">
      <pivotArea field="7" type="button" dataOnly="0" labelOnly="1" outline="0" axis="axisPage" fieldPosition="0"/>
    </format>
    <format dxfId="4056">
      <pivotArea dataOnly="0" labelOnly="1" outline="0" fieldPosition="0">
        <references count="1">
          <reference field="25" count="0"/>
        </references>
      </pivotArea>
    </format>
    <format dxfId="4055">
      <pivotArea field="8" type="button" dataOnly="0" labelOnly="1" outline="0" axis="axisRow" fieldPosition="0"/>
    </format>
    <format dxfId="4054">
      <pivotArea field="9" type="button" dataOnly="0" labelOnly="1" outline="0" axis="axisRow" fieldPosition="1"/>
    </format>
    <format dxfId="4053">
      <pivotArea field="10" type="button" dataOnly="0" labelOnly="1" outline="0" axis="axisRow" fieldPosition="2"/>
    </format>
    <format dxfId="4052">
      <pivotArea field="25" type="button" dataOnly="0" labelOnly="1" outline="0" axis="axisRow" fieldPosition="3"/>
    </format>
    <format dxfId="4051">
      <pivotArea field="22" type="button" dataOnly="0" labelOnly="1" outline="0" axis="axisRow" fieldPosition="4"/>
    </format>
    <format dxfId="4050">
      <pivotArea field="23" type="button" dataOnly="0" labelOnly="1" outline="0" axis="axisRow" fieldPosition="5"/>
    </format>
    <format dxfId="4049">
      <pivotArea field="24" type="button" dataOnly="0" labelOnly="1" outline="0" axis="axisRow" fieldPosition="6"/>
    </format>
    <format dxfId="4048">
      <pivotArea field="28" type="button" dataOnly="0" labelOnly="1" outline="0" axis="axisRow" fieldPosition="7"/>
    </format>
    <format dxfId="4047">
      <pivotArea field="27" type="button" dataOnly="0" labelOnly="1" outline="0" axis="axisRow" fieldPosition="8"/>
    </format>
    <format dxfId="4046">
      <pivotArea field="17" type="button" dataOnly="0" labelOnly="1" outline="0" axis="axisRow" fieldPosition="11"/>
    </format>
    <format dxfId="4045">
      <pivotArea field="21" type="button" dataOnly="0" labelOnly="1" outline="0" axis="axisRow" fieldPosition="12"/>
    </format>
    <format dxfId="4044">
      <pivotArea field="0" type="button" dataOnly="0" labelOnly="1" outline="0" axis="axisRow" fieldPosition="10"/>
    </format>
    <format dxfId="4043">
      <pivotArea field="5" type="button" dataOnly="0" labelOnly="1" outline="0" axis="axisRow" fieldPosition="13"/>
    </format>
    <format dxfId="4042">
      <pivotArea field="6" type="button" dataOnly="0" labelOnly="1" outline="0" axis="axisRow" fieldPosition="9"/>
    </format>
    <format dxfId="4041">
      <pivotArea dataOnly="0" labelOnly="1" outline="0" fieldPosition="0">
        <references count="1">
          <reference field="17" count="0"/>
        </references>
      </pivotArea>
    </format>
    <format dxfId="4040">
      <pivotArea dataOnly="0" labelOnly="1" outline="0" fieldPosition="0">
        <references count="1">
          <reference field="5" count="0"/>
        </references>
      </pivotArea>
    </format>
    <format dxfId="4039">
      <pivotArea dataOnly="0" labelOnly="1" outline="0" fieldPosition="0">
        <references count="1">
          <reference field="6"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0B4577-358D-4EA0-BADF-0E97A344C365}" name="ピボットテーブル4" cacheId="137" applyNumberFormats="0" applyBorderFormats="0" applyFontFormats="0" applyPatternFormats="0" applyAlignmentFormats="0" applyWidthHeightFormats="1" dataCaption="値" updatedVersion="8" minRefreshableVersion="3" itemPrintTitles="1" createdVersion="8" indent="0" compact="0" compactData="0" multipleFieldFilters="0">
  <location ref="F3:I11" firstHeaderRow="1" firstDataRow="1" firstDataCol="3"/>
  <pivotFields count="4">
    <pivotField dataField="1" compact="0" outline="0" showAll="0" defaultSubtotal="0"/>
    <pivotField axis="axisRow" compact="0" outline="0" showAll="0" defaultSubtotal="0">
      <items count="5">
        <item x="2"/>
        <item x="4"/>
        <item x="1"/>
        <item x="3"/>
        <item x="0"/>
      </items>
    </pivotField>
    <pivotField axis="axisRow" compact="0" outline="0" showAll="0" defaultSubtotal="0">
      <items count="6">
        <item x="0"/>
        <item x="4"/>
        <item x="3"/>
        <item x="2"/>
        <item x="1"/>
        <item x="5"/>
      </items>
    </pivotField>
    <pivotField axis="axisRow" compact="0" outline="0" showAll="0" defaultSubtotal="0">
      <items count="4">
        <item x="0"/>
        <item x="1"/>
        <item x="3"/>
        <item x="2"/>
      </items>
    </pivotField>
  </pivotFields>
  <rowFields count="3">
    <field x="1"/>
    <field x="2"/>
    <field x="3"/>
  </rowFields>
  <rowItems count="8">
    <i>
      <x/>
      <x v="2"/>
      <x/>
    </i>
    <i>
      <x v="1"/>
      <x v="5"/>
      <x/>
    </i>
    <i>
      <x v="2"/>
      <x v="3"/>
      <x v="3"/>
    </i>
    <i r="1">
      <x v="4"/>
      <x v="1"/>
    </i>
    <i r="2">
      <x v="2"/>
    </i>
    <i>
      <x v="3"/>
      <x v="1"/>
      <x/>
    </i>
    <i>
      <x v="4"/>
      <x/>
      <x/>
    </i>
    <i t="grand">
      <x/>
    </i>
  </rowItems>
  <colItems count="1">
    <i/>
  </colItems>
  <dataFields count="1">
    <dataField name="個数 / 氏名" fld="0" subtotal="count" baseField="0" baseItem="0"/>
  </dataFields>
  <formats count="19">
    <format dxfId="3950">
      <pivotArea type="all" dataOnly="0" outline="0" fieldPosition="0"/>
    </format>
    <format dxfId="3949">
      <pivotArea outline="0" collapsedLevelsAreSubtotals="1" fieldPosition="0"/>
    </format>
    <format dxfId="3948">
      <pivotArea field="1" type="button" dataOnly="0" labelOnly="1" outline="0" axis="axisRow" fieldPosition="0"/>
    </format>
    <format dxfId="3947">
      <pivotArea field="2" type="button" dataOnly="0" labelOnly="1" outline="0" axis="axisRow" fieldPosition="1"/>
    </format>
    <format dxfId="3946">
      <pivotArea field="3" type="button" dataOnly="0" labelOnly="1" outline="0" axis="axisRow" fieldPosition="2"/>
    </format>
    <format dxfId="3945">
      <pivotArea dataOnly="0" labelOnly="1" outline="0" fieldPosition="0">
        <references count="1">
          <reference field="1" count="0"/>
        </references>
      </pivotArea>
    </format>
    <format dxfId="3944">
      <pivotArea dataOnly="0" labelOnly="1" grandRow="1" outline="0" fieldPosition="0"/>
    </format>
    <format dxfId="3943">
      <pivotArea dataOnly="0" labelOnly="1" outline="0" fieldPosition="0">
        <references count="2">
          <reference field="1" count="1" selected="0">
            <x v="0"/>
          </reference>
          <reference field="2" count="1">
            <x v="2"/>
          </reference>
        </references>
      </pivotArea>
    </format>
    <format dxfId="3942">
      <pivotArea dataOnly="0" labelOnly="1" outline="0" fieldPosition="0">
        <references count="2">
          <reference field="1" count="1" selected="0">
            <x v="1"/>
          </reference>
          <reference field="2" count="1">
            <x v="5"/>
          </reference>
        </references>
      </pivotArea>
    </format>
    <format dxfId="3941">
      <pivotArea dataOnly="0" labelOnly="1" outline="0" fieldPosition="0">
        <references count="2">
          <reference field="1" count="1" selected="0">
            <x v="2"/>
          </reference>
          <reference field="2" count="2">
            <x v="3"/>
            <x v="4"/>
          </reference>
        </references>
      </pivotArea>
    </format>
    <format dxfId="3940">
      <pivotArea dataOnly="0" labelOnly="1" outline="0" fieldPosition="0">
        <references count="2">
          <reference field="1" count="1" selected="0">
            <x v="3"/>
          </reference>
          <reference field="2" count="1">
            <x v="1"/>
          </reference>
        </references>
      </pivotArea>
    </format>
    <format dxfId="3939">
      <pivotArea dataOnly="0" labelOnly="1" outline="0" fieldPosition="0">
        <references count="2">
          <reference field="1" count="1" selected="0">
            <x v="4"/>
          </reference>
          <reference field="2" count="1">
            <x v="0"/>
          </reference>
        </references>
      </pivotArea>
    </format>
    <format dxfId="3938">
      <pivotArea dataOnly="0" labelOnly="1" outline="0" fieldPosition="0">
        <references count="3">
          <reference field="1" count="1" selected="0">
            <x v="0"/>
          </reference>
          <reference field="2" count="1" selected="0">
            <x v="2"/>
          </reference>
          <reference field="3" count="1">
            <x v="0"/>
          </reference>
        </references>
      </pivotArea>
    </format>
    <format dxfId="3937">
      <pivotArea dataOnly="0" labelOnly="1" outline="0" fieldPosition="0">
        <references count="3">
          <reference field="1" count="1" selected="0">
            <x v="1"/>
          </reference>
          <reference field="2" count="1" selected="0">
            <x v="5"/>
          </reference>
          <reference field="3" count="1">
            <x v="0"/>
          </reference>
        </references>
      </pivotArea>
    </format>
    <format dxfId="3936">
      <pivotArea dataOnly="0" labelOnly="1" outline="0" fieldPosition="0">
        <references count="3">
          <reference field="1" count="1" selected="0">
            <x v="2"/>
          </reference>
          <reference field="2" count="1" selected="0">
            <x v="3"/>
          </reference>
          <reference field="3" count="1">
            <x v="3"/>
          </reference>
        </references>
      </pivotArea>
    </format>
    <format dxfId="3935">
      <pivotArea dataOnly="0" labelOnly="1" outline="0" fieldPosition="0">
        <references count="3">
          <reference field="1" count="1" selected="0">
            <x v="2"/>
          </reference>
          <reference field="2" count="1" selected="0">
            <x v="4"/>
          </reference>
          <reference field="3" count="2">
            <x v="1"/>
            <x v="2"/>
          </reference>
        </references>
      </pivotArea>
    </format>
    <format dxfId="3934">
      <pivotArea dataOnly="0" labelOnly="1" outline="0" fieldPosition="0">
        <references count="3">
          <reference field="1" count="1" selected="0">
            <x v="3"/>
          </reference>
          <reference field="2" count="1" selected="0">
            <x v="1"/>
          </reference>
          <reference field="3" count="1">
            <x v="0"/>
          </reference>
        </references>
      </pivotArea>
    </format>
    <format dxfId="3933">
      <pivotArea dataOnly="0" labelOnly="1" outline="0" fieldPosition="0">
        <references count="3">
          <reference field="1" count="1" selected="0">
            <x v="4"/>
          </reference>
          <reference field="2" count="1" selected="0">
            <x v="0"/>
          </reference>
          <reference field="3" count="1">
            <x v="0"/>
          </reference>
        </references>
      </pivotArea>
    </format>
    <format dxfId="393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4BFF76-FCBB-4810-ABF3-335ACC30ED14}" name="ピボットテーブル5" cacheId="131" applyNumberFormats="0" applyBorderFormats="0" applyFontFormats="0" applyPatternFormats="0" applyAlignmentFormats="0" applyWidthHeightFormats="1" dataCaption="値" updatedVersion="8" minRefreshableVersion="3" itemPrintTitles="1" createdVersion="8" indent="0" compact="0" compactData="0" multipleFieldFilters="0">
  <location ref="K2:O27" firstHeaderRow="1" firstDataRow="1" firstDataCol="5"/>
  <pivotFields count="29">
    <pivotField compact="0" outline="0" subtotalTop="0" showAll="0" defaultSubtotal="0"/>
    <pivotField compact="0" numFmtId="179" outline="0" showAll="0" defaultSubtotal="0">
      <items count="8">
        <item x="0"/>
        <item x="1"/>
        <item x="2"/>
        <item x="3"/>
        <item x="4"/>
        <item x="5"/>
        <item x="6"/>
        <item x="7"/>
      </items>
    </pivotField>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6">
        <item x="3"/>
        <item x="1"/>
        <item h="1" x="0"/>
        <item h="1" x="2"/>
        <item h="1" x="4"/>
        <item h="1" x="5"/>
      </items>
    </pivotField>
    <pivotField compact="0" outline="0" showAll="0" defaultSubtotal="0"/>
    <pivotField compact="0" outline="0" subtotalTop="0" showAll="0" defaultSubtotal="0"/>
    <pivotField compact="0" outline="0" subtotalTop="0" showAll="0" defaultSubtotal="0"/>
    <pivotField compact="0" outline="0" showAll="0" defaultSubtotal="0"/>
    <pivotField axis="axisRow" compact="0" outline="0" showAll="0" defaultSubtotal="0">
      <items count="48">
        <item x="34"/>
        <item x="43"/>
        <item x="45"/>
        <item x="12"/>
        <item x="35"/>
        <item x="13"/>
        <item x="24"/>
        <item x="28"/>
        <item x="17"/>
        <item x="19"/>
        <item h="1" x="38"/>
        <item h="1" x="16"/>
        <item x="18"/>
        <item x="7"/>
        <item x="9"/>
        <item x="36"/>
        <item x="37"/>
        <item x="31"/>
        <item x="46"/>
        <item x="44"/>
        <item x="11"/>
        <item x="40"/>
        <item x="23"/>
        <item x="42"/>
        <item x="15"/>
        <item x="3"/>
        <item x="47"/>
        <item h="1" x="14"/>
        <item h="1" x="2"/>
        <item h="1" x="26"/>
        <item h="1" x="25"/>
        <item x="20"/>
        <item x="21"/>
        <item x="33"/>
        <item x="5"/>
        <item x="10"/>
        <item x="1"/>
        <item x="32"/>
        <item x="0"/>
        <item x="8"/>
        <item x="27"/>
        <item x="4"/>
        <item x="6"/>
        <item h="1" x="29"/>
        <item x="41"/>
        <item h="1" x="30"/>
        <item x="22"/>
        <item x="39"/>
      </items>
    </pivotField>
    <pivotField axis="axisRow" compact="0" outline="0" showAll="0" defaultSubtotal="0">
      <items count="6">
        <item x="3"/>
        <item x="4"/>
        <item x="2"/>
        <item x="0"/>
        <item x="1"/>
        <item x="5"/>
      </items>
    </pivotField>
    <pivotField axis="axisRow" compact="0" outline="0" showAll="0" defaultSubtotal="0">
      <items count="9">
        <item x="6"/>
        <item x="3"/>
        <item x="7"/>
        <item x="2"/>
        <item x="8"/>
        <item x="4"/>
        <item x="0"/>
        <item x="1"/>
        <item x="5"/>
      </items>
    </pivotField>
    <pivotField axis="axisRow" compact="0" outline="0" showAll="0" defaultSubtotal="0">
      <items count="8">
        <item x="6"/>
        <item x="3"/>
        <item x="7"/>
        <item x="5"/>
        <item x="1"/>
        <item x="0"/>
        <item x="2"/>
        <item x="4"/>
      </items>
    </pivotField>
    <pivotField compact="0" outline="0" showAll="0" defaultSubtotal="0"/>
    <pivotField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4">
        <item x="0"/>
        <item x="1"/>
        <item x="2"/>
        <item x="3"/>
      </items>
    </pivotField>
  </pivotFields>
  <rowFields count="5">
    <field x="22"/>
    <field x="23"/>
    <field x="24"/>
    <field x="21"/>
    <field x="16"/>
  </rowFields>
  <rowItems count="25">
    <i>
      <x/>
      <x v="5"/>
      <x/>
      <x v="9"/>
      <x/>
    </i>
    <i r="3">
      <x v="12"/>
      <x/>
    </i>
    <i r="4">
      <x v="1"/>
    </i>
    <i r="3">
      <x v="32"/>
      <x v="1"/>
    </i>
    <i>
      <x v="1"/>
      <x v="8"/>
      <x/>
      <x v="44"/>
      <x v="1"/>
    </i>
    <i>
      <x v="2"/>
      <x v="1"/>
      <x/>
      <x v="24"/>
      <x/>
    </i>
    <i>
      <x v="3"/>
      <x/>
      <x/>
      <x v="18"/>
      <x/>
    </i>
    <i r="1">
      <x v="6"/>
      <x v="4"/>
      <x v="34"/>
      <x v="1"/>
    </i>
    <i r="3">
      <x v="41"/>
      <x/>
    </i>
    <i r="2">
      <x v="5"/>
      <x v="36"/>
      <x v="1"/>
    </i>
    <i r="2">
      <x v="6"/>
      <x v="25"/>
      <x/>
    </i>
    <i r="4">
      <x v="1"/>
    </i>
    <i r="1">
      <x v="7"/>
      <x v="1"/>
      <x v="4"/>
      <x/>
    </i>
    <i r="2">
      <x v="2"/>
      <x v="23"/>
      <x v="1"/>
    </i>
    <i r="2">
      <x v="3"/>
      <x v="35"/>
      <x/>
    </i>
    <i r="4">
      <x v="1"/>
    </i>
    <i r="2">
      <x v="7"/>
      <x/>
      <x/>
    </i>
    <i r="3">
      <x v="39"/>
      <x v="1"/>
    </i>
    <i>
      <x v="4"/>
      <x v="3"/>
      <x/>
      <x v="3"/>
      <x/>
    </i>
    <i r="3">
      <x v="20"/>
      <x v="1"/>
    </i>
    <i>
      <x v="5"/>
      <x/>
      <x/>
      <x v="40"/>
      <x v="1"/>
    </i>
    <i r="1">
      <x v="2"/>
      <x/>
      <x v="7"/>
      <x/>
    </i>
    <i r="3">
      <x v="26"/>
      <x/>
    </i>
    <i r="1">
      <x v="4"/>
      <x/>
      <x v="21"/>
      <x v="1"/>
    </i>
    <i t="grand">
      <x/>
    </i>
  </rowItems>
  <colItems count="1">
    <i/>
  </colItems>
  <formats count="88">
    <format dxfId="4038">
      <pivotArea type="all" dataOnly="0" outline="0" fieldPosition="0"/>
    </format>
    <format dxfId="4037">
      <pivotArea dataOnly="0" outline="0" fieldPosition="0">
        <references count="1">
          <reference field="16" count="1">
            <x v="0"/>
          </reference>
        </references>
      </pivotArea>
    </format>
    <format dxfId="4036">
      <pivotArea dataOnly="0" outline="0" fieldPosition="0">
        <references count="1">
          <reference field="21" count="1">
            <x v="12"/>
          </reference>
        </references>
      </pivotArea>
    </format>
    <format dxfId="4035">
      <pivotArea dataOnly="0" outline="0" fieldPosition="0">
        <references count="1">
          <reference field="21" count="1">
            <x v="41"/>
          </reference>
        </references>
      </pivotArea>
    </format>
    <format dxfId="4034">
      <pivotArea dataOnly="0" outline="0" fieldPosition="0">
        <references count="1">
          <reference field="21" count="1">
            <x v="25"/>
          </reference>
        </references>
      </pivotArea>
    </format>
    <format dxfId="4033">
      <pivotArea dataOnly="0" outline="0" fieldPosition="0">
        <references count="1">
          <reference field="21" count="1">
            <x v="35"/>
          </reference>
        </references>
      </pivotArea>
    </format>
    <format dxfId="4032">
      <pivotArea dataOnly="0" outline="0" fieldPosition="0">
        <references count="1">
          <reference field="21" count="1">
            <x v="3"/>
          </reference>
        </references>
      </pivotArea>
    </format>
    <format dxfId="4031">
      <pivotArea dataOnly="0" outline="0" fieldPosition="0">
        <references count="1">
          <reference field="21" count="1">
            <x v="20"/>
          </reference>
        </references>
      </pivotArea>
    </format>
    <format dxfId="4030">
      <pivotArea dataOnly="0" outline="0" fieldPosition="0">
        <references count="1">
          <reference field="16" count="1">
            <x v="0"/>
          </reference>
        </references>
      </pivotArea>
    </format>
    <format dxfId="4029">
      <pivotArea dataOnly="0" outline="0" fieldPosition="0">
        <references count="1">
          <reference field="21" count="1">
            <x v="44"/>
          </reference>
        </references>
      </pivotArea>
    </format>
    <format dxfId="4028">
      <pivotArea dataOnly="0" outline="0" fieldPosition="0">
        <references count="1">
          <reference field="21" count="1">
            <x v="24"/>
          </reference>
        </references>
      </pivotArea>
    </format>
    <format dxfId="4027">
      <pivotArea dataOnly="0" outline="0" fieldPosition="0">
        <references count="1">
          <reference field="21" count="1">
            <x v="4"/>
          </reference>
        </references>
      </pivotArea>
    </format>
    <format dxfId="4026">
      <pivotArea dataOnly="0" outline="0" fieldPosition="0">
        <references count="1">
          <reference field="21" count="1">
            <x v="23"/>
          </reference>
        </references>
      </pivotArea>
    </format>
    <format dxfId="4025">
      <pivotArea dataOnly="0" outline="0" fieldPosition="0">
        <references count="1">
          <reference field="21" count="1">
            <x v="0"/>
          </reference>
        </references>
      </pivotArea>
    </format>
    <format dxfId="4024">
      <pivotArea dataOnly="0" outline="0" fieldPosition="0">
        <references count="1">
          <reference field="21" count="1">
            <x v="39"/>
          </reference>
        </references>
      </pivotArea>
    </format>
    <format dxfId="4023">
      <pivotArea dataOnly="0" outline="0" fieldPosition="0">
        <references count="1">
          <reference field="21" count="1">
            <x v="7"/>
          </reference>
        </references>
      </pivotArea>
    </format>
    <format dxfId="4022">
      <pivotArea dataOnly="0" outline="0" fieldPosition="0">
        <references count="1">
          <reference field="21" count="1">
            <x v="26"/>
          </reference>
        </references>
      </pivotArea>
    </format>
    <format dxfId="4021">
      <pivotArea dataOnly="0" outline="0" fieldPosition="0">
        <references count="1">
          <reference field="21" count="1">
            <x v="21"/>
          </reference>
        </references>
      </pivotArea>
    </format>
    <format dxfId="4020">
      <pivotArea dataOnly="0" outline="0" fieldPosition="0">
        <references count="1">
          <reference field="21" count="1">
            <x v="9"/>
          </reference>
        </references>
      </pivotArea>
    </format>
    <format dxfId="4019">
      <pivotArea dataOnly="0" outline="0" fieldPosition="0">
        <references count="1">
          <reference field="21" count="1">
            <x v="12"/>
          </reference>
        </references>
      </pivotArea>
    </format>
    <format dxfId="4018">
      <pivotArea dataOnly="0" outline="0" fieldPosition="0">
        <references count="1">
          <reference field="21" count="1">
            <x v="41"/>
          </reference>
        </references>
      </pivotArea>
    </format>
    <format dxfId="4017">
      <pivotArea dataOnly="0" outline="0" fieldPosition="0">
        <references count="1">
          <reference field="21" count="1">
            <x v="25"/>
          </reference>
        </references>
      </pivotArea>
    </format>
    <format dxfId="4016">
      <pivotArea dataOnly="0" outline="0" fieldPosition="0">
        <references count="1">
          <reference field="21" count="1">
            <x v="35"/>
          </reference>
        </references>
      </pivotArea>
    </format>
    <format dxfId="4015">
      <pivotArea dataOnly="0" outline="0" fieldPosition="0">
        <references count="1">
          <reference field="21" count="1">
            <x v="3"/>
          </reference>
        </references>
      </pivotArea>
    </format>
    <format dxfId="4014">
      <pivotArea dataOnly="0" labelOnly="1" outline="0" fieldPosition="0">
        <references count="4">
          <reference field="21" count="1">
            <x v="9"/>
          </reference>
          <reference field="22" count="1" selected="0">
            <x v="0"/>
          </reference>
          <reference field="23" count="1" selected="0">
            <x v="5"/>
          </reference>
          <reference field="24" count="1" selected="0">
            <x v="0"/>
          </reference>
        </references>
      </pivotArea>
    </format>
    <format dxfId="4013">
      <pivotArea dataOnly="0" labelOnly="1" outline="0" fieldPosition="0">
        <references count="4">
          <reference field="21" count="1">
            <x v="24"/>
          </reference>
          <reference field="22" count="1" selected="0">
            <x v="2"/>
          </reference>
          <reference field="23" count="1" selected="0">
            <x v="1"/>
          </reference>
          <reference field="24" count="1" selected="0">
            <x v="0"/>
          </reference>
        </references>
      </pivotArea>
    </format>
    <format dxfId="4012">
      <pivotArea dataOnly="0" labelOnly="1" outline="0" fieldPosition="0">
        <references count="4">
          <reference field="21" count="1">
            <x v="9"/>
          </reference>
          <reference field="22" count="1" selected="0">
            <x v="0"/>
          </reference>
          <reference field="23" count="1" selected="0">
            <x v="5"/>
          </reference>
          <reference field="24" count="1" selected="0">
            <x v="0"/>
          </reference>
        </references>
      </pivotArea>
    </format>
    <format dxfId="4011">
      <pivotArea dataOnly="0" labelOnly="1" outline="0" fieldPosition="0">
        <references count="4">
          <reference field="21" count="1">
            <x v="32"/>
          </reference>
          <reference field="22" count="1" selected="0">
            <x v="0"/>
          </reference>
          <reference field="23" count="1" selected="0">
            <x v="5"/>
          </reference>
          <reference field="24" count="1" selected="0">
            <x v="0"/>
          </reference>
        </references>
      </pivotArea>
    </format>
    <format dxfId="4010">
      <pivotArea dataOnly="0" labelOnly="1" outline="0" fieldPosition="0">
        <references count="4">
          <reference field="21" count="1">
            <x v="24"/>
          </reference>
          <reference field="22" count="1" selected="0">
            <x v="2"/>
          </reference>
          <reference field="23" count="1" selected="0">
            <x v="1"/>
          </reference>
          <reference field="24" count="1" selected="0">
            <x v="0"/>
          </reference>
        </references>
      </pivotArea>
    </format>
    <format dxfId="4009">
      <pivotArea type="all" dataOnly="0" outline="0" fieldPosition="0"/>
    </format>
    <format dxfId="4008">
      <pivotArea field="22" type="button" dataOnly="0" labelOnly="1" outline="0" axis="axisRow" fieldPosition="0"/>
    </format>
    <format dxfId="4007">
      <pivotArea field="23" type="button" dataOnly="0" labelOnly="1" outline="0" axis="axisRow" fieldPosition="1"/>
    </format>
    <format dxfId="4006">
      <pivotArea field="24" type="button" dataOnly="0" labelOnly="1" outline="0" axis="axisRow" fieldPosition="2"/>
    </format>
    <format dxfId="4005">
      <pivotArea field="21" type="button" dataOnly="0" labelOnly="1" outline="0" axis="axisRow" fieldPosition="3"/>
    </format>
    <format dxfId="4004">
      <pivotArea field="16" type="button" dataOnly="0" labelOnly="1" outline="0" axis="axisRow" fieldPosition="4"/>
    </format>
    <format dxfId="4003">
      <pivotArea dataOnly="0" labelOnly="1" outline="0" fieldPosition="0">
        <references count="1">
          <reference field="22" count="0"/>
        </references>
      </pivotArea>
    </format>
    <format dxfId="4002">
      <pivotArea dataOnly="0" labelOnly="1" grandRow="1" outline="0" fieldPosition="0"/>
    </format>
    <format dxfId="4001">
      <pivotArea dataOnly="0" labelOnly="1" outline="0" fieldPosition="0">
        <references count="2">
          <reference field="22" count="1" selected="0">
            <x v="0"/>
          </reference>
          <reference field="23" count="1">
            <x v="5"/>
          </reference>
        </references>
      </pivotArea>
    </format>
    <format dxfId="4000">
      <pivotArea dataOnly="0" labelOnly="1" outline="0" fieldPosition="0">
        <references count="2">
          <reference field="22" count="1" selected="0">
            <x v="1"/>
          </reference>
          <reference field="23" count="1">
            <x v="8"/>
          </reference>
        </references>
      </pivotArea>
    </format>
    <format dxfId="3999">
      <pivotArea dataOnly="0" labelOnly="1" outline="0" fieldPosition="0">
        <references count="2">
          <reference field="22" count="1" selected="0">
            <x v="2"/>
          </reference>
          <reference field="23" count="1">
            <x v="1"/>
          </reference>
        </references>
      </pivotArea>
    </format>
    <format dxfId="3998">
      <pivotArea dataOnly="0" labelOnly="1" outline="0" fieldPosition="0">
        <references count="2">
          <reference field="22" count="1" selected="0">
            <x v="3"/>
          </reference>
          <reference field="23" count="3">
            <x v="0"/>
            <x v="6"/>
            <x v="7"/>
          </reference>
        </references>
      </pivotArea>
    </format>
    <format dxfId="3997">
      <pivotArea dataOnly="0" labelOnly="1" outline="0" fieldPosition="0">
        <references count="2">
          <reference field="22" count="1" selected="0">
            <x v="4"/>
          </reference>
          <reference field="23" count="1">
            <x v="3"/>
          </reference>
        </references>
      </pivotArea>
    </format>
    <format dxfId="3996">
      <pivotArea dataOnly="0" labelOnly="1" outline="0" fieldPosition="0">
        <references count="2">
          <reference field="22" count="1" selected="0">
            <x v="5"/>
          </reference>
          <reference field="23" count="3">
            <x v="0"/>
            <x v="2"/>
            <x v="4"/>
          </reference>
        </references>
      </pivotArea>
    </format>
    <format dxfId="3995">
      <pivotArea dataOnly="0" labelOnly="1" outline="0" fieldPosition="0">
        <references count="3">
          <reference field="22" count="1" selected="0">
            <x v="0"/>
          </reference>
          <reference field="23" count="1" selected="0">
            <x v="5"/>
          </reference>
          <reference field="24" count="1">
            <x v="0"/>
          </reference>
        </references>
      </pivotArea>
    </format>
    <format dxfId="3994">
      <pivotArea dataOnly="0" labelOnly="1" outline="0" fieldPosition="0">
        <references count="3">
          <reference field="22" count="1" selected="0">
            <x v="3"/>
          </reference>
          <reference field="23" count="1" selected="0">
            <x v="6"/>
          </reference>
          <reference field="24" count="3">
            <x v="4"/>
            <x v="5"/>
            <x v="6"/>
          </reference>
        </references>
      </pivotArea>
    </format>
    <format dxfId="3993">
      <pivotArea dataOnly="0" labelOnly="1" outline="0" fieldPosition="0">
        <references count="3">
          <reference field="22" count="1" selected="0">
            <x v="3"/>
          </reference>
          <reference field="23" count="1" selected="0">
            <x v="7"/>
          </reference>
          <reference field="24" count="4">
            <x v="1"/>
            <x v="2"/>
            <x v="3"/>
            <x v="7"/>
          </reference>
        </references>
      </pivotArea>
    </format>
    <format dxfId="3992">
      <pivotArea dataOnly="0" labelOnly="1" outline="0" fieldPosition="0">
        <references count="3">
          <reference field="22" count="1" selected="0">
            <x v="4"/>
          </reference>
          <reference field="23" count="1" selected="0">
            <x v="3"/>
          </reference>
          <reference field="24" count="1">
            <x v="0"/>
          </reference>
        </references>
      </pivotArea>
    </format>
    <format dxfId="3991">
      <pivotArea dataOnly="0" labelOnly="1" outline="0" fieldPosition="0">
        <references count="4">
          <reference field="21" count="3">
            <x v="9"/>
            <x v="12"/>
            <x v="32"/>
          </reference>
          <reference field="22" count="1" selected="0">
            <x v="0"/>
          </reference>
          <reference field="23" count="1" selected="0">
            <x v="5"/>
          </reference>
          <reference field="24" count="1" selected="0">
            <x v="0"/>
          </reference>
        </references>
      </pivotArea>
    </format>
    <format dxfId="3990">
      <pivotArea dataOnly="0" labelOnly="1" outline="0" fieldPosition="0">
        <references count="4">
          <reference field="21" count="1">
            <x v="44"/>
          </reference>
          <reference field="22" count="1" selected="0">
            <x v="1"/>
          </reference>
          <reference field="23" count="1" selected="0">
            <x v="8"/>
          </reference>
          <reference field="24" count="1" selected="0">
            <x v="0"/>
          </reference>
        </references>
      </pivotArea>
    </format>
    <format dxfId="3989">
      <pivotArea dataOnly="0" labelOnly="1" outline="0" fieldPosition="0">
        <references count="4">
          <reference field="21" count="1">
            <x v="24"/>
          </reference>
          <reference field="22" count="1" selected="0">
            <x v="2"/>
          </reference>
          <reference field="23" count="1" selected="0">
            <x v="1"/>
          </reference>
          <reference field="24" count="1" selected="0">
            <x v="0"/>
          </reference>
        </references>
      </pivotArea>
    </format>
    <format dxfId="3988">
      <pivotArea dataOnly="0" labelOnly="1" outline="0" fieldPosition="0">
        <references count="4">
          <reference field="21" count="1">
            <x v="18"/>
          </reference>
          <reference field="22" count="1" selected="0">
            <x v="3"/>
          </reference>
          <reference field="23" count="1" selected="0">
            <x v="0"/>
          </reference>
          <reference field="24" count="1" selected="0">
            <x v="0"/>
          </reference>
        </references>
      </pivotArea>
    </format>
    <format dxfId="3987">
      <pivotArea dataOnly="0" labelOnly="1" outline="0" fieldPosition="0">
        <references count="4">
          <reference field="21" count="2">
            <x v="34"/>
            <x v="41"/>
          </reference>
          <reference field="22" count="1" selected="0">
            <x v="3"/>
          </reference>
          <reference field="23" count="1" selected="0">
            <x v="6"/>
          </reference>
          <reference field="24" count="1" selected="0">
            <x v="4"/>
          </reference>
        </references>
      </pivotArea>
    </format>
    <format dxfId="3986">
      <pivotArea dataOnly="0" labelOnly="1" outline="0" fieldPosition="0">
        <references count="4">
          <reference field="21" count="1">
            <x v="36"/>
          </reference>
          <reference field="22" count="1" selected="0">
            <x v="3"/>
          </reference>
          <reference field="23" count="1" selected="0">
            <x v="6"/>
          </reference>
          <reference field="24" count="1" selected="0">
            <x v="5"/>
          </reference>
        </references>
      </pivotArea>
    </format>
    <format dxfId="3985">
      <pivotArea dataOnly="0" labelOnly="1" outline="0" fieldPosition="0">
        <references count="4">
          <reference field="21" count="1">
            <x v="25"/>
          </reference>
          <reference field="22" count="1" selected="0">
            <x v="3"/>
          </reference>
          <reference field="23" count="1" selected="0">
            <x v="6"/>
          </reference>
          <reference field="24" count="1" selected="0">
            <x v="6"/>
          </reference>
        </references>
      </pivotArea>
    </format>
    <format dxfId="3984">
      <pivotArea dataOnly="0" labelOnly="1" outline="0" fieldPosition="0">
        <references count="4">
          <reference field="21" count="1">
            <x v="4"/>
          </reference>
          <reference field="22" count="1" selected="0">
            <x v="3"/>
          </reference>
          <reference field="23" count="1" selected="0">
            <x v="7"/>
          </reference>
          <reference field="24" count="1" selected="0">
            <x v="1"/>
          </reference>
        </references>
      </pivotArea>
    </format>
    <format dxfId="3983">
      <pivotArea dataOnly="0" labelOnly="1" outline="0" fieldPosition="0">
        <references count="4">
          <reference field="21" count="1">
            <x v="23"/>
          </reference>
          <reference field="22" count="1" selected="0">
            <x v="3"/>
          </reference>
          <reference field="23" count="1" selected="0">
            <x v="7"/>
          </reference>
          <reference field="24" count="1" selected="0">
            <x v="2"/>
          </reference>
        </references>
      </pivotArea>
    </format>
    <format dxfId="3982">
      <pivotArea dataOnly="0" labelOnly="1" outline="0" fieldPosition="0">
        <references count="4">
          <reference field="21" count="1">
            <x v="35"/>
          </reference>
          <reference field="22" count="1" selected="0">
            <x v="3"/>
          </reference>
          <reference field="23" count="1" selected="0">
            <x v="7"/>
          </reference>
          <reference field="24" count="1" selected="0">
            <x v="3"/>
          </reference>
        </references>
      </pivotArea>
    </format>
    <format dxfId="3981">
      <pivotArea dataOnly="0" labelOnly="1" outline="0" fieldPosition="0">
        <references count="4">
          <reference field="21" count="2">
            <x v="0"/>
            <x v="39"/>
          </reference>
          <reference field="22" count="1" selected="0">
            <x v="3"/>
          </reference>
          <reference field="23" count="1" selected="0">
            <x v="7"/>
          </reference>
          <reference field="24" count="1" selected="0">
            <x v="7"/>
          </reference>
        </references>
      </pivotArea>
    </format>
    <format dxfId="3980">
      <pivotArea dataOnly="0" labelOnly="1" outline="0" fieldPosition="0">
        <references count="4">
          <reference field="21" count="2">
            <x v="3"/>
            <x v="20"/>
          </reference>
          <reference field="22" count="1" selected="0">
            <x v="4"/>
          </reference>
          <reference field="23" count="1" selected="0">
            <x v="3"/>
          </reference>
          <reference field="24" count="1" selected="0">
            <x v="0"/>
          </reference>
        </references>
      </pivotArea>
    </format>
    <format dxfId="3979">
      <pivotArea dataOnly="0" labelOnly="1" outline="0" fieldPosition="0">
        <references count="4">
          <reference field="21" count="1">
            <x v="40"/>
          </reference>
          <reference field="22" count="1" selected="0">
            <x v="5"/>
          </reference>
          <reference field="23" count="1" selected="0">
            <x v="0"/>
          </reference>
          <reference field="24" count="1" selected="0">
            <x v="0"/>
          </reference>
        </references>
      </pivotArea>
    </format>
    <format dxfId="3978">
      <pivotArea dataOnly="0" labelOnly="1" outline="0" fieldPosition="0">
        <references count="4">
          <reference field="21" count="2">
            <x v="7"/>
            <x v="26"/>
          </reference>
          <reference field="22" count="1" selected="0">
            <x v="5"/>
          </reference>
          <reference field="23" count="1" selected="0">
            <x v="2"/>
          </reference>
          <reference field="24" count="1" selected="0">
            <x v="0"/>
          </reference>
        </references>
      </pivotArea>
    </format>
    <format dxfId="3977">
      <pivotArea dataOnly="0" labelOnly="1" outline="0" fieldPosition="0">
        <references count="4">
          <reference field="21" count="1">
            <x v="21"/>
          </reference>
          <reference field="22" count="1" selected="0">
            <x v="5"/>
          </reference>
          <reference field="23" count="1" selected="0">
            <x v="4"/>
          </reference>
          <reference field="24" count="1" selected="0">
            <x v="0"/>
          </reference>
        </references>
      </pivotArea>
    </format>
    <format dxfId="3976">
      <pivotArea dataOnly="0" labelOnly="1" outline="0" fieldPosition="0">
        <references count="5">
          <reference field="16" count="1">
            <x v="0"/>
          </reference>
          <reference field="21" count="1" selected="0">
            <x v="9"/>
          </reference>
          <reference field="22" count="1" selected="0">
            <x v="0"/>
          </reference>
          <reference field="23" count="1" selected="0">
            <x v="5"/>
          </reference>
          <reference field="24" count="1" selected="0">
            <x v="0"/>
          </reference>
        </references>
      </pivotArea>
    </format>
    <format dxfId="3975">
      <pivotArea dataOnly="0" labelOnly="1" outline="0" fieldPosition="0">
        <references count="5">
          <reference field="16" count="0"/>
          <reference field="21" count="1" selected="0">
            <x v="12"/>
          </reference>
          <reference field="22" count="1" selected="0">
            <x v="0"/>
          </reference>
          <reference field="23" count="1" selected="0">
            <x v="5"/>
          </reference>
          <reference field="24" count="1" selected="0">
            <x v="0"/>
          </reference>
        </references>
      </pivotArea>
    </format>
    <format dxfId="3974">
      <pivotArea dataOnly="0" labelOnly="1" outline="0" fieldPosition="0">
        <references count="5">
          <reference field="16" count="1">
            <x v="1"/>
          </reference>
          <reference field="21" count="1" selected="0">
            <x v="32"/>
          </reference>
          <reference field="22" count="1" selected="0">
            <x v="0"/>
          </reference>
          <reference field="23" count="1" selected="0">
            <x v="5"/>
          </reference>
          <reference field="24" count="1" selected="0">
            <x v="0"/>
          </reference>
        </references>
      </pivotArea>
    </format>
    <format dxfId="3973">
      <pivotArea dataOnly="0" labelOnly="1" outline="0" fieldPosition="0">
        <references count="5">
          <reference field="16" count="1">
            <x v="1"/>
          </reference>
          <reference field="21" count="1" selected="0">
            <x v="44"/>
          </reference>
          <reference field="22" count="1" selected="0">
            <x v="1"/>
          </reference>
          <reference field="23" count="1" selected="0">
            <x v="8"/>
          </reference>
          <reference field="24" count="1" selected="0">
            <x v="0"/>
          </reference>
        </references>
      </pivotArea>
    </format>
    <format dxfId="3972">
      <pivotArea dataOnly="0" labelOnly="1" outline="0" fieldPosition="0">
        <references count="5">
          <reference field="16" count="1">
            <x v="0"/>
          </reference>
          <reference field="21" count="1" selected="0">
            <x v="24"/>
          </reference>
          <reference field="22" count="1" selected="0">
            <x v="2"/>
          </reference>
          <reference field="23" count="1" selected="0">
            <x v="1"/>
          </reference>
          <reference field="24" count="1" selected="0">
            <x v="0"/>
          </reference>
        </references>
      </pivotArea>
    </format>
    <format dxfId="3971">
      <pivotArea dataOnly="0" labelOnly="1" outline="0" fieldPosition="0">
        <references count="5">
          <reference field="16" count="1">
            <x v="0"/>
          </reference>
          <reference field="21" count="1" selected="0">
            <x v="18"/>
          </reference>
          <reference field="22" count="1" selected="0">
            <x v="3"/>
          </reference>
          <reference field="23" count="1" selected="0">
            <x v="0"/>
          </reference>
          <reference field="24" count="1" selected="0">
            <x v="0"/>
          </reference>
        </references>
      </pivotArea>
    </format>
    <format dxfId="3970">
      <pivotArea dataOnly="0" labelOnly="1" outline="0" fieldPosition="0">
        <references count="5">
          <reference field="16" count="1">
            <x v="1"/>
          </reference>
          <reference field="21" count="1" selected="0">
            <x v="34"/>
          </reference>
          <reference field="22" count="1" selected="0">
            <x v="3"/>
          </reference>
          <reference field="23" count="1" selected="0">
            <x v="6"/>
          </reference>
          <reference field="24" count="1" selected="0">
            <x v="4"/>
          </reference>
        </references>
      </pivotArea>
    </format>
    <format dxfId="3969">
      <pivotArea dataOnly="0" labelOnly="1" outline="0" fieldPosition="0">
        <references count="5">
          <reference field="16" count="1">
            <x v="0"/>
          </reference>
          <reference field="21" count="1" selected="0">
            <x v="41"/>
          </reference>
          <reference field="22" count="1" selected="0">
            <x v="3"/>
          </reference>
          <reference field="23" count="1" selected="0">
            <x v="6"/>
          </reference>
          <reference field="24" count="1" selected="0">
            <x v="4"/>
          </reference>
        </references>
      </pivotArea>
    </format>
    <format dxfId="3968">
      <pivotArea dataOnly="0" labelOnly="1" outline="0" fieldPosition="0">
        <references count="5">
          <reference field="16" count="1">
            <x v="1"/>
          </reference>
          <reference field="21" count="1" selected="0">
            <x v="36"/>
          </reference>
          <reference field="22" count="1" selected="0">
            <x v="3"/>
          </reference>
          <reference field="23" count="1" selected="0">
            <x v="6"/>
          </reference>
          <reference field="24" count="1" selected="0">
            <x v="5"/>
          </reference>
        </references>
      </pivotArea>
    </format>
    <format dxfId="3967">
      <pivotArea dataOnly="0" labelOnly="1" outline="0" fieldPosition="0">
        <references count="5">
          <reference field="16" count="0"/>
          <reference field="21" count="1" selected="0">
            <x v="25"/>
          </reference>
          <reference field="22" count="1" selected="0">
            <x v="3"/>
          </reference>
          <reference field="23" count="1" selected="0">
            <x v="6"/>
          </reference>
          <reference field="24" count="1" selected="0">
            <x v="6"/>
          </reference>
        </references>
      </pivotArea>
    </format>
    <format dxfId="3966">
      <pivotArea dataOnly="0" labelOnly="1" outline="0" fieldPosition="0">
        <references count="5">
          <reference field="16" count="1">
            <x v="0"/>
          </reference>
          <reference field="21" count="1" selected="0">
            <x v="4"/>
          </reference>
          <reference field="22" count="1" selected="0">
            <x v="3"/>
          </reference>
          <reference field="23" count="1" selected="0">
            <x v="7"/>
          </reference>
          <reference field="24" count="1" selected="0">
            <x v="1"/>
          </reference>
        </references>
      </pivotArea>
    </format>
    <format dxfId="3965">
      <pivotArea dataOnly="0" labelOnly="1" outline="0" fieldPosition="0">
        <references count="5">
          <reference field="16" count="1">
            <x v="1"/>
          </reference>
          <reference field="21" count="1" selected="0">
            <x v="23"/>
          </reference>
          <reference field="22" count="1" selected="0">
            <x v="3"/>
          </reference>
          <reference field="23" count="1" selected="0">
            <x v="7"/>
          </reference>
          <reference field="24" count="1" selected="0">
            <x v="2"/>
          </reference>
        </references>
      </pivotArea>
    </format>
    <format dxfId="3964">
      <pivotArea dataOnly="0" labelOnly="1" outline="0" fieldPosition="0">
        <references count="5">
          <reference field="16" count="0"/>
          <reference field="21" count="1" selected="0">
            <x v="35"/>
          </reference>
          <reference field="22" count="1" selected="0">
            <x v="3"/>
          </reference>
          <reference field="23" count="1" selected="0">
            <x v="7"/>
          </reference>
          <reference field="24" count="1" selected="0">
            <x v="3"/>
          </reference>
        </references>
      </pivotArea>
    </format>
    <format dxfId="3963">
      <pivotArea dataOnly="0" labelOnly="1" outline="0" fieldPosition="0">
        <references count="5">
          <reference field="16" count="1">
            <x v="0"/>
          </reference>
          <reference field="21" count="1" selected="0">
            <x v="0"/>
          </reference>
          <reference field="22" count="1" selected="0">
            <x v="3"/>
          </reference>
          <reference field="23" count="1" selected="0">
            <x v="7"/>
          </reference>
          <reference field="24" count="1" selected="0">
            <x v="7"/>
          </reference>
        </references>
      </pivotArea>
    </format>
    <format dxfId="3962">
      <pivotArea dataOnly="0" labelOnly="1" outline="0" fieldPosition="0">
        <references count="5">
          <reference field="16" count="1">
            <x v="1"/>
          </reference>
          <reference field="21" count="1" selected="0">
            <x v="39"/>
          </reference>
          <reference field="22" count="1" selected="0">
            <x v="3"/>
          </reference>
          <reference field="23" count="1" selected="0">
            <x v="7"/>
          </reference>
          <reference field="24" count="1" selected="0">
            <x v="7"/>
          </reference>
        </references>
      </pivotArea>
    </format>
    <format dxfId="3961">
      <pivotArea dataOnly="0" labelOnly="1" outline="0" fieldPosition="0">
        <references count="5">
          <reference field="16" count="1">
            <x v="0"/>
          </reference>
          <reference field="21" count="1" selected="0">
            <x v="3"/>
          </reference>
          <reference field="22" count="1" selected="0">
            <x v="4"/>
          </reference>
          <reference field="23" count="1" selected="0">
            <x v="3"/>
          </reference>
          <reference field="24" count="1" selected="0">
            <x v="0"/>
          </reference>
        </references>
      </pivotArea>
    </format>
    <format dxfId="3960">
      <pivotArea dataOnly="0" labelOnly="1" outline="0" fieldPosition="0">
        <references count="5">
          <reference field="16" count="1">
            <x v="1"/>
          </reference>
          <reference field="21" count="1" selected="0">
            <x v="20"/>
          </reference>
          <reference field="22" count="1" selected="0">
            <x v="4"/>
          </reference>
          <reference field="23" count="1" selected="0">
            <x v="3"/>
          </reference>
          <reference field="24" count="1" selected="0">
            <x v="0"/>
          </reference>
        </references>
      </pivotArea>
    </format>
    <format dxfId="3959">
      <pivotArea dataOnly="0" labelOnly="1" outline="0" fieldPosition="0">
        <references count="5">
          <reference field="16" count="1">
            <x v="1"/>
          </reference>
          <reference field="21" count="1" selected="0">
            <x v="40"/>
          </reference>
          <reference field="22" count="1" selected="0">
            <x v="5"/>
          </reference>
          <reference field="23" count="1" selected="0">
            <x v="0"/>
          </reference>
          <reference field="24" count="1" selected="0">
            <x v="0"/>
          </reference>
        </references>
      </pivotArea>
    </format>
    <format dxfId="3958">
      <pivotArea dataOnly="0" labelOnly="1" outline="0" fieldPosition="0">
        <references count="5">
          <reference field="16" count="1">
            <x v="0"/>
          </reference>
          <reference field="21" count="1" selected="0">
            <x v="7"/>
          </reference>
          <reference field="22" count="1" selected="0">
            <x v="5"/>
          </reference>
          <reference field="23" count="1" selected="0">
            <x v="2"/>
          </reference>
          <reference field="24" count="1" selected="0">
            <x v="0"/>
          </reference>
        </references>
      </pivotArea>
    </format>
    <format dxfId="3957">
      <pivotArea dataOnly="0" labelOnly="1" outline="0" fieldPosition="0">
        <references count="5">
          <reference field="16" count="1">
            <x v="0"/>
          </reference>
          <reference field="21" count="1" selected="0">
            <x v="26"/>
          </reference>
          <reference field="22" count="1" selected="0">
            <x v="5"/>
          </reference>
          <reference field="23" count="1" selected="0">
            <x v="2"/>
          </reference>
          <reference field="24" count="1" selected="0">
            <x v="0"/>
          </reference>
        </references>
      </pivotArea>
    </format>
    <format dxfId="3956">
      <pivotArea dataOnly="0" labelOnly="1" outline="0" fieldPosition="0">
        <references count="5">
          <reference field="16" count="1">
            <x v="1"/>
          </reference>
          <reference field="21" count="1" selected="0">
            <x v="21"/>
          </reference>
          <reference field="22" count="1" selected="0">
            <x v="5"/>
          </reference>
          <reference field="23" count="1" selected="0">
            <x v="4"/>
          </reference>
          <reference field="24" count="1" selected="0">
            <x v="0"/>
          </reference>
        </references>
      </pivotArea>
    </format>
    <format dxfId="3955">
      <pivotArea dataOnly="0" outline="0" fieldPosition="0">
        <references count="2">
          <reference field="21" count="1">
            <x v="41"/>
          </reference>
          <reference field="24" count="1" selected="0">
            <x v="4"/>
          </reference>
        </references>
      </pivotArea>
    </format>
    <format dxfId="3954">
      <pivotArea dataOnly="0" outline="0" fieldPosition="0">
        <references count="1">
          <reference field="16" count="1">
            <x v="0"/>
          </reference>
        </references>
      </pivotArea>
    </format>
    <format dxfId="3953">
      <pivotArea dataOnly="0" labelOnly="1" outline="0" fieldPosition="0">
        <references count="4">
          <reference field="21" count="1">
            <x v="3"/>
          </reference>
          <reference field="22" count="1" selected="0">
            <x v="4"/>
          </reference>
          <reference field="23" count="1" selected="0">
            <x v="3"/>
          </reference>
          <reference field="24" count="1" selected="0">
            <x v="0"/>
          </reference>
        </references>
      </pivotArea>
    </format>
    <format dxfId="3952">
      <pivotArea dataOnly="0" outline="0" fieldPosition="0">
        <references count="1">
          <reference field="21" count="1">
            <x v="20"/>
          </reference>
        </references>
      </pivotArea>
    </format>
    <format dxfId="3951">
      <pivotArea dataOnly="0" outline="0" fieldPosition="0">
        <references count="3">
          <reference field="21" count="1">
            <x v="20"/>
          </reference>
          <reference field="23" count="1" selected="0">
            <x v="3"/>
          </reference>
          <reference field="24" count="1" selected="0">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33139F-4B48-4708-81E7-98D885E7E838}" name="ピボットテーブル3" cacheId="147" applyNumberFormats="0" applyBorderFormats="0" applyFontFormats="0" applyPatternFormats="0" applyAlignmentFormats="0" applyWidthHeightFormats="1" dataCaption="値" updatedVersion="8" minRefreshableVersion="3" itemPrintTitles="1" createdVersion="6" indent="0" compact="0" compactData="0" multipleFieldFilters="0">
  <location ref="I3:K25" firstHeaderRow="1" firstDataRow="1" firstDataCol="2"/>
  <pivotFields count="16">
    <pivotField compact="0" outline="0" subtotalTop="0" showAll="0"/>
    <pivotField compact="0" outline="0" subtotalTop="0" showAll="0"/>
    <pivotField axis="axisRow" compact="0" outline="0" subtotalTop="0" showAll="0">
      <items count="9">
        <item x="7"/>
        <item x="6"/>
        <item x="5"/>
        <item x="3"/>
        <item x="0"/>
        <item x="4"/>
        <item x="2"/>
        <item x="1"/>
        <item t="default"/>
      </items>
    </pivotField>
    <pivotField compact="0" outline="0" subtotalTop="0" showAll="0"/>
    <pivotField compact="0" outline="0" subtotalTop="0" showAll="0"/>
    <pivotField compact="0" outline="0" subtotalTop="0" showAll="0">
      <items count="4">
        <item x="1"/>
        <item x="2"/>
        <item x="0"/>
        <item t="default"/>
      </items>
    </pivotField>
    <pivotField compact="0" outline="0" subtotalTop="0" showAll="0"/>
    <pivotField compact="0" outline="0" subtotalTop="0" showAll="0">
      <items count="4">
        <item x="0"/>
        <item x="2"/>
        <item x="1"/>
        <item t="default"/>
      </items>
    </pivotField>
    <pivotField compact="0" outline="0" subtotalTop="0" showAll="0"/>
    <pivotField axis="axisRow" dataField="1" compact="0" outline="0" subtotalTop="0" showAll="0">
      <items count="4">
        <item x="2"/>
        <item x="0"/>
        <item x="1"/>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9"/>
    <field x="2"/>
  </rowFields>
  <rowItems count="22">
    <i>
      <x/>
      <x/>
    </i>
    <i r="1">
      <x v="1"/>
    </i>
    <i r="1">
      <x v="2"/>
    </i>
    <i r="1">
      <x v="3"/>
    </i>
    <i r="1">
      <x v="4"/>
    </i>
    <i r="1">
      <x v="5"/>
    </i>
    <i r="1">
      <x v="6"/>
    </i>
    <i r="1">
      <x v="7"/>
    </i>
    <i t="default">
      <x/>
    </i>
    <i>
      <x v="1"/>
      <x v="2"/>
    </i>
    <i r="1">
      <x v="3"/>
    </i>
    <i r="1">
      <x v="4"/>
    </i>
    <i r="1">
      <x v="5"/>
    </i>
    <i t="default">
      <x v="1"/>
    </i>
    <i>
      <x v="2"/>
      <x/>
    </i>
    <i r="1">
      <x v="3"/>
    </i>
    <i r="1">
      <x v="4"/>
    </i>
    <i r="1">
      <x v="5"/>
    </i>
    <i r="1">
      <x v="6"/>
    </i>
    <i r="1">
      <x v="7"/>
    </i>
    <i t="default">
      <x v="2"/>
    </i>
    <i t="grand">
      <x/>
    </i>
  </rowItems>
  <colItems count="1">
    <i/>
  </colItems>
  <dataFields count="1">
    <dataField name="データの個数 / ③MS365" fld="9" subtotal="count" baseField="2" baseItem="0"/>
  </dataFields>
  <formats count="51">
    <format dxfId="3637">
      <pivotArea type="all" dataOnly="0" outline="0" fieldPosition="0"/>
    </format>
    <format dxfId="3636">
      <pivotArea outline="0" collapsedLevelsAreSubtotals="1" fieldPosition="0"/>
    </format>
    <format dxfId="3635">
      <pivotArea field="5" type="button" dataOnly="0" labelOnly="1" outline="0"/>
    </format>
    <format dxfId="3634">
      <pivotArea field="2" type="button" dataOnly="0" labelOnly="1" outline="0" axis="axisRow" fieldPosition="1"/>
    </format>
    <format dxfId="3633">
      <pivotArea dataOnly="0" labelOnly="1" outline="0" axis="axisValues" fieldPosition="0"/>
    </format>
    <format dxfId="3632">
      <pivotArea dataOnly="0" labelOnly="1" grandRow="1" outline="0" fieldPosition="0"/>
    </format>
    <format dxfId="3631">
      <pivotArea dataOnly="0" labelOnly="1" outline="0" axis="axisValues" fieldPosition="0"/>
    </format>
    <format dxfId="3630">
      <pivotArea type="all" dataOnly="0" outline="0" fieldPosition="0"/>
    </format>
    <format dxfId="3629">
      <pivotArea outline="0" collapsedLevelsAreSubtotals="1" fieldPosition="0"/>
    </format>
    <format dxfId="3628">
      <pivotArea field="5" type="button" dataOnly="0" labelOnly="1" outline="0"/>
    </format>
    <format dxfId="3627">
      <pivotArea field="2" type="button" dataOnly="0" labelOnly="1" outline="0" axis="axisRow" fieldPosition="1"/>
    </format>
    <format dxfId="3626">
      <pivotArea dataOnly="0" labelOnly="1" outline="0" axis="axisValues" fieldPosition="0"/>
    </format>
    <format dxfId="3625">
      <pivotArea dataOnly="0" labelOnly="1" grandRow="1" outline="0" fieldPosition="0"/>
    </format>
    <format dxfId="3624">
      <pivotArea dataOnly="0" labelOnly="1" outline="0" axis="axisValues" fieldPosition="0"/>
    </format>
    <format dxfId="3623">
      <pivotArea type="all" dataOnly="0" outline="0" fieldPosition="0"/>
    </format>
    <format dxfId="3622">
      <pivotArea outline="0" collapsedLevelsAreSubtotals="1" fieldPosition="0"/>
    </format>
    <format dxfId="3621">
      <pivotArea field="5" type="button" dataOnly="0" labelOnly="1" outline="0"/>
    </format>
    <format dxfId="3620">
      <pivotArea field="2" type="button" dataOnly="0" labelOnly="1" outline="0" axis="axisRow" fieldPosition="1"/>
    </format>
    <format dxfId="3619">
      <pivotArea dataOnly="0" labelOnly="1" outline="0" axis="axisValues" fieldPosition="0"/>
    </format>
    <format dxfId="3618">
      <pivotArea dataOnly="0" labelOnly="1" grandRow="1" outline="0" fieldPosition="0"/>
    </format>
    <format dxfId="3617">
      <pivotArea dataOnly="0" labelOnly="1" outline="0" axis="axisValues" fieldPosition="0"/>
    </format>
    <format dxfId="3616">
      <pivotArea type="all" dataOnly="0" outline="0" fieldPosition="0"/>
    </format>
    <format dxfId="3615">
      <pivotArea outline="0" collapsedLevelsAreSubtotals="1" fieldPosition="0"/>
    </format>
    <format dxfId="3614">
      <pivotArea field="5" type="button" dataOnly="0" labelOnly="1" outline="0"/>
    </format>
    <format dxfId="3613">
      <pivotArea field="2" type="button" dataOnly="0" labelOnly="1" outline="0" axis="axisRow" fieldPosition="1"/>
    </format>
    <format dxfId="3612">
      <pivotArea dataOnly="0" labelOnly="1" outline="0" axis="axisValues" fieldPosition="0"/>
    </format>
    <format dxfId="3611">
      <pivotArea dataOnly="0" labelOnly="1" grandRow="1" outline="0" fieldPosition="0"/>
    </format>
    <format dxfId="3610">
      <pivotArea dataOnly="0" labelOnly="1" outline="0" axis="axisValues" fieldPosition="0"/>
    </format>
    <format dxfId="3609">
      <pivotArea type="all" dataOnly="0" outline="0" fieldPosition="0"/>
    </format>
    <format dxfId="3608">
      <pivotArea outline="0" collapsedLevelsAreSubtotals="1" fieldPosition="0"/>
    </format>
    <format dxfId="3607">
      <pivotArea field="5" type="button" dataOnly="0" labelOnly="1" outline="0"/>
    </format>
    <format dxfId="3606">
      <pivotArea field="2" type="button" dataOnly="0" labelOnly="1" outline="0" axis="axisRow" fieldPosition="1"/>
    </format>
    <format dxfId="3605">
      <pivotArea dataOnly="0" labelOnly="1" outline="0" axis="axisValues" fieldPosition="0"/>
    </format>
    <format dxfId="3604">
      <pivotArea dataOnly="0" labelOnly="1" grandRow="1" outline="0" fieldPosition="0"/>
    </format>
    <format dxfId="3603">
      <pivotArea dataOnly="0" labelOnly="1" outline="0" axis="axisValues" fieldPosition="0"/>
    </format>
    <format dxfId="3602">
      <pivotArea dataOnly="0" outline="0" axis="axisValues" fieldPosition="0"/>
    </format>
    <format dxfId="3601">
      <pivotArea dataOnly="0" outline="0" axis="axisValues" fieldPosition="0"/>
    </format>
    <format dxfId="3600">
      <pivotArea dataOnly="0" outline="0" axis="axisValues" fieldPosition="0"/>
    </format>
    <format dxfId="3599">
      <pivotArea dataOnly="0" outline="0" axis="axisValues" fieldPosition="0"/>
    </format>
    <format dxfId="3598">
      <pivotArea dataOnly="0" outline="0" axis="axisValues" fieldPosition="0"/>
    </format>
    <format dxfId="3597">
      <pivotArea field="5" type="button" dataOnly="0" labelOnly="1" outline="0"/>
    </format>
    <format dxfId="3596">
      <pivotArea field="5" type="button" dataOnly="0" labelOnly="1" outline="0"/>
    </format>
    <format dxfId="3595">
      <pivotArea field="5" type="button" dataOnly="0" labelOnly="1" outline="0"/>
    </format>
    <format dxfId="3594">
      <pivotArea field="7" type="button" dataOnly="0" labelOnly="1" outline="0"/>
    </format>
    <format dxfId="3593">
      <pivotArea field="7" type="button" dataOnly="0" labelOnly="1" outline="0"/>
    </format>
    <format dxfId="3592">
      <pivotArea field="9" type="button" dataOnly="0" labelOnly="1" outline="0" axis="axisRow" fieldPosition="0"/>
    </format>
    <format dxfId="3591">
      <pivotArea field="9" type="button" dataOnly="0" labelOnly="1" outline="0" axis="axisRow" fieldPosition="0"/>
    </format>
    <format dxfId="3590">
      <pivotArea dataOnly="0" outline="0" fieldPosition="0">
        <references count="1">
          <reference field="9" count="1">
            <x v="2"/>
          </reference>
        </references>
      </pivotArea>
    </format>
    <format dxfId="3589">
      <pivotArea dataOnly="0" outline="0" fieldPosition="0">
        <references count="1">
          <reference field="9" count="0" defaultSubtotal="1"/>
        </references>
      </pivotArea>
    </format>
    <format dxfId="3588">
      <pivotArea dataOnly="0" outline="0" fieldPosition="0">
        <references count="1">
          <reference field="9" count="1" defaultSubtotal="1">
            <x v="1"/>
          </reference>
        </references>
      </pivotArea>
    </format>
    <format dxfId="3587">
      <pivotArea dataOnly="0" outline="0" fieldPosition="0">
        <references count="2">
          <reference field="2" count="1">
            <x v="0"/>
          </reference>
          <reference field="9"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7FC2AF-DDCB-418B-9758-0D43611587FC}" name="ピボットテーブル4" cacheId="147" applyNumberFormats="0" applyBorderFormats="0" applyFontFormats="0" applyPatternFormats="0" applyAlignmentFormats="0" applyWidthHeightFormats="1" dataCaption="値" updatedVersion="8" minRefreshableVersion="3" itemPrintTitles="1" createdVersion="6" indent="0" compact="0" compactData="0" multipleFieldFilters="0">
  <location ref="M3:O22" firstHeaderRow="1" firstDataRow="1" firstDataCol="2"/>
  <pivotFields count="16">
    <pivotField compact="0" outline="0" subtotalTop="0" showAll="0"/>
    <pivotField compact="0" outline="0" subtotalTop="0" showAll="0"/>
    <pivotField axis="axisRow" compact="0" outline="0" subtotalTop="0" showAll="0">
      <items count="9">
        <item x="7"/>
        <item x="6"/>
        <item x="5"/>
        <item x="3"/>
        <item x="0"/>
        <item x="4"/>
        <item x="2"/>
        <item x="1"/>
        <item t="default"/>
      </items>
    </pivotField>
    <pivotField compact="0" outline="0" subtotalTop="0" showAll="0"/>
    <pivotField compact="0" outline="0" subtotalTop="0" showAll="0"/>
    <pivotField compact="0" outline="0" subtotalTop="0" showAll="0">
      <items count="4">
        <item x="1"/>
        <item x="2"/>
        <item x="0"/>
        <item t="default"/>
      </items>
    </pivotField>
    <pivotField compact="0" outline="0" subtotalTop="0" showAll="0"/>
    <pivotField compact="0" outline="0" subtotalTop="0" showAll="0">
      <items count="4">
        <item x="0"/>
        <item x="2"/>
        <item x="1"/>
        <item t="default"/>
      </items>
    </pivotField>
    <pivotField compact="0" outline="0" subtotalTop="0" showAll="0"/>
    <pivotField compact="0" outline="0" subtotalTop="0" showAll="0">
      <items count="4">
        <item x="1"/>
        <item x="0"/>
        <item x="2"/>
        <item t="default"/>
      </items>
    </pivotField>
    <pivotField compact="0" outline="0" subtotalTop="0" showAll="0"/>
    <pivotField axis="axisRow" dataField="1" compact="0" outline="0" subtotalTop="0" showAll="0">
      <items count="4">
        <item x="1"/>
        <item x="2"/>
        <item x="0"/>
        <item t="default"/>
      </items>
    </pivotField>
    <pivotField compact="0" outline="0" subtotalTop="0" showAll="0"/>
    <pivotField compact="0" outline="0" subtotalTop="0" showAll="0"/>
    <pivotField compact="0" outline="0" subtotalTop="0" showAll="0"/>
    <pivotField compact="0" outline="0" subtotalTop="0" showAll="0"/>
  </pivotFields>
  <rowFields count="2">
    <field x="11"/>
    <field x="2"/>
  </rowFields>
  <rowItems count="19">
    <i>
      <x/>
      <x/>
    </i>
    <i r="1">
      <x v="1"/>
    </i>
    <i r="1">
      <x v="2"/>
    </i>
    <i r="1">
      <x v="3"/>
    </i>
    <i r="1">
      <x v="4"/>
    </i>
    <i r="1">
      <x v="5"/>
    </i>
    <i r="1">
      <x v="6"/>
    </i>
    <i r="1">
      <x v="7"/>
    </i>
    <i t="default">
      <x/>
    </i>
    <i>
      <x v="1"/>
      <x v="1"/>
    </i>
    <i t="default">
      <x v="1"/>
    </i>
    <i>
      <x v="2"/>
      <x/>
    </i>
    <i r="1">
      <x v="3"/>
    </i>
    <i r="1">
      <x v="4"/>
    </i>
    <i r="1">
      <x v="5"/>
    </i>
    <i r="1">
      <x v="6"/>
    </i>
    <i r="1">
      <x v="7"/>
    </i>
    <i t="default">
      <x v="2"/>
    </i>
    <i t="grand">
      <x/>
    </i>
  </rowItems>
  <colItems count="1">
    <i/>
  </colItems>
  <dataFields count="1">
    <dataField name="データの個数 / ④セキュリティ" fld="11" subtotal="count" baseField="2" baseItem="0"/>
  </dataFields>
  <formats count="53">
    <format dxfId="3690">
      <pivotArea type="all" dataOnly="0" outline="0" fieldPosition="0"/>
    </format>
    <format dxfId="3689">
      <pivotArea outline="0" collapsedLevelsAreSubtotals="1" fieldPosition="0"/>
    </format>
    <format dxfId="3688">
      <pivotArea field="5" type="button" dataOnly="0" labelOnly="1" outline="0"/>
    </format>
    <format dxfId="3687">
      <pivotArea field="2" type="button" dataOnly="0" labelOnly="1" outline="0" axis="axisRow" fieldPosition="1"/>
    </format>
    <format dxfId="3686">
      <pivotArea dataOnly="0" labelOnly="1" outline="0" axis="axisValues" fieldPosition="0"/>
    </format>
    <format dxfId="3685">
      <pivotArea dataOnly="0" labelOnly="1" grandRow="1" outline="0" fieldPosition="0"/>
    </format>
    <format dxfId="3684">
      <pivotArea dataOnly="0" labelOnly="1" outline="0" axis="axisValues" fieldPosition="0"/>
    </format>
    <format dxfId="3683">
      <pivotArea type="all" dataOnly="0" outline="0" fieldPosition="0"/>
    </format>
    <format dxfId="3682">
      <pivotArea outline="0" collapsedLevelsAreSubtotals="1" fieldPosition="0"/>
    </format>
    <format dxfId="3681">
      <pivotArea field="5" type="button" dataOnly="0" labelOnly="1" outline="0"/>
    </format>
    <format dxfId="3680">
      <pivotArea field="2" type="button" dataOnly="0" labelOnly="1" outline="0" axis="axisRow" fieldPosition="1"/>
    </format>
    <format dxfId="3679">
      <pivotArea dataOnly="0" labelOnly="1" outline="0" axis="axisValues" fieldPosition="0"/>
    </format>
    <format dxfId="3678">
      <pivotArea dataOnly="0" labelOnly="1" grandRow="1" outline="0" fieldPosition="0"/>
    </format>
    <format dxfId="3677">
      <pivotArea dataOnly="0" labelOnly="1" outline="0" axis="axisValues" fieldPosition="0"/>
    </format>
    <format dxfId="3676">
      <pivotArea type="all" dataOnly="0" outline="0" fieldPosition="0"/>
    </format>
    <format dxfId="3675">
      <pivotArea outline="0" collapsedLevelsAreSubtotals="1" fieldPosition="0"/>
    </format>
    <format dxfId="3674">
      <pivotArea field="5" type="button" dataOnly="0" labelOnly="1" outline="0"/>
    </format>
    <format dxfId="3673">
      <pivotArea field="2" type="button" dataOnly="0" labelOnly="1" outline="0" axis="axisRow" fieldPosition="1"/>
    </format>
    <format dxfId="3672">
      <pivotArea dataOnly="0" labelOnly="1" outline="0" axis="axisValues" fieldPosition="0"/>
    </format>
    <format dxfId="3671">
      <pivotArea dataOnly="0" labelOnly="1" grandRow="1" outline="0" fieldPosition="0"/>
    </format>
    <format dxfId="3670">
      <pivotArea dataOnly="0" labelOnly="1" outline="0" axis="axisValues" fieldPosition="0"/>
    </format>
    <format dxfId="3669">
      <pivotArea type="all" dataOnly="0" outline="0" fieldPosition="0"/>
    </format>
    <format dxfId="3668">
      <pivotArea outline="0" collapsedLevelsAreSubtotals="1" fieldPosition="0"/>
    </format>
    <format dxfId="3667">
      <pivotArea field="5" type="button" dataOnly="0" labelOnly="1" outline="0"/>
    </format>
    <format dxfId="3666">
      <pivotArea field="2" type="button" dataOnly="0" labelOnly="1" outline="0" axis="axisRow" fieldPosition="1"/>
    </format>
    <format dxfId="3665">
      <pivotArea dataOnly="0" labelOnly="1" outline="0" axis="axisValues" fieldPosition="0"/>
    </format>
    <format dxfId="3664">
      <pivotArea dataOnly="0" labelOnly="1" grandRow="1" outline="0" fieldPosition="0"/>
    </format>
    <format dxfId="3663">
      <pivotArea dataOnly="0" labelOnly="1" outline="0" axis="axisValues" fieldPosition="0"/>
    </format>
    <format dxfId="3662">
      <pivotArea type="all" dataOnly="0" outline="0" fieldPosition="0"/>
    </format>
    <format dxfId="3661">
      <pivotArea outline="0" collapsedLevelsAreSubtotals="1" fieldPosition="0"/>
    </format>
    <format dxfId="3660">
      <pivotArea field="5" type="button" dataOnly="0" labelOnly="1" outline="0"/>
    </format>
    <format dxfId="3659">
      <pivotArea field="2" type="button" dataOnly="0" labelOnly="1" outline="0" axis="axisRow" fieldPosition="1"/>
    </format>
    <format dxfId="3658">
      <pivotArea dataOnly="0" labelOnly="1" outline="0" axis="axisValues" fieldPosition="0"/>
    </format>
    <format dxfId="3657">
      <pivotArea dataOnly="0" labelOnly="1" grandRow="1" outline="0" fieldPosition="0"/>
    </format>
    <format dxfId="3656">
      <pivotArea dataOnly="0" labelOnly="1" outline="0" axis="axisValues" fieldPosition="0"/>
    </format>
    <format dxfId="3655">
      <pivotArea dataOnly="0" outline="0" axis="axisValues" fieldPosition="0"/>
    </format>
    <format dxfId="3654">
      <pivotArea dataOnly="0" outline="0" axis="axisValues" fieldPosition="0"/>
    </format>
    <format dxfId="3653">
      <pivotArea dataOnly="0" outline="0" axis="axisValues" fieldPosition="0"/>
    </format>
    <format dxfId="3652">
      <pivotArea dataOnly="0" outline="0" axis="axisValues" fieldPosition="0"/>
    </format>
    <format dxfId="3651">
      <pivotArea dataOnly="0" outline="0" axis="axisValues" fieldPosition="0"/>
    </format>
    <format dxfId="3650">
      <pivotArea field="5" type="button" dataOnly="0" labelOnly="1" outline="0"/>
    </format>
    <format dxfId="3649">
      <pivotArea field="5" type="button" dataOnly="0" labelOnly="1" outline="0"/>
    </format>
    <format dxfId="3648">
      <pivotArea field="5" type="button" dataOnly="0" labelOnly="1" outline="0"/>
    </format>
    <format dxfId="3647">
      <pivotArea field="7" type="button" dataOnly="0" labelOnly="1" outline="0"/>
    </format>
    <format dxfId="3646">
      <pivotArea field="7" type="button" dataOnly="0" labelOnly="1" outline="0"/>
    </format>
    <format dxfId="3645">
      <pivotArea field="9" type="button" dataOnly="0" labelOnly="1" outline="0"/>
    </format>
    <format dxfId="3644">
      <pivotArea field="9" type="button" dataOnly="0" labelOnly="1" outline="0"/>
    </format>
    <format dxfId="3643">
      <pivotArea field="11" type="button" dataOnly="0" labelOnly="1" outline="0" axis="axisRow" fieldPosition="0"/>
    </format>
    <format dxfId="3642">
      <pivotArea field="11" type="button" dataOnly="0" labelOnly="1" outline="0" axis="axisRow" fieldPosition="0"/>
    </format>
    <format dxfId="3641">
      <pivotArea dataOnly="0" outline="0" fieldPosition="0">
        <references count="1">
          <reference field="11" count="1">
            <x v="2"/>
          </reference>
        </references>
      </pivotArea>
    </format>
    <format dxfId="3640">
      <pivotArea dataOnly="0" outline="0" fieldPosition="0">
        <references count="1">
          <reference field="11" count="0" defaultSubtotal="1"/>
        </references>
      </pivotArea>
    </format>
    <format dxfId="3639">
      <pivotArea dataOnly="0" outline="0" fieldPosition="0">
        <references count="1">
          <reference field="11" count="1" defaultSubtotal="1">
            <x v="1"/>
          </reference>
        </references>
      </pivotArea>
    </format>
    <format dxfId="3638">
      <pivotArea dataOnly="0" outline="0" fieldPosition="0">
        <references count="2">
          <reference field="2" count="1">
            <x v="0"/>
          </reference>
          <reference field="11"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FF66C3-5280-4BBA-98F3-D12126FA3764}" name="ピボットテーブル5" cacheId="147" applyNumberFormats="0" applyBorderFormats="0" applyFontFormats="0" applyPatternFormats="0" applyAlignmentFormats="0" applyWidthHeightFormats="1" dataCaption="値" updatedVersion="8" minRefreshableVersion="3" itemPrintTitles="1" createdVersion="6" indent="0" compact="0" compactData="0" multipleFieldFilters="0">
  <location ref="Q3:S26" firstHeaderRow="1" firstDataRow="1" firstDataCol="2"/>
  <pivotFields count="16">
    <pivotField compact="0" outline="0" subtotalTop="0" showAll="0"/>
    <pivotField compact="0" outline="0" subtotalTop="0" showAll="0"/>
    <pivotField axis="axisRow" compact="0" outline="0" subtotalTop="0" showAll="0">
      <items count="9">
        <item x="7"/>
        <item x="6"/>
        <item x="5"/>
        <item x="3"/>
        <item x="0"/>
        <item x="4"/>
        <item x="2"/>
        <item x="1"/>
        <item t="default"/>
      </items>
    </pivotField>
    <pivotField compact="0" outline="0" subtotalTop="0" showAll="0"/>
    <pivotField compact="0" outline="0" subtotalTop="0" showAll="0"/>
    <pivotField compact="0" outline="0" subtotalTop="0" showAll="0">
      <items count="4">
        <item x="1"/>
        <item x="2"/>
        <item x="0"/>
        <item t="default"/>
      </items>
    </pivotField>
    <pivotField compact="0" outline="0" subtotalTop="0" showAll="0"/>
    <pivotField compact="0" outline="0" subtotalTop="0" showAll="0">
      <items count="4">
        <item x="0"/>
        <item x="2"/>
        <item x="1"/>
        <item t="default"/>
      </items>
    </pivotField>
    <pivotField compact="0" outline="0" subtotalTop="0" showAll="0"/>
    <pivotField compact="0" outline="0" subtotalTop="0" showAll="0">
      <items count="4">
        <item x="1"/>
        <item x="0"/>
        <item x="2"/>
        <item t="default"/>
      </items>
    </pivotField>
    <pivotField compact="0" outline="0" subtotalTop="0" showAll="0"/>
    <pivotField compact="0" outline="0" subtotalTop="0" showAll="0">
      <items count="4">
        <item x="0"/>
        <item x="2"/>
        <item x="1"/>
        <item t="default"/>
      </items>
    </pivotField>
    <pivotField compact="0" outline="0" subtotalTop="0" showAll="0"/>
    <pivotField axis="axisRow" dataField="1" compact="0" outline="0" subtotalTop="0" showAll="0">
      <items count="4">
        <item x="0"/>
        <item x="1"/>
        <item x="2"/>
        <item t="default"/>
      </items>
    </pivotField>
    <pivotField compact="0" outline="0" subtotalTop="0" showAll="0"/>
    <pivotField compact="0" outline="0" subtotalTop="0" showAll="0"/>
  </pivotFields>
  <rowFields count="2">
    <field x="13"/>
    <field x="2"/>
  </rowFields>
  <rowItems count="23">
    <i>
      <x/>
      <x/>
    </i>
    <i r="1">
      <x v="1"/>
    </i>
    <i r="1">
      <x v="2"/>
    </i>
    <i r="1">
      <x v="3"/>
    </i>
    <i r="1">
      <x v="4"/>
    </i>
    <i r="1">
      <x v="5"/>
    </i>
    <i r="1">
      <x v="6"/>
    </i>
    <i r="1">
      <x v="7"/>
    </i>
    <i t="default">
      <x/>
    </i>
    <i>
      <x v="1"/>
      <x v="1"/>
    </i>
    <i r="1">
      <x v="2"/>
    </i>
    <i r="1">
      <x v="3"/>
    </i>
    <i r="1">
      <x v="4"/>
    </i>
    <i r="1">
      <x v="5"/>
    </i>
    <i r="1">
      <x v="6"/>
    </i>
    <i t="default">
      <x v="1"/>
    </i>
    <i>
      <x v="2"/>
      <x/>
    </i>
    <i r="1">
      <x v="3"/>
    </i>
    <i r="1">
      <x v="4"/>
    </i>
    <i r="1">
      <x v="6"/>
    </i>
    <i r="1">
      <x v="7"/>
    </i>
    <i t="default">
      <x v="2"/>
    </i>
    <i t="grand">
      <x/>
    </i>
  </rowItems>
  <colItems count="1">
    <i/>
  </colItems>
  <dataFields count="1">
    <dataField name="データの個数 / ⑤ITスキル向上" fld="13" subtotal="count" baseField="2" baseItem="0"/>
  </dataFields>
  <formats count="55">
    <format dxfId="3745">
      <pivotArea type="all" dataOnly="0" outline="0" fieldPosition="0"/>
    </format>
    <format dxfId="3744">
      <pivotArea outline="0" collapsedLevelsAreSubtotals="1" fieldPosition="0"/>
    </format>
    <format dxfId="3743">
      <pivotArea field="5" type="button" dataOnly="0" labelOnly="1" outline="0"/>
    </format>
    <format dxfId="3742">
      <pivotArea field="2" type="button" dataOnly="0" labelOnly="1" outline="0" axis="axisRow" fieldPosition="1"/>
    </format>
    <format dxfId="3741">
      <pivotArea dataOnly="0" labelOnly="1" outline="0" axis="axisValues" fieldPosition="0"/>
    </format>
    <format dxfId="3740">
      <pivotArea dataOnly="0" labelOnly="1" grandRow="1" outline="0" fieldPosition="0"/>
    </format>
    <format dxfId="3739">
      <pivotArea dataOnly="0" labelOnly="1" outline="0" axis="axisValues" fieldPosition="0"/>
    </format>
    <format dxfId="3738">
      <pivotArea type="all" dataOnly="0" outline="0" fieldPosition="0"/>
    </format>
    <format dxfId="3737">
      <pivotArea outline="0" collapsedLevelsAreSubtotals="1" fieldPosition="0"/>
    </format>
    <format dxfId="3736">
      <pivotArea field="5" type="button" dataOnly="0" labelOnly="1" outline="0"/>
    </format>
    <format dxfId="3735">
      <pivotArea field="2" type="button" dataOnly="0" labelOnly="1" outline="0" axis="axisRow" fieldPosition="1"/>
    </format>
    <format dxfId="3734">
      <pivotArea dataOnly="0" labelOnly="1" outline="0" axis="axisValues" fieldPosition="0"/>
    </format>
    <format dxfId="3733">
      <pivotArea dataOnly="0" labelOnly="1" grandRow="1" outline="0" fieldPosition="0"/>
    </format>
    <format dxfId="3732">
      <pivotArea dataOnly="0" labelOnly="1" outline="0" axis="axisValues" fieldPosition="0"/>
    </format>
    <format dxfId="3731">
      <pivotArea type="all" dataOnly="0" outline="0" fieldPosition="0"/>
    </format>
    <format dxfId="3730">
      <pivotArea outline="0" collapsedLevelsAreSubtotals="1" fieldPosition="0"/>
    </format>
    <format dxfId="3729">
      <pivotArea field="5" type="button" dataOnly="0" labelOnly="1" outline="0"/>
    </format>
    <format dxfId="3728">
      <pivotArea field="2" type="button" dataOnly="0" labelOnly="1" outline="0" axis="axisRow" fieldPosition="1"/>
    </format>
    <format dxfId="3727">
      <pivotArea dataOnly="0" labelOnly="1" outline="0" axis="axisValues" fieldPosition="0"/>
    </format>
    <format dxfId="3726">
      <pivotArea dataOnly="0" labelOnly="1" grandRow="1" outline="0" fieldPosition="0"/>
    </format>
    <format dxfId="3725">
      <pivotArea dataOnly="0" labelOnly="1" outline="0" axis="axisValues" fieldPosition="0"/>
    </format>
    <format dxfId="3724">
      <pivotArea type="all" dataOnly="0" outline="0" fieldPosition="0"/>
    </format>
    <format dxfId="3723">
      <pivotArea outline="0" collapsedLevelsAreSubtotals="1" fieldPosition="0"/>
    </format>
    <format dxfId="3722">
      <pivotArea field="5" type="button" dataOnly="0" labelOnly="1" outline="0"/>
    </format>
    <format dxfId="3721">
      <pivotArea field="2" type="button" dataOnly="0" labelOnly="1" outline="0" axis="axisRow" fieldPosition="1"/>
    </format>
    <format dxfId="3720">
      <pivotArea dataOnly="0" labelOnly="1" outline="0" axis="axisValues" fieldPosition="0"/>
    </format>
    <format dxfId="3719">
      <pivotArea dataOnly="0" labelOnly="1" grandRow="1" outline="0" fieldPosition="0"/>
    </format>
    <format dxfId="3718">
      <pivotArea dataOnly="0" labelOnly="1" outline="0" axis="axisValues" fieldPosition="0"/>
    </format>
    <format dxfId="3717">
      <pivotArea type="all" dataOnly="0" outline="0" fieldPosition="0"/>
    </format>
    <format dxfId="3716">
      <pivotArea outline="0" collapsedLevelsAreSubtotals="1" fieldPosition="0"/>
    </format>
    <format dxfId="3715">
      <pivotArea field="5" type="button" dataOnly="0" labelOnly="1" outline="0"/>
    </format>
    <format dxfId="3714">
      <pivotArea field="2" type="button" dataOnly="0" labelOnly="1" outline="0" axis="axisRow" fieldPosition="1"/>
    </format>
    <format dxfId="3713">
      <pivotArea dataOnly="0" labelOnly="1" outline="0" axis="axisValues" fieldPosition="0"/>
    </format>
    <format dxfId="3712">
      <pivotArea dataOnly="0" labelOnly="1" grandRow="1" outline="0" fieldPosition="0"/>
    </format>
    <format dxfId="3711">
      <pivotArea dataOnly="0" labelOnly="1" outline="0" axis="axisValues" fieldPosition="0"/>
    </format>
    <format dxfId="3710">
      <pivotArea dataOnly="0" outline="0" axis="axisValues" fieldPosition="0"/>
    </format>
    <format dxfId="3709">
      <pivotArea dataOnly="0" outline="0" axis="axisValues" fieldPosition="0"/>
    </format>
    <format dxfId="3708">
      <pivotArea dataOnly="0" outline="0" axis="axisValues" fieldPosition="0"/>
    </format>
    <format dxfId="3707">
      <pivotArea dataOnly="0" outline="0" axis="axisValues" fieldPosition="0"/>
    </format>
    <format dxfId="3706">
      <pivotArea dataOnly="0" outline="0" axis="axisValues" fieldPosition="0"/>
    </format>
    <format dxfId="3705">
      <pivotArea field="5" type="button" dataOnly="0" labelOnly="1" outline="0"/>
    </format>
    <format dxfId="3704">
      <pivotArea field="5" type="button" dataOnly="0" labelOnly="1" outline="0"/>
    </format>
    <format dxfId="3703">
      <pivotArea field="5" type="button" dataOnly="0" labelOnly="1" outline="0"/>
    </format>
    <format dxfId="3702">
      <pivotArea field="7" type="button" dataOnly="0" labelOnly="1" outline="0"/>
    </format>
    <format dxfId="3701">
      <pivotArea field="7" type="button" dataOnly="0" labelOnly="1" outline="0"/>
    </format>
    <format dxfId="3700">
      <pivotArea field="9" type="button" dataOnly="0" labelOnly="1" outline="0"/>
    </format>
    <format dxfId="3699">
      <pivotArea field="9" type="button" dataOnly="0" labelOnly="1" outline="0"/>
    </format>
    <format dxfId="3698">
      <pivotArea field="11" type="button" dataOnly="0" labelOnly="1" outline="0"/>
    </format>
    <format dxfId="3697">
      <pivotArea field="11" type="button" dataOnly="0" labelOnly="1" outline="0"/>
    </format>
    <format dxfId="3696">
      <pivotArea field="13" type="button" dataOnly="0" labelOnly="1" outline="0" axis="axisRow" fieldPosition="0"/>
    </format>
    <format dxfId="3695">
      <pivotArea field="13" type="button" dataOnly="0" labelOnly="1" outline="0" axis="axisRow" fieldPosition="0"/>
    </format>
    <format dxfId="3694">
      <pivotArea dataOnly="0" outline="0" fieldPosition="0">
        <references count="1">
          <reference field="13" count="1">
            <x v="2"/>
          </reference>
        </references>
      </pivotArea>
    </format>
    <format dxfId="3693">
      <pivotArea dataOnly="0" outline="0" fieldPosition="0">
        <references count="1">
          <reference field="13" count="0" defaultSubtotal="1"/>
        </references>
      </pivotArea>
    </format>
    <format dxfId="3692">
      <pivotArea dataOnly="0" outline="0" fieldPosition="0">
        <references count="1">
          <reference field="13" count="1" defaultSubtotal="1">
            <x v="1"/>
          </reference>
        </references>
      </pivotArea>
    </format>
    <format dxfId="3691">
      <pivotArea dataOnly="0" outline="0" fieldPosition="0">
        <references count="2">
          <reference field="2" count="1">
            <x v="0"/>
          </reference>
          <reference field="13"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9A9D18-4B6F-4AF5-84CB-AC6FAB18B0B4}" name="ピボットテーブル6" cacheId="147" applyNumberFormats="0" applyBorderFormats="0" applyFontFormats="0" applyPatternFormats="0" applyAlignmentFormats="0" applyWidthHeightFormats="1" dataCaption="値" updatedVersion="8" minRefreshableVersion="3" itemPrintTitles="1" createdVersion="6" indent="0" compact="0" compactData="0" multipleFieldFilters="0">
  <location ref="U3:W25" firstHeaderRow="1" firstDataRow="1" firstDataCol="2"/>
  <pivotFields count="16">
    <pivotField compact="0" outline="0" subtotalTop="0" showAll="0"/>
    <pivotField compact="0" outline="0" subtotalTop="0" showAll="0"/>
    <pivotField axis="axisRow" compact="0" outline="0" subtotalTop="0" showAll="0">
      <items count="9">
        <item x="7"/>
        <item x="6"/>
        <item x="5"/>
        <item x="3"/>
        <item x="0"/>
        <item x="4"/>
        <item x="2"/>
        <item x="1"/>
        <item t="default"/>
      </items>
    </pivotField>
    <pivotField compact="0" outline="0" subtotalTop="0" showAll="0"/>
    <pivotField compact="0" outline="0" subtotalTop="0" showAll="0"/>
    <pivotField compact="0" outline="0" subtotalTop="0" showAll="0">
      <items count="4">
        <item x="1"/>
        <item x="2"/>
        <item x="0"/>
        <item t="default"/>
      </items>
    </pivotField>
    <pivotField compact="0" outline="0" subtotalTop="0" showAll="0"/>
    <pivotField compact="0" outline="0" subtotalTop="0" showAll="0">
      <items count="4">
        <item x="0"/>
        <item x="2"/>
        <item x="1"/>
        <item t="default"/>
      </items>
    </pivotField>
    <pivotField compact="0" outline="0" subtotalTop="0" showAll="0"/>
    <pivotField compact="0" outline="0" subtotalTop="0" showAll="0">
      <items count="4">
        <item x="1"/>
        <item x="0"/>
        <item x="2"/>
        <item t="default"/>
      </items>
    </pivotField>
    <pivotField compact="0" outline="0" subtotalTop="0" showAll="0"/>
    <pivotField compact="0" outline="0" subtotalTop="0" showAll="0">
      <items count="4">
        <item x="0"/>
        <item x="2"/>
        <item x="1"/>
        <item t="default"/>
      </items>
    </pivotField>
    <pivotField compact="0" outline="0" subtotalTop="0" showAll="0"/>
    <pivotField compact="0" outline="0" subtotalTop="0" showAll="0">
      <items count="4">
        <item x="2"/>
        <item x="1"/>
        <item x="0"/>
        <item t="default"/>
      </items>
    </pivotField>
    <pivotField compact="0" outline="0" subtotalTop="0" showAll="0"/>
    <pivotField axis="axisRow" dataField="1" compact="0" outline="0" subtotalTop="0" showAll="0">
      <items count="4">
        <item x="1"/>
        <item x="2"/>
        <item x="0"/>
        <item t="default"/>
      </items>
    </pivotField>
  </pivotFields>
  <rowFields count="2">
    <field x="15"/>
    <field x="2"/>
  </rowFields>
  <rowItems count="22">
    <i>
      <x/>
      <x/>
    </i>
    <i r="1">
      <x v="1"/>
    </i>
    <i r="1">
      <x v="3"/>
    </i>
    <i r="1">
      <x v="4"/>
    </i>
    <i r="1">
      <x v="5"/>
    </i>
    <i r="1">
      <x v="6"/>
    </i>
    <i r="1">
      <x v="7"/>
    </i>
    <i t="default">
      <x/>
    </i>
    <i>
      <x v="1"/>
      <x v="3"/>
    </i>
    <i r="1">
      <x v="4"/>
    </i>
    <i r="1">
      <x v="5"/>
    </i>
    <i t="default">
      <x v="1"/>
    </i>
    <i>
      <x v="2"/>
      <x/>
    </i>
    <i r="1">
      <x v="1"/>
    </i>
    <i r="1">
      <x v="2"/>
    </i>
    <i r="1">
      <x v="3"/>
    </i>
    <i r="1">
      <x v="4"/>
    </i>
    <i r="1">
      <x v="5"/>
    </i>
    <i r="1">
      <x v="6"/>
    </i>
    <i r="1">
      <x v="7"/>
    </i>
    <i t="default">
      <x v="2"/>
    </i>
    <i t="grand">
      <x/>
    </i>
  </rowItems>
  <colItems count="1">
    <i/>
  </colItems>
  <dataFields count="1">
    <dataField name="データの個数 / ⑥その他" fld="15" subtotal="count" baseField="2" baseItem="0"/>
  </dataFields>
  <formats count="57">
    <format dxfId="3802">
      <pivotArea type="all" dataOnly="0" outline="0" fieldPosition="0"/>
    </format>
    <format dxfId="3801">
      <pivotArea outline="0" collapsedLevelsAreSubtotals="1" fieldPosition="0"/>
    </format>
    <format dxfId="3800">
      <pivotArea field="5" type="button" dataOnly="0" labelOnly="1" outline="0"/>
    </format>
    <format dxfId="3799">
      <pivotArea field="2" type="button" dataOnly="0" labelOnly="1" outline="0" axis="axisRow" fieldPosition="1"/>
    </format>
    <format dxfId="3798">
      <pivotArea dataOnly="0" labelOnly="1" outline="0" axis="axisValues" fieldPosition="0"/>
    </format>
    <format dxfId="3797">
      <pivotArea dataOnly="0" labelOnly="1" grandRow="1" outline="0" fieldPosition="0"/>
    </format>
    <format dxfId="3796">
      <pivotArea dataOnly="0" labelOnly="1" outline="0" axis="axisValues" fieldPosition="0"/>
    </format>
    <format dxfId="3795">
      <pivotArea type="all" dataOnly="0" outline="0" fieldPosition="0"/>
    </format>
    <format dxfId="3794">
      <pivotArea outline="0" collapsedLevelsAreSubtotals="1" fieldPosition="0"/>
    </format>
    <format dxfId="3793">
      <pivotArea field="5" type="button" dataOnly="0" labelOnly="1" outline="0"/>
    </format>
    <format dxfId="3792">
      <pivotArea field="2" type="button" dataOnly="0" labelOnly="1" outline="0" axis="axisRow" fieldPosition="1"/>
    </format>
    <format dxfId="3791">
      <pivotArea dataOnly="0" labelOnly="1" outline="0" axis="axisValues" fieldPosition="0"/>
    </format>
    <format dxfId="3790">
      <pivotArea dataOnly="0" labelOnly="1" grandRow="1" outline="0" fieldPosition="0"/>
    </format>
    <format dxfId="3789">
      <pivotArea dataOnly="0" labelOnly="1" outline="0" axis="axisValues" fieldPosition="0"/>
    </format>
    <format dxfId="3788">
      <pivotArea type="all" dataOnly="0" outline="0" fieldPosition="0"/>
    </format>
    <format dxfId="3787">
      <pivotArea outline="0" collapsedLevelsAreSubtotals="1" fieldPosition="0"/>
    </format>
    <format dxfId="3786">
      <pivotArea field="5" type="button" dataOnly="0" labelOnly="1" outline="0"/>
    </format>
    <format dxfId="3785">
      <pivotArea field="2" type="button" dataOnly="0" labelOnly="1" outline="0" axis="axisRow" fieldPosition="1"/>
    </format>
    <format dxfId="3784">
      <pivotArea dataOnly="0" labelOnly="1" outline="0" axis="axisValues" fieldPosition="0"/>
    </format>
    <format dxfId="3783">
      <pivotArea dataOnly="0" labelOnly="1" grandRow="1" outline="0" fieldPosition="0"/>
    </format>
    <format dxfId="3782">
      <pivotArea dataOnly="0" labelOnly="1" outline="0" axis="axisValues" fieldPosition="0"/>
    </format>
    <format dxfId="3781">
      <pivotArea type="all" dataOnly="0" outline="0" fieldPosition="0"/>
    </format>
    <format dxfId="3780">
      <pivotArea outline="0" collapsedLevelsAreSubtotals="1" fieldPosition="0"/>
    </format>
    <format dxfId="3779">
      <pivotArea field="5" type="button" dataOnly="0" labelOnly="1" outline="0"/>
    </format>
    <format dxfId="3778">
      <pivotArea field="2" type="button" dataOnly="0" labelOnly="1" outline="0" axis="axisRow" fieldPosition="1"/>
    </format>
    <format dxfId="3777">
      <pivotArea dataOnly="0" labelOnly="1" outline="0" axis="axisValues" fieldPosition="0"/>
    </format>
    <format dxfId="3776">
      <pivotArea dataOnly="0" labelOnly="1" grandRow="1" outline="0" fieldPosition="0"/>
    </format>
    <format dxfId="3775">
      <pivotArea dataOnly="0" labelOnly="1" outline="0" axis="axisValues" fieldPosition="0"/>
    </format>
    <format dxfId="3774">
      <pivotArea type="all" dataOnly="0" outline="0" fieldPosition="0"/>
    </format>
    <format dxfId="3773">
      <pivotArea outline="0" collapsedLevelsAreSubtotals="1" fieldPosition="0"/>
    </format>
    <format dxfId="3772">
      <pivotArea field="5" type="button" dataOnly="0" labelOnly="1" outline="0"/>
    </format>
    <format dxfId="3771">
      <pivotArea field="2" type="button" dataOnly="0" labelOnly="1" outline="0" axis="axisRow" fieldPosition="1"/>
    </format>
    <format dxfId="3770">
      <pivotArea dataOnly="0" labelOnly="1" outline="0" axis="axisValues" fieldPosition="0"/>
    </format>
    <format dxfId="3769">
      <pivotArea dataOnly="0" labelOnly="1" grandRow="1" outline="0" fieldPosition="0"/>
    </format>
    <format dxfId="3768">
      <pivotArea dataOnly="0" labelOnly="1" outline="0" axis="axisValues" fieldPosition="0"/>
    </format>
    <format dxfId="3767">
      <pivotArea dataOnly="0" outline="0" axis="axisValues" fieldPosition="0"/>
    </format>
    <format dxfId="3766">
      <pivotArea dataOnly="0" outline="0" axis="axisValues" fieldPosition="0"/>
    </format>
    <format dxfId="3765">
      <pivotArea dataOnly="0" outline="0" axis="axisValues" fieldPosition="0"/>
    </format>
    <format dxfId="3764">
      <pivotArea dataOnly="0" outline="0" axis="axisValues" fieldPosition="0"/>
    </format>
    <format dxfId="3763">
      <pivotArea dataOnly="0" outline="0" axis="axisValues" fieldPosition="0"/>
    </format>
    <format dxfId="3762">
      <pivotArea field="5" type="button" dataOnly="0" labelOnly="1" outline="0"/>
    </format>
    <format dxfId="3761">
      <pivotArea field="5" type="button" dataOnly="0" labelOnly="1" outline="0"/>
    </format>
    <format dxfId="3760">
      <pivotArea field="5" type="button" dataOnly="0" labelOnly="1" outline="0"/>
    </format>
    <format dxfId="3759">
      <pivotArea field="7" type="button" dataOnly="0" labelOnly="1" outline="0"/>
    </format>
    <format dxfId="3758">
      <pivotArea field="7" type="button" dataOnly="0" labelOnly="1" outline="0"/>
    </format>
    <format dxfId="3757">
      <pivotArea field="9" type="button" dataOnly="0" labelOnly="1" outline="0"/>
    </format>
    <format dxfId="3756">
      <pivotArea field="9" type="button" dataOnly="0" labelOnly="1" outline="0"/>
    </format>
    <format dxfId="3755">
      <pivotArea field="11" type="button" dataOnly="0" labelOnly="1" outline="0"/>
    </format>
    <format dxfId="3754">
      <pivotArea field="11" type="button" dataOnly="0" labelOnly="1" outline="0"/>
    </format>
    <format dxfId="3753">
      <pivotArea field="13" type="button" dataOnly="0" labelOnly="1" outline="0"/>
    </format>
    <format dxfId="3752">
      <pivotArea field="13" type="button" dataOnly="0" labelOnly="1" outline="0"/>
    </format>
    <format dxfId="3751">
      <pivotArea field="15" type="button" dataOnly="0" labelOnly="1" outline="0" axis="axisRow" fieldPosition="0"/>
    </format>
    <format dxfId="3750">
      <pivotArea field="15" type="button" dataOnly="0" labelOnly="1" outline="0" axis="axisRow" fieldPosition="0"/>
    </format>
    <format dxfId="3749">
      <pivotArea dataOnly="0" outline="0" fieldPosition="0">
        <references count="1">
          <reference field="15" count="1">
            <x v="2"/>
          </reference>
        </references>
      </pivotArea>
    </format>
    <format dxfId="3748">
      <pivotArea dataOnly="0" outline="0" fieldPosition="0">
        <references count="1">
          <reference field="15" count="0" defaultSubtotal="1"/>
        </references>
      </pivotArea>
    </format>
    <format dxfId="3747">
      <pivotArea dataOnly="0" outline="0" fieldPosition="0">
        <references count="1">
          <reference field="15" count="1" defaultSubtotal="1">
            <x v="1"/>
          </reference>
        </references>
      </pivotArea>
    </format>
    <format dxfId="3746">
      <pivotArea dataOnly="0" outline="0" fieldPosition="0">
        <references count="2">
          <reference field="2" count="1">
            <x v="0"/>
          </reference>
          <reference field="15"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8B6AB6-4D9A-4033-9C04-3BEE87B091C4}" name="ピボットテーブル1" cacheId="147" applyNumberFormats="0" applyBorderFormats="0" applyFontFormats="0" applyPatternFormats="0" applyAlignmentFormats="0" applyWidthHeightFormats="1" dataCaption="値" updatedVersion="8" minRefreshableVersion="3" itemPrintTitles="1" createdVersion="6" indent="0" compact="0" compactData="0" multipleFieldFilters="0">
  <location ref="A3:C22" firstHeaderRow="1" firstDataRow="1" firstDataCol="2"/>
  <pivotFields count="16">
    <pivotField compact="0" outline="0" subtotalTop="0" showAll="0"/>
    <pivotField compact="0" outline="0" subtotalTop="0" showAll="0"/>
    <pivotField axis="axisRow" compact="0" outline="0" subtotalTop="0" showAll="0">
      <items count="9">
        <item x="7"/>
        <item x="6"/>
        <item x="5"/>
        <item x="3"/>
        <item x="0"/>
        <item x="4"/>
        <item x="2"/>
        <item x="1"/>
        <item t="default"/>
      </items>
    </pivotField>
    <pivotField compact="0" outline="0" subtotalTop="0" showAll="0"/>
    <pivotField compact="0" outline="0" subtotalTop="0" showAll="0"/>
    <pivotField axis="axisRow" dataField="1" compact="0" outline="0" subtotalTop="0" showAll="0">
      <items count="4">
        <item x="1"/>
        <item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5"/>
    <field x="2"/>
  </rowFields>
  <rowItems count="19">
    <i>
      <x/>
      <x v="1"/>
    </i>
    <i r="1">
      <x v="3"/>
    </i>
    <i r="1">
      <x v="4"/>
    </i>
    <i r="1">
      <x v="5"/>
    </i>
    <i r="1">
      <x v="6"/>
    </i>
    <i r="1">
      <x v="7"/>
    </i>
    <i t="default">
      <x/>
    </i>
    <i>
      <x v="1"/>
      <x v="2"/>
    </i>
    <i r="1">
      <x v="3"/>
    </i>
    <i r="1">
      <x v="4"/>
    </i>
    <i r="1">
      <x v="5"/>
    </i>
    <i t="default">
      <x v="1"/>
    </i>
    <i>
      <x v="2"/>
      <x/>
    </i>
    <i r="1">
      <x v="3"/>
    </i>
    <i r="1">
      <x v="4"/>
    </i>
    <i r="1">
      <x v="5"/>
    </i>
    <i r="1">
      <x v="6"/>
    </i>
    <i t="default">
      <x v="2"/>
    </i>
    <i t="grand">
      <x/>
    </i>
  </rowItems>
  <colItems count="1">
    <i/>
  </colItems>
  <dataFields count="1">
    <dataField name="データの個数 / ①データ管理" fld="5" subtotal="count" baseField="5" baseItem="0"/>
  </dataFields>
  <formats count="67">
    <format dxfId="3869">
      <pivotArea type="all" dataOnly="0" outline="0" fieldPosition="0"/>
    </format>
    <format dxfId="3868">
      <pivotArea outline="0" collapsedLevelsAreSubtotals="1" fieldPosition="0"/>
    </format>
    <format dxfId="3867">
      <pivotArea field="5" type="button" dataOnly="0" labelOnly="1" outline="0" axis="axisRow" fieldPosition="0"/>
    </format>
    <format dxfId="3866">
      <pivotArea field="2" type="button" dataOnly="0" labelOnly="1" outline="0" axis="axisRow" fieldPosition="1"/>
    </format>
    <format dxfId="3865">
      <pivotArea dataOnly="0" labelOnly="1" outline="0" axis="axisValues" fieldPosition="0"/>
    </format>
    <format dxfId="3864">
      <pivotArea dataOnly="0" labelOnly="1" outline="0" fieldPosition="0">
        <references count="1">
          <reference field="5" count="0"/>
        </references>
      </pivotArea>
    </format>
    <format dxfId="3863">
      <pivotArea dataOnly="0" labelOnly="1" grandRow="1" outline="0" fieldPosition="0"/>
    </format>
    <format dxfId="3862">
      <pivotArea dataOnly="0" labelOnly="1" outline="0" fieldPosition="0">
        <references count="2">
          <reference field="2" count="5">
            <x v="0"/>
            <x v="3"/>
            <x v="4"/>
            <x v="5"/>
            <x v="6"/>
          </reference>
          <reference field="5" count="1" selected="0">
            <x v="2"/>
          </reference>
        </references>
      </pivotArea>
    </format>
    <format dxfId="3861">
      <pivotArea dataOnly="0" labelOnly="1" outline="0" fieldPosition="0">
        <references count="2">
          <reference field="2" count="4">
            <x v="2"/>
            <x v="3"/>
            <x v="4"/>
            <x v="5"/>
          </reference>
          <reference field="5" count="1" selected="0">
            <x v="1"/>
          </reference>
        </references>
      </pivotArea>
    </format>
    <format dxfId="3860">
      <pivotArea dataOnly="0" labelOnly="1" outline="0" fieldPosition="0">
        <references count="2">
          <reference field="2" count="6">
            <x v="1"/>
            <x v="3"/>
            <x v="4"/>
            <x v="5"/>
            <x v="6"/>
            <x v="7"/>
          </reference>
          <reference field="5" count="1" selected="0">
            <x v="0"/>
          </reference>
        </references>
      </pivotArea>
    </format>
    <format dxfId="3859">
      <pivotArea dataOnly="0" labelOnly="1" outline="0" axis="axisValues" fieldPosition="0"/>
    </format>
    <format dxfId="3858">
      <pivotArea type="all" dataOnly="0" outline="0" fieldPosition="0"/>
    </format>
    <format dxfId="3857">
      <pivotArea outline="0" collapsedLevelsAreSubtotals="1" fieldPosition="0"/>
    </format>
    <format dxfId="3856">
      <pivotArea field="5" type="button" dataOnly="0" labelOnly="1" outline="0" axis="axisRow" fieldPosition="0"/>
    </format>
    <format dxfId="3855">
      <pivotArea field="2" type="button" dataOnly="0" labelOnly="1" outline="0" axis="axisRow" fieldPosition="1"/>
    </format>
    <format dxfId="3854">
      <pivotArea dataOnly="0" labelOnly="1" outline="0" axis="axisValues" fieldPosition="0"/>
    </format>
    <format dxfId="3853">
      <pivotArea dataOnly="0" labelOnly="1" outline="0" fieldPosition="0">
        <references count="1">
          <reference field="5" count="0"/>
        </references>
      </pivotArea>
    </format>
    <format dxfId="3852">
      <pivotArea dataOnly="0" labelOnly="1" grandRow="1" outline="0" fieldPosition="0"/>
    </format>
    <format dxfId="3851">
      <pivotArea dataOnly="0" labelOnly="1" outline="0" fieldPosition="0">
        <references count="2">
          <reference field="2" count="5">
            <x v="0"/>
            <x v="3"/>
            <x v="4"/>
            <x v="5"/>
            <x v="6"/>
          </reference>
          <reference field="5" count="1" selected="0">
            <x v="2"/>
          </reference>
        </references>
      </pivotArea>
    </format>
    <format dxfId="3850">
      <pivotArea dataOnly="0" labelOnly="1" outline="0" fieldPosition="0">
        <references count="2">
          <reference field="2" count="4">
            <x v="2"/>
            <x v="3"/>
            <x v="4"/>
            <x v="5"/>
          </reference>
          <reference field="5" count="1" selected="0">
            <x v="1"/>
          </reference>
        </references>
      </pivotArea>
    </format>
    <format dxfId="3849">
      <pivotArea dataOnly="0" labelOnly="1" outline="0" fieldPosition="0">
        <references count="2">
          <reference field="2" count="6">
            <x v="1"/>
            <x v="3"/>
            <x v="4"/>
            <x v="5"/>
            <x v="6"/>
            <x v="7"/>
          </reference>
          <reference field="5" count="1" selected="0">
            <x v="0"/>
          </reference>
        </references>
      </pivotArea>
    </format>
    <format dxfId="3848">
      <pivotArea dataOnly="0" labelOnly="1" outline="0" axis="axisValues" fieldPosition="0"/>
    </format>
    <format dxfId="3847">
      <pivotArea type="all" dataOnly="0" outline="0" fieldPosition="0"/>
    </format>
    <format dxfId="3846">
      <pivotArea outline="0" collapsedLevelsAreSubtotals="1" fieldPosition="0"/>
    </format>
    <format dxfId="3845">
      <pivotArea field="5" type="button" dataOnly="0" labelOnly="1" outline="0" axis="axisRow" fieldPosition="0"/>
    </format>
    <format dxfId="3844">
      <pivotArea field="2" type="button" dataOnly="0" labelOnly="1" outline="0" axis="axisRow" fieldPosition="1"/>
    </format>
    <format dxfId="3843">
      <pivotArea dataOnly="0" labelOnly="1" outline="0" axis="axisValues" fieldPosition="0"/>
    </format>
    <format dxfId="3842">
      <pivotArea dataOnly="0" labelOnly="1" outline="0" fieldPosition="0">
        <references count="1">
          <reference field="5" count="0"/>
        </references>
      </pivotArea>
    </format>
    <format dxfId="3841">
      <pivotArea dataOnly="0" labelOnly="1" grandRow="1" outline="0" fieldPosition="0"/>
    </format>
    <format dxfId="3840">
      <pivotArea dataOnly="0" labelOnly="1" outline="0" fieldPosition="0">
        <references count="2">
          <reference field="2" count="5">
            <x v="0"/>
            <x v="3"/>
            <x v="4"/>
            <x v="5"/>
            <x v="6"/>
          </reference>
          <reference field="5" count="1" selected="0">
            <x v="2"/>
          </reference>
        </references>
      </pivotArea>
    </format>
    <format dxfId="3839">
      <pivotArea dataOnly="0" labelOnly="1" outline="0" fieldPosition="0">
        <references count="2">
          <reference field="2" count="4">
            <x v="2"/>
            <x v="3"/>
            <x v="4"/>
            <x v="5"/>
          </reference>
          <reference field="5" count="1" selected="0">
            <x v="1"/>
          </reference>
        </references>
      </pivotArea>
    </format>
    <format dxfId="3838">
      <pivotArea dataOnly="0" labelOnly="1" outline="0" fieldPosition="0">
        <references count="2">
          <reference field="2" count="6">
            <x v="1"/>
            <x v="3"/>
            <x v="4"/>
            <x v="5"/>
            <x v="6"/>
            <x v="7"/>
          </reference>
          <reference field="5" count="1" selected="0">
            <x v="0"/>
          </reference>
        </references>
      </pivotArea>
    </format>
    <format dxfId="3837">
      <pivotArea dataOnly="0" labelOnly="1" outline="0" axis="axisValues" fieldPosition="0"/>
    </format>
    <format dxfId="3836">
      <pivotArea type="all" dataOnly="0" outline="0" fieldPosition="0"/>
    </format>
    <format dxfId="3835">
      <pivotArea outline="0" collapsedLevelsAreSubtotals="1" fieldPosition="0"/>
    </format>
    <format dxfId="3834">
      <pivotArea field="5" type="button" dataOnly="0" labelOnly="1" outline="0" axis="axisRow" fieldPosition="0"/>
    </format>
    <format dxfId="3833">
      <pivotArea field="2" type="button" dataOnly="0" labelOnly="1" outline="0" axis="axisRow" fieldPosition="1"/>
    </format>
    <format dxfId="3832">
      <pivotArea dataOnly="0" labelOnly="1" outline="0" axis="axisValues" fieldPosition="0"/>
    </format>
    <format dxfId="3831">
      <pivotArea dataOnly="0" labelOnly="1" outline="0" fieldPosition="0">
        <references count="1">
          <reference field="5" count="0"/>
        </references>
      </pivotArea>
    </format>
    <format dxfId="3830">
      <pivotArea dataOnly="0" labelOnly="1" grandRow="1" outline="0" fieldPosition="0"/>
    </format>
    <format dxfId="3829">
      <pivotArea dataOnly="0" labelOnly="1" outline="0" fieldPosition="0">
        <references count="2">
          <reference field="2" count="5">
            <x v="0"/>
            <x v="3"/>
            <x v="4"/>
            <x v="5"/>
            <x v="6"/>
          </reference>
          <reference field="5" count="1" selected="0">
            <x v="2"/>
          </reference>
        </references>
      </pivotArea>
    </format>
    <format dxfId="3828">
      <pivotArea dataOnly="0" labelOnly="1" outline="0" fieldPosition="0">
        <references count="2">
          <reference field="2" count="4">
            <x v="2"/>
            <x v="3"/>
            <x v="4"/>
            <x v="5"/>
          </reference>
          <reference field="5" count="1" selected="0">
            <x v="1"/>
          </reference>
        </references>
      </pivotArea>
    </format>
    <format dxfId="3827">
      <pivotArea dataOnly="0" labelOnly="1" outline="0" fieldPosition="0">
        <references count="2">
          <reference field="2" count="6">
            <x v="1"/>
            <x v="3"/>
            <x v="4"/>
            <x v="5"/>
            <x v="6"/>
            <x v="7"/>
          </reference>
          <reference field="5" count="1" selected="0">
            <x v="0"/>
          </reference>
        </references>
      </pivotArea>
    </format>
    <format dxfId="3826">
      <pivotArea dataOnly="0" labelOnly="1" outline="0" axis="axisValues" fieldPosition="0"/>
    </format>
    <format dxfId="3825">
      <pivotArea type="all" dataOnly="0" outline="0" fieldPosition="0"/>
    </format>
    <format dxfId="3824">
      <pivotArea outline="0" collapsedLevelsAreSubtotals="1" fieldPosition="0"/>
    </format>
    <format dxfId="3823">
      <pivotArea field="5" type="button" dataOnly="0" labelOnly="1" outline="0" axis="axisRow" fieldPosition="0"/>
    </format>
    <format dxfId="3822">
      <pivotArea field="2" type="button" dataOnly="0" labelOnly="1" outline="0" axis="axisRow" fieldPosition="1"/>
    </format>
    <format dxfId="3821">
      <pivotArea dataOnly="0" labelOnly="1" outline="0" axis="axisValues" fieldPosition="0"/>
    </format>
    <format dxfId="3820">
      <pivotArea dataOnly="0" labelOnly="1" outline="0" fieldPosition="0">
        <references count="1">
          <reference field="5" count="0"/>
        </references>
      </pivotArea>
    </format>
    <format dxfId="3819">
      <pivotArea dataOnly="0" labelOnly="1" grandRow="1" outline="0" fieldPosition="0"/>
    </format>
    <format dxfId="3818">
      <pivotArea dataOnly="0" labelOnly="1" outline="0" fieldPosition="0">
        <references count="2">
          <reference field="2" count="5">
            <x v="0"/>
            <x v="3"/>
            <x v="4"/>
            <x v="5"/>
            <x v="6"/>
          </reference>
          <reference field="5" count="1" selected="0">
            <x v="2"/>
          </reference>
        </references>
      </pivotArea>
    </format>
    <format dxfId="3817">
      <pivotArea dataOnly="0" labelOnly="1" outline="0" fieldPosition="0">
        <references count="2">
          <reference field="2" count="4">
            <x v="2"/>
            <x v="3"/>
            <x v="4"/>
            <x v="5"/>
          </reference>
          <reference field="5" count="1" selected="0">
            <x v="1"/>
          </reference>
        </references>
      </pivotArea>
    </format>
    <format dxfId="3816">
      <pivotArea dataOnly="0" labelOnly="1" outline="0" fieldPosition="0">
        <references count="2">
          <reference field="2" count="6">
            <x v="1"/>
            <x v="3"/>
            <x v="4"/>
            <x v="5"/>
            <x v="6"/>
            <x v="7"/>
          </reference>
          <reference field="5" count="1" selected="0">
            <x v="0"/>
          </reference>
        </references>
      </pivotArea>
    </format>
    <format dxfId="3815">
      <pivotArea dataOnly="0" labelOnly="1" outline="0" axis="axisValues" fieldPosition="0"/>
    </format>
    <format dxfId="3814">
      <pivotArea dataOnly="0" outline="0" axis="axisValues" fieldPosition="0"/>
    </format>
    <format dxfId="3813">
      <pivotArea dataOnly="0" outline="0" axis="axisValues" fieldPosition="0"/>
    </format>
    <format dxfId="3812">
      <pivotArea dataOnly="0" outline="0" axis="axisValues" fieldPosition="0"/>
    </format>
    <format dxfId="3811">
      <pivotArea dataOnly="0" outline="0" axis="axisValues" fieldPosition="0"/>
    </format>
    <format dxfId="3810">
      <pivotArea dataOnly="0" outline="0" axis="axisValues" fieldPosition="0"/>
    </format>
    <format dxfId="3809">
      <pivotArea field="5" type="button" dataOnly="0" labelOnly="1" outline="0" axis="axisRow" fieldPosition="0"/>
    </format>
    <format dxfId="3808">
      <pivotArea field="5" type="button" dataOnly="0" labelOnly="1" outline="0" axis="axisRow" fieldPosition="0"/>
    </format>
    <format dxfId="3807">
      <pivotArea field="5" type="button" dataOnly="0" labelOnly="1" outline="0" axis="axisRow" fieldPosition="0"/>
    </format>
    <format dxfId="3806">
      <pivotArea dataOnly="0" outline="0" fieldPosition="0">
        <references count="1">
          <reference field="5" count="1">
            <x v="2"/>
          </reference>
        </references>
      </pivotArea>
    </format>
    <format dxfId="3805">
      <pivotArea dataOnly="0" outline="0" fieldPosition="0">
        <references count="1">
          <reference field="5" count="0" defaultSubtotal="1"/>
        </references>
      </pivotArea>
    </format>
    <format dxfId="3804">
      <pivotArea dataOnly="0" outline="0" fieldPosition="0">
        <references count="1">
          <reference field="5" count="1" defaultSubtotal="1">
            <x v="1"/>
          </reference>
        </references>
      </pivotArea>
    </format>
    <format dxfId="3803">
      <pivotArea dataOnly="0" outline="0" fieldPosition="0">
        <references count="1">
          <reference field="2" count="1">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05D154-F6A5-47ED-B93B-63F791C25C67}" name="ピボットテーブル2" cacheId="147" applyNumberFormats="0" applyBorderFormats="0" applyFontFormats="0" applyPatternFormats="0" applyAlignmentFormats="0" applyWidthHeightFormats="1" dataCaption="値" updatedVersion="8" minRefreshableVersion="3" itemPrintTitles="1" createdVersion="6" indent="0" compact="0" compactData="0" multipleFieldFilters="0">
  <location ref="E3:G25" firstHeaderRow="1" firstDataRow="1" firstDataCol="2"/>
  <pivotFields count="16">
    <pivotField compact="0" outline="0" subtotalTop="0" showAll="0"/>
    <pivotField compact="0" outline="0" subtotalTop="0" showAll="0"/>
    <pivotField axis="axisRow" compact="0" outline="0" subtotalTop="0" showAll="0">
      <items count="9">
        <item x="7"/>
        <item x="6"/>
        <item x="5"/>
        <item x="3"/>
        <item x="0"/>
        <item x="4"/>
        <item x="2"/>
        <item x="1"/>
        <item t="default"/>
      </items>
    </pivotField>
    <pivotField compact="0" outline="0" subtotalTop="0" showAll="0"/>
    <pivotField compact="0" outline="0" subtotalTop="0" showAll="0"/>
    <pivotField compact="0" outline="0" subtotalTop="0" showAll="0">
      <items count="4">
        <item x="1"/>
        <item x="2"/>
        <item x="0"/>
        <item t="default"/>
      </items>
    </pivotField>
    <pivotField compact="0" outline="0" subtotalTop="0" showAll="0"/>
    <pivotField axis="axisRow" dataField="1" compact="0" outline="0" subtotalTop="0" showAll="0">
      <items count="4">
        <item x="1"/>
        <item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7"/>
    <field x="2"/>
  </rowFields>
  <rowItems count="22">
    <i>
      <x/>
      <x v="1"/>
    </i>
    <i r="1">
      <x v="2"/>
    </i>
    <i r="1">
      <x v="3"/>
    </i>
    <i r="1">
      <x v="4"/>
    </i>
    <i r="1">
      <x v="5"/>
    </i>
    <i r="1">
      <x v="6"/>
    </i>
    <i r="1">
      <x v="7"/>
    </i>
    <i t="default">
      <x/>
    </i>
    <i>
      <x v="1"/>
      <x v="2"/>
    </i>
    <i r="1">
      <x v="3"/>
    </i>
    <i r="1">
      <x v="4"/>
    </i>
    <i r="1">
      <x v="6"/>
    </i>
    <i t="default">
      <x v="1"/>
    </i>
    <i>
      <x v="2"/>
      <x/>
    </i>
    <i r="1">
      <x v="1"/>
    </i>
    <i r="1">
      <x v="3"/>
    </i>
    <i r="1">
      <x v="4"/>
    </i>
    <i r="1">
      <x v="5"/>
    </i>
    <i r="1">
      <x v="6"/>
    </i>
    <i r="1">
      <x v="7"/>
    </i>
    <i t="default">
      <x v="2"/>
    </i>
    <i t="grand">
      <x/>
    </i>
  </rowItems>
  <colItems count="1">
    <i/>
  </colItems>
  <dataFields count="1">
    <dataField name="データの個数 / ②仕組み・ルール" fld="7" subtotal="count" baseField="2" baseItem="0"/>
  </dataFields>
  <formats count="49">
    <format dxfId="3918">
      <pivotArea type="all" dataOnly="0" outline="0" fieldPosition="0"/>
    </format>
    <format dxfId="3917">
      <pivotArea outline="0" collapsedLevelsAreSubtotals="1" fieldPosition="0"/>
    </format>
    <format dxfId="3916">
      <pivotArea field="5" type="button" dataOnly="0" labelOnly="1" outline="0"/>
    </format>
    <format dxfId="3915">
      <pivotArea field="2" type="button" dataOnly="0" labelOnly="1" outline="0" axis="axisRow" fieldPosition="1"/>
    </format>
    <format dxfId="3914">
      <pivotArea dataOnly="0" labelOnly="1" outline="0" axis="axisValues" fieldPosition="0"/>
    </format>
    <format dxfId="3913">
      <pivotArea dataOnly="0" labelOnly="1" grandRow="1" outline="0" fieldPosition="0"/>
    </format>
    <format dxfId="3912">
      <pivotArea dataOnly="0" labelOnly="1" outline="0" axis="axisValues" fieldPosition="0"/>
    </format>
    <format dxfId="3911">
      <pivotArea type="all" dataOnly="0" outline="0" fieldPosition="0"/>
    </format>
    <format dxfId="3910">
      <pivotArea outline="0" collapsedLevelsAreSubtotals="1" fieldPosition="0"/>
    </format>
    <format dxfId="3909">
      <pivotArea field="5" type="button" dataOnly="0" labelOnly="1" outline="0"/>
    </format>
    <format dxfId="3908">
      <pivotArea field="2" type="button" dataOnly="0" labelOnly="1" outline="0" axis="axisRow" fieldPosition="1"/>
    </format>
    <format dxfId="3907">
      <pivotArea dataOnly="0" labelOnly="1" outline="0" axis="axisValues" fieldPosition="0"/>
    </format>
    <format dxfId="3906">
      <pivotArea dataOnly="0" labelOnly="1" grandRow="1" outline="0" fieldPosition="0"/>
    </format>
    <format dxfId="3905">
      <pivotArea dataOnly="0" labelOnly="1" outline="0" axis="axisValues" fieldPosition="0"/>
    </format>
    <format dxfId="3904">
      <pivotArea type="all" dataOnly="0" outline="0" fieldPosition="0"/>
    </format>
    <format dxfId="3903">
      <pivotArea outline="0" collapsedLevelsAreSubtotals="1" fieldPosition="0"/>
    </format>
    <format dxfId="3902">
      <pivotArea field="5" type="button" dataOnly="0" labelOnly="1" outline="0"/>
    </format>
    <format dxfId="3901">
      <pivotArea field="2" type="button" dataOnly="0" labelOnly="1" outline="0" axis="axisRow" fieldPosition="1"/>
    </format>
    <format dxfId="3900">
      <pivotArea dataOnly="0" labelOnly="1" outline="0" axis="axisValues" fieldPosition="0"/>
    </format>
    <format dxfId="3899">
      <pivotArea dataOnly="0" labelOnly="1" grandRow="1" outline="0" fieldPosition="0"/>
    </format>
    <format dxfId="3898">
      <pivotArea dataOnly="0" labelOnly="1" outline="0" axis="axisValues" fieldPosition="0"/>
    </format>
    <format dxfId="3897">
      <pivotArea type="all" dataOnly="0" outline="0" fieldPosition="0"/>
    </format>
    <format dxfId="3896">
      <pivotArea outline="0" collapsedLevelsAreSubtotals="1" fieldPosition="0"/>
    </format>
    <format dxfId="3895">
      <pivotArea field="5" type="button" dataOnly="0" labelOnly="1" outline="0"/>
    </format>
    <format dxfId="3894">
      <pivotArea field="2" type="button" dataOnly="0" labelOnly="1" outline="0" axis="axisRow" fieldPosition="1"/>
    </format>
    <format dxfId="3893">
      <pivotArea dataOnly="0" labelOnly="1" outline="0" axis="axisValues" fieldPosition="0"/>
    </format>
    <format dxfId="3892">
      <pivotArea dataOnly="0" labelOnly="1" grandRow="1" outline="0" fieldPosition="0"/>
    </format>
    <format dxfId="3891">
      <pivotArea dataOnly="0" labelOnly="1" outline="0" axis="axisValues" fieldPosition="0"/>
    </format>
    <format dxfId="3890">
      <pivotArea type="all" dataOnly="0" outline="0" fieldPosition="0"/>
    </format>
    <format dxfId="3889">
      <pivotArea outline="0" collapsedLevelsAreSubtotals="1" fieldPosition="0"/>
    </format>
    <format dxfId="3888">
      <pivotArea field="5" type="button" dataOnly="0" labelOnly="1" outline="0"/>
    </format>
    <format dxfId="3887">
      <pivotArea field="2" type="button" dataOnly="0" labelOnly="1" outline="0" axis="axisRow" fieldPosition="1"/>
    </format>
    <format dxfId="3886">
      <pivotArea dataOnly="0" labelOnly="1" outline="0" axis="axisValues" fieldPosition="0"/>
    </format>
    <format dxfId="3885">
      <pivotArea dataOnly="0" labelOnly="1" grandRow="1" outline="0" fieldPosition="0"/>
    </format>
    <format dxfId="3884">
      <pivotArea dataOnly="0" labelOnly="1" outline="0" axis="axisValues" fieldPosition="0"/>
    </format>
    <format dxfId="3883">
      <pivotArea dataOnly="0" outline="0" axis="axisValues" fieldPosition="0"/>
    </format>
    <format dxfId="3882">
      <pivotArea dataOnly="0" outline="0" axis="axisValues" fieldPosition="0"/>
    </format>
    <format dxfId="3881">
      <pivotArea dataOnly="0" outline="0" axis="axisValues" fieldPosition="0"/>
    </format>
    <format dxfId="3880">
      <pivotArea dataOnly="0" outline="0" axis="axisValues" fieldPosition="0"/>
    </format>
    <format dxfId="3879">
      <pivotArea dataOnly="0" outline="0" axis="axisValues" fieldPosition="0"/>
    </format>
    <format dxfId="3878">
      <pivotArea field="5" type="button" dataOnly="0" labelOnly="1" outline="0"/>
    </format>
    <format dxfId="3877">
      <pivotArea field="5" type="button" dataOnly="0" labelOnly="1" outline="0"/>
    </format>
    <format dxfId="3876">
      <pivotArea field="5" type="button" dataOnly="0" labelOnly="1" outline="0"/>
    </format>
    <format dxfId="3875">
      <pivotArea field="7" type="button" dataOnly="0" labelOnly="1" outline="0" axis="axisRow" fieldPosition="0"/>
    </format>
    <format dxfId="3874">
      <pivotArea field="7" type="button" dataOnly="0" labelOnly="1" outline="0" axis="axisRow" fieldPosition="0"/>
    </format>
    <format dxfId="3873">
      <pivotArea dataOnly="0" outline="0" fieldPosition="0">
        <references count="1">
          <reference field="7" count="1">
            <x v="2"/>
          </reference>
        </references>
      </pivotArea>
    </format>
    <format dxfId="3872">
      <pivotArea dataOnly="0" outline="0" fieldPosition="0">
        <references count="1">
          <reference field="7" count="0" defaultSubtotal="1"/>
        </references>
      </pivotArea>
    </format>
    <format dxfId="3871">
      <pivotArea dataOnly="0" outline="0" fieldPosition="0">
        <references count="1">
          <reference field="7" count="1" defaultSubtotal="1">
            <x v="1"/>
          </reference>
        </references>
      </pivotArea>
    </format>
    <format dxfId="3870">
      <pivotArea dataOnly="0" outline="0" fieldPosition="0">
        <references count="1">
          <reference field="2" count="1">
            <x v="0"/>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65ED2C-672E-4AD3-B591-930F1AD99A0C}" name="Form_Responses" displayName="Form_Responses" ref="A1:J28" headerRowDxfId="3931" dataDxfId="3930" totalsRowDxfId="3929">
  <autoFilter ref="A1:J28" xr:uid="{00000000-000C-0000-FFFF-FFFF00000000}"/>
  <tableColumns count="10">
    <tableColumn id="1" xr3:uid="{F69FE683-22B9-48AE-B03F-987517009C74}" name="タイムスタンプ" dataDxfId="3928"/>
    <tableColumn id="2" xr3:uid="{8E9E76F3-B3DF-4C51-9DD5-A20EE8E41ADD}" name="部署" dataDxfId="3927"/>
    <tableColumn id="3" xr3:uid="{348C656E-8A1C-402A-817B-DAB75F335282}" name="氏名" dataDxfId="3926"/>
    <tableColumn id="4" xr3:uid="{E547D38B-4CEF-4A96-B7FD-E035137F485D}" name="Q1.毎回「ちょっと面倒だな…」と感じる作業はありますか？_x000a_  具体的な業務内容やファイル名があれば教えてください_x000a_（例：毎週の集計作業、同じ内容の繰り返し入力 など）  " dataDxfId="3925"/>
    <tableColumn id="5" xr3:uid="{B64128E5-83CF-4AFC-AE7B-547C87C9D575}" name="Q2.ミスが起こりやすい、またはチェックに時間がかかる作業はありますか？_x000a_  具体的な業務内容やファイル名があれば教えてください_x000a_（例：転記作業、数値の照合、複数ファイルの突合 など）  " dataDxfId="3924"/>
    <tableColumn id="6" xr3:uid="{0C92A9D6-BAD4-4D1D-A56A-1922C1362599}" name="Q3.  工数がかかりすぎている、改善したいと感じる作業はありますか？ _x000a__x000a_  具体的な業務内容やファイル名があれば教えてください_x000a_（例：手順が多い業務、データ集め、資料作成 など）  " dataDxfId="3923"/>
    <tableColumn id="7" xr3:uid="{62D79409-50B1-48A0-B322-6CE738450FAB}" name="Q4. 紙や手書きでやっているが、PC化できたら楽になりそうな作業はありますか？ _x000a__x000a_  （例：手書き帳票、紙の申請書、メモからの転記 など）  " dataDxfId="3922"/>
    <tableColumn id="8" xr3:uid="{DEBF57B9-C711-466B-8161-DF64A3E27F22}" name="Q5-1. AIや便利ツールを業務で使ってみたいと思いますか？ _x000a_1 = 全く思わない_x000a_2 = あまり思わない_x000a_3 = どちらともいえない_x000a_4 = まあまあ思う_x000a_5 = とても思う  " dataDxfId="3921"/>
    <tableColumn id="9" xr3:uid="{7994E0A6-82CC-44BD-9704-20AF0E0E8083}" name="Q5-2.使用している(使ったことがある)AIがあれば、名称と用途を教えてください。" dataDxfId="3920"/>
    <tableColumn id="10" xr3:uid="{1B0E0B4D-AFBC-4FD1-90A1-417AB9F5AC66}" name="Q6. 業務改善のアイデアや要望があれば自由に記入してください" dataDxfId="3919"/>
  </tableColumns>
  <tableStyleInfo name="フォームの回答 1-style" showFirstColumn="1" showLastColumn="1" showRowStripes="1" showColumnStripes="0"/>
</table>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rinterSettings" Target="../printerSettings/printerSettings5.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2FC4-67CA-4F55-B11B-6AC347696F2B}">
  <sheetPr>
    <tabColor theme="9"/>
  </sheetPr>
  <dimension ref="A1:B67"/>
  <sheetViews>
    <sheetView topLeftCell="A33" workbookViewId="0">
      <selection activeCell="B58" sqref="B58"/>
    </sheetView>
  </sheetViews>
  <sheetFormatPr defaultRowHeight="11.4"/>
  <cols>
    <col min="1" max="1" width="9.08984375" style="1" bestFit="1" customWidth="1"/>
    <col min="2" max="16384" width="8.7265625" style="2"/>
  </cols>
  <sheetData>
    <row r="1" spans="1:2">
      <c r="A1" s="1">
        <v>45954</v>
      </c>
      <c r="B1" s="2" t="s">
        <v>0</v>
      </c>
    </row>
    <row r="2" spans="1:2">
      <c r="A2" s="1">
        <v>45969</v>
      </c>
      <c r="B2" s="2" t="s">
        <v>1</v>
      </c>
    </row>
    <row r="3" spans="1:2">
      <c r="A3" s="1">
        <v>45970</v>
      </c>
      <c r="B3" s="2" t="s">
        <v>1</v>
      </c>
    </row>
    <row r="4" spans="1:2">
      <c r="A4" s="1">
        <v>45971</v>
      </c>
      <c r="B4" s="2" t="s">
        <v>2</v>
      </c>
    </row>
    <row r="5" spans="1:2">
      <c r="B5" s="2" t="s">
        <v>4</v>
      </c>
    </row>
    <row r="6" spans="1:2">
      <c r="B6" s="2" t="s">
        <v>5</v>
      </c>
    </row>
    <row r="7" spans="1:2">
      <c r="A7" s="1">
        <v>46006</v>
      </c>
      <c r="B7" s="2" t="s">
        <v>3</v>
      </c>
    </row>
    <row r="8" spans="1:2">
      <c r="B8" s="2" t="s">
        <v>13</v>
      </c>
    </row>
    <row r="10" spans="1:2">
      <c r="A10" s="1">
        <v>46063</v>
      </c>
      <c r="B10" s="2" t="s">
        <v>9</v>
      </c>
    </row>
    <row r="11" spans="1:2">
      <c r="B11" s="2" t="s">
        <v>10</v>
      </c>
    </row>
    <row r="12" spans="1:2">
      <c r="B12" s="2" t="s">
        <v>11</v>
      </c>
    </row>
    <row r="13" spans="1:2">
      <c r="B13" s="2" t="s">
        <v>6</v>
      </c>
    </row>
    <row r="15" spans="1:2" s="101" customFormat="1">
      <c r="A15" s="98">
        <v>46073</v>
      </c>
      <c r="B15" s="99" t="s">
        <v>738</v>
      </c>
    </row>
    <row r="16" spans="1:2" s="101" customFormat="1">
      <c r="A16" s="100"/>
      <c r="B16" s="99" t="s">
        <v>598</v>
      </c>
    </row>
    <row r="17" spans="1:2" s="101" customFormat="1">
      <c r="A17" s="100"/>
      <c r="B17" s="99" t="s">
        <v>599</v>
      </c>
    </row>
    <row r="18" spans="1:2" s="101" customFormat="1">
      <c r="A18" s="100"/>
      <c r="B18" s="99" t="s">
        <v>600</v>
      </c>
    </row>
    <row r="19" spans="1:2" s="101" customFormat="1">
      <c r="A19" s="100"/>
      <c r="B19" s="99" t="s">
        <v>601</v>
      </c>
    </row>
    <row r="20" spans="1:2" s="101" customFormat="1">
      <c r="A20" s="100"/>
      <c r="B20" s="99" t="s">
        <v>602</v>
      </c>
    </row>
    <row r="21" spans="1:2" s="101" customFormat="1">
      <c r="A21" s="100"/>
      <c r="B21" s="99" t="s">
        <v>739</v>
      </c>
    </row>
    <row r="22" spans="1:2" s="101" customFormat="1">
      <c r="A22" s="100"/>
      <c r="B22" s="99" t="s">
        <v>740</v>
      </c>
    </row>
    <row r="23" spans="1:2" s="101" customFormat="1">
      <c r="A23" s="100"/>
      <c r="B23" s="99" t="s">
        <v>741</v>
      </c>
    </row>
    <row r="24" spans="1:2" s="101" customFormat="1">
      <c r="A24" s="100"/>
      <c r="B24" s="99" t="s">
        <v>742</v>
      </c>
    </row>
    <row r="25" spans="1:2" s="101" customFormat="1">
      <c r="A25" s="100"/>
      <c r="B25" s="99" t="s">
        <v>743</v>
      </c>
    </row>
    <row r="26" spans="1:2" s="101" customFormat="1">
      <c r="A26" s="100"/>
    </row>
    <row r="27" spans="1:2">
      <c r="A27" s="1">
        <v>46077</v>
      </c>
      <c r="B27" s="2" t="s">
        <v>7</v>
      </c>
    </row>
    <row r="28" spans="1:2">
      <c r="B28" s="2" t="s">
        <v>12</v>
      </c>
    </row>
    <row r="29" spans="1:2">
      <c r="B29" s="2" t="s">
        <v>8</v>
      </c>
    </row>
    <row r="31" spans="1:2">
      <c r="A31" s="98">
        <v>46077</v>
      </c>
      <c r="B31" s="102" t="s">
        <v>740</v>
      </c>
    </row>
    <row r="32" spans="1:2">
      <c r="B32" s="99" t="s">
        <v>744</v>
      </c>
    </row>
    <row r="33" spans="1:2">
      <c r="B33" s="99" t="s">
        <v>745</v>
      </c>
    </row>
    <row r="34" spans="1:2">
      <c r="B34" s="99" t="s">
        <v>752</v>
      </c>
    </row>
    <row r="35" spans="1:2">
      <c r="B35" s="102" t="s">
        <v>739</v>
      </c>
    </row>
    <row r="36" spans="1:2">
      <c r="B36" s="99" t="s">
        <v>747</v>
      </c>
    </row>
    <row r="37" spans="1:2">
      <c r="B37" s="99" t="s">
        <v>748</v>
      </c>
    </row>
    <row r="38" spans="1:2">
      <c r="B38" s="99" t="s">
        <v>746</v>
      </c>
    </row>
    <row r="39" spans="1:2">
      <c r="B39" s="102" t="s">
        <v>741</v>
      </c>
    </row>
    <row r="40" spans="1:2">
      <c r="B40" s="102" t="s">
        <v>742</v>
      </c>
    </row>
    <row r="41" spans="1:2">
      <c r="B41" s="99" t="s">
        <v>603</v>
      </c>
    </row>
    <row r="42" spans="1:2">
      <c r="B42" s="99" t="s">
        <v>749</v>
      </c>
    </row>
    <row r="43" spans="1:2">
      <c r="B43" s="102" t="s">
        <v>750</v>
      </c>
    </row>
    <row r="44" spans="1:2">
      <c r="B44" s="99" t="s">
        <v>754</v>
      </c>
    </row>
    <row r="45" spans="1:2">
      <c r="B45" s="102" t="s">
        <v>751</v>
      </c>
    </row>
    <row r="46" spans="1:2">
      <c r="B46" s="99" t="s">
        <v>753</v>
      </c>
    </row>
    <row r="48" spans="1:2">
      <c r="A48" s="295" t="s">
        <v>2207</v>
      </c>
      <c r="B48" s="294" t="s">
        <v>2208</v>
      </c>
    </row>
    <row r="49" spans="1:2">
      <c r="A49" s="100"/>
      <c r="B49" s="294" t="s">
        <v>2210</v>
      </c>
    </row>
    <row r="50" spans="1:2">
      <c r="A50" s="100"/>
      <c r="B50" s="294" t="s">
        <v>2211</v>
      </c>
    </row>
    <row r="51" spans="1:2">
      <c r="A51" s="100"/>
      <c r="B51" s="294" t="s">
        <v>2212</v>
      </c>
    </row>
    <row r="52" spans="1:2">
      <c r="A52" s="100"/>
      <c r="B52" s="294" t="s">
        <v>2330</v>
      </c>
    </row>
    <row r="53" spans="1:2">
      <c r="A53" s="100"/>
      <c r="B53" s="294" t="s">
        <v>2213</v>
      </c>
    </row>
    <row r="54" spans="1:2">
      <c r="A54" s="100"/>
      <c r="B54" s="294" t="s">
        <v>2577</v>
      </c>
    </row>
    <row r="55" spans="1:2">
      <c r="A55" s="100"/>
      <c r="B55" s="294" t="s">
        <v>2214</v>
      </c>
    </row>
    <row r="56" spans="1:2">
      <c r="A56" s="100"/>
      <c r="B56" s="294"/>
    </row>
    <row r="57" spans="1:2">
      <c r="A57" s="295" t="s">
        <v>2209</v>
      </c>
      <c r="B57" s="294" t="s">
        <v>2208</v>
      </c>
    </row>
    <row r="58" spans="1:2">
      <c r="A58" s="100"/>
      <c r="B58" s="294"/>
    </row>
    <row r="59" spans="1:2">
      <c r="A59" s="100"/>
      <c r="B59" s="294"/>
    </row>
    <row r="60" spans="1:2">
      <c r="A60" s="100"/>
      <c r="B60" s="294"/>
    </row>
    <row r="61" spans="1:2">
      <c r="A61" s="100"/>
    </row>
    <row r="62" spans="1:2">
      <c r="A62" s="1">
        <v>46126</v>
      </c>
    </row>
    <row r="63" spans="1:2">
      <c r="A63" s="1">
        <v>46136</v>
      </c>
    </row>
    <row r="64" spans="1:2">
      <c r="A64" s="1">
        <v>46154</v>
      </c>
    </row>
    <row r="65" spans="1:1">
      <c r="A65" s="1">
        <v>46168</v>
      </c>
    </row>
    <row r="66" spans="1:1">
      <c r="A66" s="1">
        <v>46182</v>
      </c>
    </row>
    <row r="67" spans="1:1">
      <c r="A67" s="1">
        <v>46197</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9217B-A44E-4E54-8843-E9157024F217}">
  <sheetPr>
    <tabColor theme="9"/>
  </sheetPr>
  <dimension ref="A1:I39"/>
  <sheetViews>
    <sheetView topLeftCell="A7" workbookViewId="0">
      <selection activeCell="A40" sqref="A40"/>
    </sheetView>
  </sheetViews>
  <sheetFormatPr defaultRowHeight="11.4"/>
  <cols>
    <col min="1" max="2" width="6.6328125" style="319" customWidth="1"/>
    <col min="3" max="3" width="8.7265625" style="229"/>
    <col min="4" max="4" width="2.453125" style="229" customWidth="1"/>
    <col min="5" max="5" width="32.36328125" style="229" bestFit="1" customWidth="1"/>
    <col min="6" max="16384" width="8.7265625" style="229"/>
  </cols>
  <sheetData>
    <row r="1" spans="1:9">
      <c r="A1" s="350" t="s">
        <v>2328</v>
      </c>
      <c r="B1" s="350" t="s">
        <v>2329</v>
      </c>
      <c r="C1" s="351" t="s">
        <v>2495</v>
      </c>
      <c r="D1" s="351" t="s">
        <v>2496</v>
      </c>
      <c r="E1" s="351" t="s">
        <v>2497</v>
      </c>
      <c r="F1" s="385">
        <v>46204</v>
      </c>
      <c r="G1" s="206" t="s">
        <v>2335</v>
      </c>
    </row>
    <row r="2" spans="1:9">
      <c r="A2" s="319">
        <v>46106</v>
      </c>
      <c r="B2" s="319">
        <v>46142</v>
      </c>
      <c r="C2" s="352" t="s">
        <v>2518</v>
      </c>
      <c r="D2" s="372" t="s">
        <v>2580</v>
      </c>
      <c r="E2" s="372"/>
    </row>
    <row r="3" spans="1:9">
      <c r="A3" s="319">
        <v>46106</v>
      </c>
      <c r="B3" s="319">
        <v>46142</v>
      </c>
      <c r="C3" s="343" t="s">
        <v>2518</v>
      </c>
      <c r="D3" s="343" t="s">
        <v>2580</v>
      </c>
      <c r="E3" s="229" t="s">
        <v>2582</v>
      </c>
    </row>
    <row r="4" spans="1:9">
      <c r="A4" s="319">
        <v>46106</v>
      </c>
      <c r="B4" s="319">
        <v>46142</v>
      </c>
      <c r="C4" s="344" t="s">
        <v>2518</v>
      </c>
      <c r="D4" s="344" t="s">
        <v>2580</v>
      </c>
      <c r="E4" s="101" t="s">
        <v>2562</v>
      </c>
      <c r="G4" s="229" t="s">
        <v>2310</v>
      </c>
      <c r="I4" s="341">
        <v>46126</v>
      </c>
    </row>
    <row r="5" spans="1:9">
      <c r="A5" s="319">
        <v>46106</v>
      </c>
      <c r="B5" s="319">
        <v>46142</v>
      </c>
      <c r="C5" s="344" t="s">
        <v>2518</v>
      </c>
      <c r="D5" s="344" t="s">
        <v>2580</v>
      </c>
      <c r="E5" s="229" t="s">
        <v>2560</v>
      </c>
      <c r="G5" s="229" t="s">
        <v>2311</v>
      </c>
      <c r="I5" s="341">
        <v>46136</v>
      </c>
    </row>
    <row r="6" spans="1:9">
      <c r="A6" s="319">
        <v>46106</v>
      </c>
      <c r="B6" s="319">
        <v>46142</v>
      </c>
      <c r="C6" s="344" t="s">
        <v>2518</v>
      </c>
      <c r="D6" s="344" t="s">
        <v>2580</v>
      </c>
      <c r="E6" s="101" t="s">
        <v>2566</v>
      </c>
      <c r="G6" s="229" t="s">
        <v>2312</v>
      </c>
      <c r="I6" s="369">
        <v>46154</v>
      </c>
    </row>
    <row r="7" spans="1:9">
      <c r="A7" s="319">
        <v>46106</v>
      </c>
      <c r="B7" s="319">
        <v>46142</v>
      </c>
      <c r="C7" s="344" t="s">
        <v>2518</v>
      </c>
      <c r="D7" s="344" t="s">
        <v>2580</v>
      </c>
      <c r="E7" s="339" t="s">
        <v>2568</v>
      </c>
      <c r="G7" s="229" t="s">
        <v>2320</v>
      </c>
      <c r="I7" s="369">
        <v>46168</v>
      </c>
    </row>
    <row r="8" spans="1:9">
      <c r="A8" s="319">
        <v>46106</v>
      </c>
      <c r="B8" s="319">
        <v>46173</v>
      </c>
      <c r="C8" s="344" t="s">
        <v>2518</v>
      </c>
      <c r="D8" s="344" t="s">
        <v>2580</v>
      </c>
      <c r="E8" s="191" t="s">
        <v>2570</v>
      </c>
      <c r="G8" s="229" t="s">
        <v>2317</v>
      </c>
      <c r="I8" s="369">
        <v>46182</v>
      </c>
    </row>
    <row r="9" spans="1:9">
      <c r="A9" s="319">
        <v>46106</v>
      </c>
      <c r="B9" s="319">
        <v>46173</v>
      </c>
      <c r="C9" s="344" t="s">
        <v>2518</v>
      </c>
      <c r="D9" s="344" t="s">
        <v>2580</v>
      </c>
      <c r="E9" s="339" t="s">
        <v>2564</v>
      </c>
      <c r="G9" s="229" t="s">
        <v>2314</v>
      </c>
      <c r="I9" s="341">
        <v>46197</v>
      </c>
    </row>
    <row r="10" spans="1:9">
      <c r="A10" s="319">
        <v>46106</v>
      </c>
      <c r="B10" s="319">
        <v>46356</v>
      </c>
      <c r="C10" s="352" t="s">
        <v>2516</v>
      </c>
      <c r="D10" s="352" t="s">
        <v>2484</v>
      </c>
      <c r="E10" s="352"/>
    </row>
    <row r="11" spans="1:9">
      <c r="A11" s="319">
        <v>46106</v>
      </c>
      <c r="B11" s="319">
        <v>46142</v>
      </c>
      <c r="C11" s="343" t="s">
        <v>2516</v>
      </c>
      <c r="D11" s="343" t="s">
        <v>2493</v>
      </c>
      <c r="E11" s="229" t="s">
        <v>2486</v>
      </c>
    </row>
    <row r="12" spans="1:9">
      <c r="A12" s="319">
        <v>46204</v>
      </c>
      <c r="B12" s="319">
        <v>46295</v>
      </c>
      <c r="C12" s="344" t="s">
        <v>2516</v>
      </c>
      <c r="D12" s="344" t="s">
        <v>2493</v>
      </c>
      <c r="E12" s="229" t="s">
        <v>2487</v>
      </c>
    </row>
    <row r="13" spans="1:9">
      <c r="A13" s="319">
        <v>46266</v>
      </c>
      <c r="B13" s="319">
        <v>46356</v>
      </c>
      <c r="C13" s="344" t="s">
        <v>2516</v>
      </c>
      <c r="D13" s="358" t="s">
        <v>2324</v>
      </c>
      <c r="E13" s="358"/>
    </row>
    <row r="14" spans="1:9">
      <c r="A14" s="319">
        <v>46266</v>
      </c>
      <c r="B14" s="319">
        <v>46326</v>
      </c>
      <c r="C14" s="344" t="s">
        <v>2516</v>
      </c>
      <c r="D14" s="343" t="s">
        <v>2324</v>
      </c>
      <c r="E14" s="229" t="s">
        <v>2485</v>
      </c>
    </row>
    <row r="15" spans="1:9">
      <c r="A15" s="319">
        <v>46266</v>
      </c>
      <c r="B15" s="319">
        <v>46326</v>
      </c>
      <c r="C15" s="344" t="s">
        <v>2516</v>
      </c>
      <c r="D15" s="344" t="s">
        <v>2324</v>
      </c>
      <c r="E15" s="229" t="s">
        <v>2529</v>
      </c>
    </row>
    <row r="16" spans="1:9">
      <c r="A16" s="319">
        <v>46106</v>
      </c>
      <c r="B16" s="319">
        <v>46203</v>
      </c>
      <c r="C16" s="352" t="s">
        <v>2520</v>
      </c>
      <c r="D16" s="372" t="s">
        <v>2321</v>
      </c>
      <c r="E16" s="372"/>
    </row>
    <row r="17" spans="1:5">
      <c r="A17" s="319">
        <v>46113</v>
      </c>
      <c r="B17" s="319">
        <v>46142</v>
      </c>
      <c r="C17" s="343" t="s">
        <v>2520</v>
      </c>
      <c r="D17" s="343" t="s">
        <v>2321</v>
      </c>
      <c r="E17" s="229" t="s">
        <v>2531</v>
      </c>
    </row>
    <row r="18" spans="1:5">
      <c r="A18" s="319">
        <v>46127</v>
      </c>
      <c r="B18" s="319">
        <v>46173</v>
      </c>
      <c r="C18" s="343" t="s">
        <v>2520</v>
      </c>
      <c r="D18" s="343" t="s">
        <v>2321</v>
      </c>
      <c r="E18" s="229" t="s">
        <v>2533</v>
      </c>
    </row>
    <row r="19" spans="1:5">
      <c r="A19" s="319">
        <v>46113</v>
      </c>
      <c r="B19" s="319">
        <v>46203</v>
      </c>
      <c r="C19" s="343" t="s">
        <v>2520</v>
      </c>
      <c r="D19" s="343" t="s">
        <v>2321</v>
      </c>
      <c r="E19" s="229" t="s">
        <v>2535</v>
      </c>
    </row>
    <row r="20" spans="1:5">
      <c r="A20" s="319">
        <v>46204</v>
      </c>
      <c r="B20" s="319">
        <v>46254</v>
      </c>
      <c r="C20" s="344" t="s">
        <v>2520</v>
      </c>
      <c r="D20" s="344" t="s">
        <v>2321</v>
      </c>
      <c r="E20" s="229" t="s">
        <v>2539</v>
      </c>
    </row>
    <row r="21" spans="1:5">
      <c r="A21" s="319">
        <v>46204</v>
      </c>
      <c r="B21" s="319">
        <v>46265</v>
      </c>
      <c r="C21" s="344" t="s">
        <v>2520</v>
      </c>
      <c r="D21" s="344" t="s">
        <v>2321</v>
      </c>
      <c r="E21" s="229" t="s">
        <v>2537</v>
      </c>
    </row>
    <row r="22" spans="1:5">
      <c r="A22" s="319">
        <v>46106</v>
      </c>
      <c r="B22" s="319">
        <v>46326</v>
      </c>
      <c r="C22" s="344" t="s">
        <v>2520</v>
      </c>
      <c r="D22" s="352" t="s">
        <v>2322</v>
      </c>
      <c r="E22" s="352"/>
    </row>
    <row r="23" spans="1:5">
      <c r="A23" s="319">
        <v>46106</v>
      </c>
      <c r="B23" s="319">
        <v>46173</v>
      </c>
      <c r="C23" s="344" t="s">
        <v>2520</v>
      </c>
      <c r="D23" s="343" t="s">
        <v>2322</v>
      </c>
      <c r="E23" s="229" t="s">
        <v>2313</v>
      </c>
    </row>
    <row r="24" spans="1:5">
      <c r="A24" s="319">
        <v>46106</v>
      </c>
      <c r="B24" s="319">
        <v>46173</v>
      </c>
      <c r="C24" s="344" t="s">
        <v>2520</v>
      </c>
      <c r="D24" s="344" t="s">
        <v>2322</v>
      </c>
      <c r="E24" s="229" t="s">
        <v>2302</v>
      </c>
    </row>
    <row r="25" spans="1:5">
      <c r="A25" s="319">
        <v>46174</v>
      </c>
      <c r="B25" s="319">
        <v>46234</v>
      </c>
      <c r="C25" s="344" t="s">
        <v>2520</v>
      </c>
      <c r="D25" s="344" t="s">
        <v>2322</v>
      </c>
      <c r="E25" s="229" t="s">
        <v>2547</v>
      </c>
    </row>
    <row r="26" spans="1:5">
      <c r="A26" s="319">
        <v>46174</v>
      </c>
      <c r="B26" s="319">
        <v>46356</v>
      </c>
      <c r="C26" s="344" t="s">
        <v>2520</v>
      </c>
      <c r="D26" s="358" t="s">
        <v>2323</v>
      </c>
      <c r="E26" s="358"/>
    </row>
    <row r="27" spans="1:5">
      <c r="A27" s="319">
        <v>46174</v>
      </c>
      <c r="B27" s="319">
        <v>46356</v>
      </c>
      <c r="C27" s="344" t="s">
        <v>2520</v>
      </c>
      <c r="D27" s="354" t="s">
        <v>2323</v>
      </c>
      <c r="E27" s="355" t="s">
        <v>2573</v>
      </c>
    </row>
    <row r="28" spans="1:5">
      <c r="A28" s="319">
        <v>46143</v>
      </c>
      <c r="B28" s="319">
        <v>46356</v>
      </c>
      <c r="C28" s="344" t="s">
        <v>2520</v>
      </c>
      <c r="D28" s="358" t="s">
        <v>2483</v>
      </c>
      <c r="E28" s="358"/>
    </row>
    <row r="29" spans="1:5">
      <c r="A29" s="319">
        <v>46143</v>
      </c>
      <c r="B29" s="319">
        <v>46356</v>
      </c>
      <c r="C29" s="344" t="s">
        <v>2520</v>
      </c>
      <c r="D29" s="378" t="s">
        <v>2483</v>
      </c>
      <c r="E29" s="355" t="s">
        <v>2575</v>
      </c>
    </row>
    <row r="30" spans="1:5">
      <c r="A30" s="319">
        <v>46174</v>
      </c>
      <c r="B30" s="319">
        <v>46326</v>
      </c>
      <c r="C30" s="344" t="s">
        <v>2520</v>
      </c>
      <c r="D30" s="358" t="s">
        <v>2326</v>
      </c>
      <c r="E30" s="358"/>
    </row>
    <row r="31" spans="1:5">
      <c r="A31" s="319">
        <v>46174</v>
      </c>
      <c r="B31" s="319">
        <v>46326</v>
      </c>
      <c r="C31" s="344" t="s">
        <v>2520</v>
      </c>
      <c r="D31" s="378" t="s">
        <v>2326</v>
      </c>
      <c r="E31" s="355" t="s">
        <v>2573</v>
      </c>
    </row>
    <row r="32" spans="1:5">
      <c r="A32" s="319">
        <v>46143</v>
      </c>
      <c r="B32" s="319">
        <v>46326</v>
      </c>
      <c r="C32" s="353" t="s">
        <v>2525</v>
      </c>
      <c r="D32" s="358" t="s">
        <v>2514</v>
      </c>
      <c r="E32" s="358"/>
    </row>
    <row r="33" spans="1:5">
      <c r="A33" s="319">
        <v>46113</v>
      </c>
      <c r="B33" s="319">
        <v>46326</v>
      </c>
      <c r="C33" s="343" t="s">
        <v>2522</v>
      </c>
      <c r="D33" s="354" t="s">
        <v>2514</v>
      </c>
      <c r="E33" s="355" t="s">
        <v>2527</v>
      </c>
    </row>
    <row r="34" spans="1:5">
      <c r="A34" s="319">
        <v>46235</v>
      </c>
      <c r="B34" s="319">
        <v>46326</v>
      </c>
      <c r="C34" s="343" t="s">
        <v>2522</v>
      </c>
      <c r="D34" s="354" t="s">
        <v>2514</v>
      </c>
      <c r="E34" s="229" t="s">
        <v>2549</v>
      </c>
    </row>
    <row r="35" spans="1:5">
      <c r="A35" s="319">
        <v>46143</v>
      </c>
      <c r="B35" s="319">
        <v>46203</v>
      </c>
      <c r="C35" s="352" t="s">
        <v>2524</v>
      </c>
      <c r="D35" s="373" t="s">
        <v>2325</v>
      </c>
      <c r="E35" s="373"/>
    </row>
    <row r="36" spans="1:5">
      <c r="A36" s="319">
        <f>B36-7*3</f>
        <v>46133</v>
      </c>
      <c r="B36" s="370">
        <v>46154</v>
      </c>
      <c r="C36" s="343" t="s">
        <v>2524</v>
      </c>
      <c r="D36" s="343" t="s">
        <v>2325</v>
      </c>
      <c r="E36" s="229" t="s">
        <v>2584</v>
      </c>
    </row>
    <row r="37" spans="1:5">
      <c r="A37" s="319">
        <f>B37-7*3</f>
        <v>46147</v>
      </c>
      <c r="B37" s="370">
        <v>46168</v>
      </c>
      <c r="C37" s="344" t="s">
        <v>2524</v>
      </c>
      <c r="D37" s="343" t="s">
        <v>2325</v>
      </c>
      <c r="E37" s="229" t="s">
        <v>2586</v>
      </c>
    </row>
    <row r="38" spans="1:5">
      <c r="A38" s="319">
        <f t="shared" ref="A38" si="0">B38-7*3</f>
        <v>46161</v>
      </c>
      <c r="B38" s="370">
        <v>46182</v>
      </c>
      <c r="C38" s="344" t="s">
        <v>2524</v>
      </c>
      <c r="D38" s="344" t="s">
        <v>2325</v>
      </c>
      <c r="E38" s="229" t="s">
        <v>2588</v>
      </c>
    </row>
    <row r="39" spans="1:5">
      <c r="A39" s="357">
        <v>46054</v>
      </c>
      <c r="B39" s="357">
        <v>46387</v>
      </c>
      <c r="C39" s="358" t="s">
        <v>1958</v>
      </c>
      <c r="D39" s="358" t="s">
        <v>1958</v>
      </c>
      <c r="E39" s="358"/>
    </row>
  </sheetData>
  <autoFilter ref="A1:E1" xr:uid="{4559217B-A44E-4E54-8843-E9157024F217}"/>
  <phoneticPr fontId="1"/>
  <conditionalFormatting sqref="B1:B1048576">
    <cfRule type="cellIs" dxfId="2154" priority="1" operator="lessThan">
      <formula>$F$1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96B78-9568-4B08-BA17-A9B0700E4FEF}">
  <sheetPr>
    <tabColor theme="4"/>
    <pageSetUpPr fitToPage="1"/>
  </sheetPr>
  <dimension ref="A1:M41"/>
  <sheetViews>
    <sheetView tabSelected="1" topLeftCell="G1" zoomScaleNormal="100" workbookViewId="0">
      <selection activeCell="G1" sqref="G1"/>
    </sheetView>
  </sheetViews>
  <sheetFormatPr defaultRowHeight="13.05" customHeight="1" outlineLevelCol="1"/>
  <cols>
    <col min="1" max="5" width="7.6328125" style="2" hidden="1" customWidth="1" outlineLevel="1"/>
    <col min="6" max="6" width="8.6328125" style="2" hidden="1" customWidth="1" outlineLevel="1"/>
    <col min="7" max="7" width="7.6328125" style="2" customWidth="1" collapsed="1"/>
    <col min="8" max="8" width="7.6328125" style="2" customWidth="1"/>
    <col min="9" max="9" width="10.36328125" style="2" bestFit="1" customWidth="1"/>
    <col min="10" max="10" width="24.6328125" style="2" bestFit="1" customWidth="1"/>
    <col min="11" max="11" width="41.26953125" style="2" bestFit="1" customWidth="1"/>
    <col min="12" max="13" width="7.6328125" style="2" customWidth="1"/>
    <col min="14" max="15" width="9.08984375" style="2" bestFit="1" customWidth="1"/>
    <col min="16" max="16384" width="8.7265625" style="2"/>
  </cols>
  <sheetData>
    <row r="1" spans="1:13" ht="13.05" customHeight="1">
      <c r="J1" s="379" t="s">
        <v>2571</v>
      </c>
      <c r="K1" s="379" t="s">
        <v>2576</v>
      </c>
    </row>
    <row r="2" spans="1:13" ht="13.05" customHeight="1">
      <c r="A2" s="363" t="s">
        <v>2509</v>
      </c>
      <c r="B2" s="65" t="s">
        <v>2507</v>
      </c>
      <c r="C2" s="66" t="s">
        <v>2540</v>
      </c>
      <c r="D2" s="345" t="s">
        <v>2542</v>
      </c>
      <c r="E2" s="320" t="s">
        <v>2541</v>
      </c>
      <c r="G2" s="380" t="s">
        <v>2509</v>
      </c>
      <c r="H2" s="381" t="s">
        <v>2507</v>
      </c>
      <c r="I2" s="381" t="s">
        <v>2494</v>
      </c>
      <c r="J2" s="381" t="s">
        <v>2550</v>
      </c>
      <c r="K2" s="381" t="s">
        <v>2543</v>
      </c>
      <c r="L2" s="380" t="s">
        <v>2511</v>
      </c>
      <c r="M2" s="382" t="s">
        <v>2508</v>
      </c>
    </row>
    <row r="3" spans="1:13" ht="13.05" customHeight="1">
      <c r="A3" s="356" t="s">
        <v>2544</v>
      </c>
      <c r="B3" s="356" t="s">
        <v>2544</v>
      </c>
      <c r="C3" s="360"/>
      <c r="D3" s="361"/>
      <c r="E3" s="362"/>
      <c r="G3" s="81" t="s">
        <v>2510</v>
      </c>
      <c r="H3" s="81" t="s">
        <v>2113</v>
      </c>
      <c r="I3" s="66" t="s">
        <v>2517</v>
      </c>
      <c r="J3" s="365" t="s">
        <v>2579</v>
      </c>
      <c r="K3" s="66" t="s">
        <v>2581</v>
      </c>
      <c r="L3" s="66" t="s">
        <v>2510</v>
      </c>
      <c r="M3" s="383" t="s">
        <v>2501</v>
      </c>
    </row>
    <row r="4" spans="1:13" ht="13.05" customHeight="1">
      <c r="A4" s="66" t="s">
        <v>2510</v>
      </c>
      <c r="B4" s="66" t="s">
        <v>2545</v>
      </c>
      <c r="C4" s="321"/>
      <c r="D4" s="347">
        <v>1</v>
      </c>
      <c r="E4" s="322">
        <v>1</v>
      </c>
      <c r="G4" s="376"/>
      <c r="H4" s="376"/>
      <c r="I4" s="67"/>
      <c r="J4" s="366"/>
      <c r="K4" s="66" t="s">
        <v>2561</v>
      </c>
      <c r="L4" s="66" t="s">
        <v>2510</v>
      </c>
      <c r="M4" s="383" t="s">
        <v>2501</v>
      </c>
    </row>
    <row r="5" spans="1:13" ht="13.05" customHeight="1">
      <c r="A5" s="67"/>
      <c r="B5" s="70" t="s">
        <v>2113</v>
      </c>
      <c r="C5" s="323">
        <v>10</v>
      </c>
      <c r="D5" s="348">
        <v>14</v>
      </c>
      <c r="E5" s="324">
        <v>14</v>
      </c>
      <c r="G5" s="376"/>
      <c r="H5" s="376"/>
      <c r="I5" s="67"/>
      <c r="J5" s="366"/>
      <c r="K5" s="66" t="s">
        <v>2559</v>
      </c>
      <c r="L5" s="66" t="s">
        <v>2510</v>
      </c>
      <c r="M5" s="383" t="s">
        <v>2501</v>
      </c>
    </row>
    <row r="6" spans="1:13" ht="13.05" customHeight="1">
      <c r="A6" s="67"/>
      <c r="B6" s="70" t="s">
        <v>2501</v>
      </c>
      <c r="C6" s="323">
        <v>5</v>
      </c>
      <c r="D6" s="348">
        <v>5</v>
      </c>
      <c r="E6" s="324">
        <v>5</v>
      </c>
      <c r="G6" s="376"/>
      <c r="H6" s="376"/>
      <c r="I6" s="67"/>
      <c r="J6" s="366"/>
      <c r="K6" s="66" t="s">
        <v>2565</v>
      </c>
      <c r="L6" s="66" t="s">
        <v>2510</v>
      </c>
      <c r="M6" s="383" t="s">
        <v>2501</v>
      </c>
    </row>
    <row r="7" spans="1:13" ht="13.05" customHeight="1">
      <c r="A7" s="67"/>
      <c r="B7" s="70" t="s">
        <v>2502</v>
      </c>
      <c r="C7" s="323">
        <v>3</v>
      </c>
      <c r="D7" s="348">
        <v>6</v>
      </c>
      <c r="E7" s="324">
        <v>6</v>
      </c>
      <c r="G7" s="376"/>
      <c r="H7" s="376"/>
      <c r="I7" s="67"/>
      <c r="J7" s="366"/>
      <c r="K7" s="66" t="s">
        <v>2567</v>
      </c>
      <c r="L7" s="66" t="s">
        <v>2510</v>
      </c>
      <c r="M7" s="383" t="s">
        <v>2501</v>
      </c>
    </row>
    <row r="8" spans="1:13" ht="13.05" customHeight="1">
      <c r="A8" s="67"/>
      <c r="B8" s="70" t="s">
        <v>2114</v>
      </c>
      <c r="C8" s="323">
        <v>3</v>
      </c>
      <c r="D8" s="348">
        <v>5</v>
      </c>
      <c r="E8" s="324">
        <v>5</v>
      </c>
      <c r="G8" s="376"/>
      <c r="H8" s="376"/>
      <c r="I8" s="67"/>
      <c r="J8" s="366"/>
      <c r="K8" s="66" t="s">
        <v>2569</v>
      </c>
      <c r="L8" s="66" t="s">
        <v>2510</v>
      </c>
      <c r="M8" s="383" t="s">
        <v>2502</v>
      </c>
    </row>
    <row r="9" spans="1:13" ht="13.05" customHeight="1">
      <c r="A9" s="67"/>
      <c r="B9" s="70" t="s">
        <v>2115</v>
      </c>
      <c r="C9" s="323">
        <v>3</v>
      </c>
      <c r="D9" s="348">
        <v>3</v>
      </c>
      <c r="E9" s="324">
        <v>3</v>
      </c>
      <c r="G9" s="376"/>
      <c r="H9" s="376"/>
      <c r="I9" s="67"/>
      <c r="J9" s="366"/>
      <c r="K9" s="66" t="s">
        <v>2563</v>
      </c>
      <c r="L9" s="66" t="s">
        <v>2510</v>
      </c>
      <c r="M9" s="383" t="s">
        <v>2502</v>
      </c>
    </row>
    <row r="10" spans="1:13" ht="13.05" customHeight="1">
      <c r="A10" s="67"/>
      <c r="B10" s="70" t="s">
        <v>2512</v>
      </c>
      <c r="C10" s="323">
        <v>1</v>
      </c>
      <c r="D10" s="348">
        <v>1</v>
      </c>
      <c r="E10" s="324">
        <v>1</v>
      </c>
      <c r="G10" s="376"/>
      <c r="H10" s="376"/>
      <c r="I10" s="66" t="s">
        <v>2515</v>
      </c>
      <c r="J10" s="277" t="s">
        <v>2493</v>
      </c>
      <c r="K10" s="277" t="s">
        <v>2500</v>
      </c>
      <c r="L10" s="66" t="s">
        <v>2510</v>
      </c>
      <c r="M10" s="383" t="s">
        <v>2501</v>
      </c>
    </row>
    <row r="11" spans="1:13" ht="13.05" customHeight="1">
      <c r="A11" s="67"/>
      <c r="B11" s="70" t="s">
        <v>2503</v>
      </c>
      <c r="C11" s="323">
        <v>2</v>
      </c>
      <c r="D11" s="348">
        <v>3</v>
      </c>
      <c r="E11" s="324">
        <v>3</v>
      </c>
      <c r="G11" s="376"/>
      <c r="H11" s="376"/>
      <c r="I11" s="66" t="s">
        <v>2519</v>
      </c>
      <c r="J11" s="277" t="s">
        <v>2552</v>
      </c>
      <c r="K11" s="363" t="s">
        <v>2302</v>
      </c>
      <c r="L11" s="66" t="s">
        <v>2510</v>
      </c>
      <c r="M11" s="383" t="s">
        <v>2502</v>
      </c>
    </row>
    <row r="12" spans="1:13" ht="13.05" customHeight="1">
      <c r="A12" s="73" t="s">
        <v>331</v>
      </c>
      <c r="B12" s="74"/>
      <c r="C12" s="325">
        <v>27</v>
      </c>
      <c r="D12" s="349">
        <v>38</v>
      </c>
      <c r="E12" s="326">
        <v>38</v>
      </c>
      <c r="G12" s="376"/>
      <c r="H12" s="376"/>
      <c r="I12" s="67"/>
      <c r="J12" s="371"/>
      <c r="K12" s="363" t="s">
        <v>2313</v>
      </c>
      <c r="L12" s="66" t="s">
        <v>2510</v>
      </c>
      <c r="M12" s="383" t="s">
        <v>2502</v>
      </c>
    </row>
    <row r="13" spans="1:13" ht="13.05" customHeight="1">
      <c r="G13" s="376"/>
      <c r="H13" s="81" t="s">
        <v>2501</v>
      </c>
      <c r="I13" s="66" t="s">
        <v>2519</v>
      </c>
      <c r="J13" s="365" t="s">
        <v>2551</v>
      </c>
      <c r="K13" s="66" t="s">
        <v>2530</v>
      </c>
      <c r="L13" s="66" t="s">
        <v>2510</v>
      </c>
      <c r="M13" s="383" t="s">
        <v>2501</v>
      </c>
    </row>
    <row r="14" spans="1:13" ht="13.05" customHeight="1">
      <c r="G14" s="376"/>
      <c r="H14" s="376"/>
      <c r="I14" s="67"/>
      <c r="J14" s="366"/>
      <c r="K14" s="66" t="s">
        <v>2532</v>
      </c>
      <c r="L14" s="66" t="s">
        <v>2510</v>
      </c>
      <c r="M14" s="383" t="s">
        <v>2502</v>
      </c>
    </row>
    <row r="15" spans="1:13" ht="13.05" customHeight="1">
      <c r="G15" s="376"/>
      <c r="H15" s="376"/>
      <c r="I15" s="67"/>
      <c r="J15" s="366"/>
      <c r="K15" s="66" t="s">
        <v>2534</v>
      </c>
      <c r="L15" s="66" t="s">
        <v>2510</v>
      </c>
      <c r="M15" s="384" t="s">
        <v>2114</v>
      </c>
    </row>
    <row r="16" spans="1:13" ht="13.05" customHeight="1">
      <c r="G16" s="376"/>
      <c r="H16" s="376"/>
      <c r="I16" s="66" t="s">
        <v>2521</v>
      </c>
      <c r="J16" s="374" t="s">
        <v>2553</v>
      </c>
      <c r="K16" s="363" t="s">
        <v>2526</v>
      </c>
      <c r="L16" s="66" t="s">
        <v>2510</v>
      </c>
      <c r="M16" s="273" t="s">
        <v>2504</v>
      </c>
    </row>
    <row r="17" spans="1:13" ht="13.05" customHeight="1">
      <c r="G17" s="376"/>
      <c r="H17" s="376"/>
      <c r="I17" s="66" t="s">
        <v>2523</v>
      </c>
      <c r="J17" s="367" t="s">
        <v>2554</v>
      </c>
      <c r="K17" s="77" t="s">
        <v>2583</v>
      </c>
      <c r="L17" s="66" t="s">
        <v>2510</v>
      </c>
      <c r="M17" s="386" t="s">
        <v>2502</v>
      </c>
    </row>
    <row r="18" spans="1:13" ht="13.05" customHeight="1">
      <c r="G18" s="376"/>
      <c r="H18" s="81" t="s">
        <v>2502</v>
      </c>
      <c r="I18" s="66" t="s">
        <v>2519</v>
      </c>
      <c r="J18" s="374" t="s">
        <v>2555</v>
      </c>
      <c r="K18" s="66" t="s">
        <v>2574</v>
      </c>
      <c r="L18" s="66" t="s">
        <v>2510</v>
      </c>
      <c r="M18" s="273" t="s">
        <v>2505</v>
      </c>
    </row>
    <row r="19" spans="1:13" ht="13.05" customHeight="1">
      <c r="G19" s="376"/>
      <c r="H19" s="376"/>
      <c r="I19" s="66" t="s">
        <v>2523</v>
      </c>
      <c r="J19" s="367" t="s">
        <v>2554</v>
      </c>
      <c r="K19" s="77" t="s">
        <v>2585</v>
      </c>
      <c r="L19" s="66" t="s">
        <v>2510</v>
      </c>
      <c r="M19" s="386" t="s">
        <v>2502</v>
      </c>
    </row>
    <row r="20" spans="1:13" ht="13.05" customHeight="1">
      <c r="G20" s="376"/>
      <c r="H20" s="376"/>
      <c r="I20" s="67"/>
      <c r="J20" s="368"/>
      <c r="K20" s="77" t="s">
        <v>2587</v>
      </c>
      <c r="L20" s="66" t="s">
        <v>2510</v>
      </c>
      <c r="M20" s="386" t="s">
        <v>2114</v>
      </c>
    </row>
    <row r="21" spans="1:13" ht="13.05" customHeight="1">
      <c r="G21" s="376"/>
      <c r="H21" s="81" t="s">
        <v>2114</v>
      </c>
      <c r="I21" s="66" t="s">
        <v>2519</v>
      </c>
      <c r="J21" s="277" t="s">
        <v>2552</v>
      </c>
      <c r="K21" s="66" t="s">
        <v>2546</v>
      </c>
      <c r="L21" s="66" t="s">
        <v>2510</v>
      </c>
      <c r="M21" s="273" t="s">
        <v>2115</v>
      </c>
    </row>
    <row r="22" spans="1:13" ht="13.05" customHeight="1">
      <c r="A22" s="364" t="s">
        <v>2511</v>
      </c>
      <c r="B22" s="65" t="s">
        <v>2508</v>
      </c>
      <c r="C22" s="66" t="s">
        <v>2540</v>
      </c>
      <c r="D22" s="345" t="s">
        <v>2542</v>
      </c>
      <c r="E22" s="320" t="s">
        <v>2541</v>
      </c>
      <c r="G22" s="376"/>
      <c r="H22" s="376"/>
      <c r="I22" s="67"/>
      <c r="J22" s="374" t="s">
        <v>2556</v>
      </c>
      <c r="K22" s="66" t="s">
        <v>2572</v>
      </c>
      <c r="L22" s="66" t="s">
        <v>2510</v>
      </c>
      <c r="M22" s="273" t="s">
        <v>2505</v>
      </c>
    </row>
    <row r="23" spans="1:13" ht="13.05" customHeight="1">
      <c r="A23" s="356" t="s">
        <v>2506</v>
      </c>
      <c r="B23" s="356" t="s">
        <v>2506</v>
      </c>
      <c r="C23" s="360"/>
      <c r="D23" s="361"/>
      <c r="E23" s="362"/>
      <c r="G23" s="376"/>
      <c r="H23" s="376"/>
      <c r="I23" s="67"/>
      <c r="J23" s="374" t="s">
        <v>2557</v>
      </c>
      <c r="K23" s="66" t="s">
        <v>2572</v>
      </c>
      <c r="L23" s="66" t="s">
        <v>2510</v>
      </c>
      <c r="M23" s="273" t="s">
        <v>2504</v>
      </c>
    </row>
    <row r="24" spans="1:13" ht="13.05" customHeight="1">
      <c r="A24" s="66" t="s">
        <v>2510</v>
      </c>
      <c r="B24" s="66" t="s">
        <v>2501</v>
      </c>
      <c r="C24" s="321">
        <v>7</v>
      </c>
      <c r="D24" s="347">
        <v>8</v>
      </c>
      <c r="E24" s="322">
        <v>8</v>
      </c>
      <c r="G24" s="376"/>
      <c r="H24" s="81" t="s">
        <v>2115</v>
      </c>
      <c r="I24" s="66" t="s">
        <v>2515</v>
      </c>
      <c r="J24" s="277" t="s">
        <v>2493</v>
      </c>
      <c r="K24" s="66" t="s">
        <v>2498</v>
      </c>
      <c r="L24" s="66" t="s">
        <v>2510</v>
      </c>
      <c r="M24" s="273" t="s">
        <v>2503</v>
      </c>
    </row>
    <row r="25" spans="1:13" ht="13.05" customHeight="1">
      <c r="A25" s="67"/>
      <c r="B25" s="70" t="s">
        <v>2502</v>
      </c>
      <c r="C25" s="323">
        <v>7</v>
      </c>
      <c r="D25" s="348">
        <v>7</v>
      </c>
      <c r="E25" s="324">
        <v>7</v>
      </c>
      <c r="G25" s="376"/>
      <c r="H25" s="376"/>
      <c r="I25" s="66" t="s">
        <v>2519</v>
      </c>
      <c r="J25" s="365" t="s">
        <v>2551</v>
      </c>
      <c r="K25" s="66" t="s">
        <v>2538</v>
      </c>
      <c r="L25" s="66" t="s">
        <v>2510</v>
      </c>
      <c r="M25" s="273" t="s">
        <v>2512</v>
      </c>
    </row>
    <row r="26" spans="1:13" ht="13.05" customHeight="1">
      <c r="A26" s="67"/>
      <c r="B26" s="70" t="s">
        <v>2114</v>
      </c>
      <c r="C26" s="323">
        <v>2</v>
      </c>
      <c r="D26" s="348">
        <v>4</v>
      </c>
      <c r="E26" s="324">
        <v>4</v>
      </c>
      <c r="G26" s="376"/>
      <c r="H26" s="376"/>
      <c r="I26" s="67"/>
      <c r="J26" s="366"/>
      <c r="K26" s="66" t="s">
        <v>2536</v>
      </c>
      <c r="L26" s="66" t="s">
        <v>2510</v>
      </c>
      <c r="M26" s="273" t="s">
        <v>2512</v>
      </c>
    </row>
    <row r="27" spans="1:13" ht="13.05" customHeight="1">
      <c r="A27" s="67"/>
      <c r="B27" s="70" t="s">
        <v>2115</v>
      </c>
      <c r="C27" s="323">
        <v>1</v>
      </c>
      <c r="D27" s="348">
        <v>1</v>
      </c>
      <c r="E27" s="324">
        <v>1</v>
      </c>
      <c r="G27" s="376"/>
      <c r="H27" s="81" t="s">
        <v>2512</v>
      </c>
      <c r="I27" s="66" t="s">
        <v>2521</v>
      </c>
      <c r="J27" s="374" t="s">
        <v>2553</v>
      </c>
      <c r="K27" s="66" t="s">
        <v>2548</v>
      </c>
      <c r="L27" s="66" t="s">
        <v>2510</v>
      </c>
      <c r="M27" s="273" t="s">
        <v>2504</v>
      </c>
    </row>
    <row r="28" spans="1:13" ht="13.05" customHeight="1">
      <c r="A28" s="67"/>
      <c r="B28" s="70" t="s">
        <v>2512</v>
      </c>
      <c r="C28" s="323">
        <v>2</v>
      </c>
      <c r="D28" s="348">
        <v>2</v>
      </c>
      <c r="E28" s="324">
        <v>2</v>
      </c>
      <c r="G28" s="376"/>
      <c r="H28" s="81" t="s">
        <v>2503</v>
      </c>
      <c r="I28" s="66" t="s">
        <v>2515</v>
      </c>
      <c r="J28" s="374" t="s">
        <v>2558</v>
      </c>
      <c r="K28" s="66" t="s">
        <v>2528</v>
      </c>
      <c r="L28" s="66" t="s">
        <v>2510</v>
      </c>
      <c r="M28" s="273" t="s">
        <v>2504</v>
      </c>
    </row>
    <row r="29" spans="1:13" ht="13.05" customHeight="1">
      <c r="A29" s="67"/>
      <c r="B29" s="70" t="s">
        <v>2503</v>
      </c>
      <c r="C29" s="323">
        <v>1</v>
      </c>
      <c r="D29" s="348">
        <v>1</v>
      </c>
      <c r="E29" s="324">
        <v>1</v>
      </c>
      <c r="G29" s="377"/>
      <c r="H29" s="377"/>
      <c r="I29" s="346"/>
      <c r="J29" s="375"/>
      <c r="K29" s="73" t="s">
        <v>2499</v>
      </c>
      <c r="L29" s="73" t="s">
        <v>2510</v>
      </c>
      <c r="M29" s="359" t="s">
        <v>2504</v>
      </c>
    </row>
    <row r="30" spans="1:13" ht="13.05" customHeight="1">
      <c r="A30" s="67"/>
      <c r="B30" s="70" t="s">
        <v>2504</v>
      </c>
      <c r="C30" s="323">
        <v>5</v>
      </c>
      <c r="D30" s="348">
        <v>8</v>
      </c>
      <c r="E30" s="324">
        <v>8</v>
      </c>
      <c r="G30"/>
      <c r="H30"/>
      <c r="I30"/>
      <c r="J30"/>
      <c r="K30"/>
      <c r="L30"/>
      <c r="M30"/>
    </row>
    <row r="31" spans="1:13" ht="13.05" customHeight="1">
      <c r="A31" s="67"/>
      <c r="B31" s="70" t="s">
        <v>2505</v>
      </c>
      <c r="C31" s="323">
        <v>2</v>
      </c>
      <c r="D31" s="348">
        <v>6</v>
      </c>
      <c r="E31" s="324">
        <v>6</v>
      </c>
      <c r="G31"/>
      <c r="H31"/>
      <c r="I31"/>
      <c r="J31"/>
      <c r="K31"/>
      <c r="L31"/>
      <c r="M31"/>
    </row>
    <row r="32" spans="1:13" ht="13.05" customHeight="1">
      <c r="A32" s="67"/>
      <c r="B32" s="70" t="s">
        <v>2513</v>
      </c>
      <c r="C32" s="323"/>
      <c r="D32" s="348">
        <v>1</v>
      </c>
      <c r="E32" s="324">
        <v>1</v>
      </c>
      <c r="G32"/>
      <c r="H32"/>
      <c r="I32"/>
      <c r="J32"/>
      <c r="K32"/>
      <c r="L32"/>
      <c r="M32"/>
    </row>
    <row r="33" spans="1:13" ht="13.05" customHeight="1">
      <c r="A33" s="73" t="s">
        <v>331</v>
      </c>
      <c r="B33" s="74"/>
      <c r="C33" s="325">
        <v>27</v>
      </c>
      <c r="D33" s="349">
        <v>38</v>
      </c>
      <c r="E33" s="326">
        <v>38</v>
      </c>
      <c r="G33"/>
      <c r="H33"/>
      <c r="I33"/>
      <c r="J33"/>
      <c r="K33"/>
      <c r="L33"/>
      <c r="M33"/>
    </row>
    <row r="34" spans="1:13" ht="13.05" customHeight="1">
      <c r="G34"/>
      <c r="H34"/>
      <c r="I34"/>
      <c r="J34"/>
      <c r="K34"/>
      <c r="L34"/>
      <c r="M34"/>
    </row>
    <row r="35" spans="1:13" ht="13.05" customHeight="1">
      <c r="G35"/>
      <c r="H35"/>
      <c r="I35"/>
      <c r="J35"/>
      <c r="K35"/>
      <c r="L35"/>
      <c r="M35"/>
    </row>
    <row r="36" spans="1:13" ht="13.05" customHeight="1">
      <c r="G36"/>
      <c r="H36"/>
      <c r="I36"/>
      <c r="J36"/>
      <c r="K36"/>
      <c r="L36"/>
      <c r="M36"/>
    </row>
    <row r="37" spans="1:13" ht="13.05" customHeight="1">
      <c r="G37"/>
      <c r="H37"/>
      <c r="I37"/>
      <c r="J37"/>
      <c r="K37"/>
      <c r="L37"/>
      <c r="M37"/>
    </row>
    <row r="38" spans="1:13" ht="13.05" customHeight="1">
      <c r="G38"/>
      <c r="H38"/>
      <c r="I38"/>
      <c r="J38"/>
      <c r="K38"/>
      <c r="L38"/>
      <c r="M38"/>
    </row>
    <row r="39" spans="1:13" ht="13.05" customHeight="1">
      <c r="G39"/>
      <c r="H39"/>
      <c r="I39"/>
      <c r="J39"/>
      <c r="K39"/>
      <c r="L39"/>
      <c r="M39"/>
    </row>
    <row r="40" spans="1:13" ht="13.05" customHeight="1">
      <c r="G40"/>
      <c r="H40"/>
      <c r="I40"/>
      <c r="J40"/>
      <c r="K40"/>
      <c r="L40"/>
      <c r="M40"/>
    </row>
    <row r="41" spans="1:13" ht="13.05" customHeight="1">
      <c r="G41"/>
      <c r="H41"/>
      <c r="I41"/>
      <c r="J41"/>
      <c r="K41"/>
      <c r="L41"/>
      <c r="M41"/>
    </row>
  </sheetData>
  <phoneticPr fontId="1"/>
  <pageMargins left="0.39370078740157483" right="0.19685039370078741" top="0.31496062992125984" bottom="0.19685039370078741" header="0.15748031496062992" footer="0.31496062992125984"/>
  <pageSetup paperSize="9" scale="76" fitToHeight="0" orientation="portrait" horizontalDpi="1200" verticalDpi="1200" r:id="rId4"/>
  <headerFooter>
    <oddFooter>&amp;R&amp;6&amp;P/&amp;N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B1102-2C8E-4044-82B8-F44E1CE41952}">
  <sheetPr>
    <tabColor theme="4"/>
    <pageSetUpPr fitToPage="1"/>
  </sheetPr>
  <dimension ref="A1:AH91"/>
  <sheetViews>
    <sheetView topLeftCell="U1" workbookViewId="0">
      <selection activeCell="Z1" sqref="Z1"/>
    </sheetView>
  </sheetViews>
  <sheetFormatPr defaultRowHeight="9.6" outlineLevelCol="1"/>
  <cols>
    <col min="1" max="3" width="3.54296875" style="327" customWidth="1"/>
    <col min="4" max="7" width="8.7265625" style="327"/>
    <col min="8" max="9" width="5" style="327" hidden="1" customWidth="1" outlineLevel="1"/>
    <col min="10" max="10" width="8.7265625" style="327" collapsed="1"/>
    <col min="11" max="11" width="3" style="327" bestFit="1" customWidth="1"/>
    <col min="12" max="12" width="73.36328125" style="327" customWidth="1"/>
    <col min="13" max="14" width="8.7265625" style="327" hidden="1" customWidth="1" outlineLevel="1"/>
    <col min="15" max="15" width="5.08984375" style="327" customWidth="1" collapsed="1"/>
    <col min="16" max="17" width="8.7265625" style="327"/>
    <col min="18" max="18" width="2.54296875" style="328" bestFit="1" customWidth="1"/>
    <col min="19" max="26" width="8.7265625" style="327"/>
    <col min="27" max="27" width="11.90625" style="327" customWidth="1"/>
    <col min="28" max="16384" width="8.7265625" style="327"/>
  </cols>
  <sheetData>
    <row r="1" spans="1:34" s="334" customFormat="1" ht="19.2">
      <c r="A1" s="337" t="s">
        <v>2117</v>
      </c>
      <c r="B1" s="337" t="s">
        <v>2118</v>
      </c>
      <c r="C1" s="337" t="s">
        <v>2237</v>
      </c>
      <c r="D1" s="337" t="s">
        <v>2337</v>
      </c>
      <c r="E1" s="337" t="s">
        <v>2105</v>
      </c>
      <c r="F1" s="337" t="s">
        <v>2106</v>
      </c>
      <c r="G1" s="337" t="s">
        <v>2107</v>
      </c>
      <c r="H1" s="337" t="s">
        <v>2110</v>
      </c>
      <c r="I1" s="337" t="s">
        <v>2111</v>
      </c>
      <c r="J1" s="337" t="s">
        <v>2223</v>
      </c>
      <c r="K1" s="337" t="s">
        <v>1022</v>
      </c>
      <c r="L1" s="337" t="s">
        <v>2119</v>
      </c>
      <c r="M1" s="337" t="s">
        <v>606</v>
      </c>
      <c r="N1" s="338" t="s">
        <v>2197</v>
      </c>
      <c r="O1" s="337" t="s">
        <v>2336</v>
      </c>
      <c r="R1" s="335">
        <v>1</v>
      </c>
      <c r="S1" s="336" t="s">
        <v>2407</v>
      </c>
      <c r="T1" s="336"/>
      <c r="U1" s="336"/>
      <c r="AA1" s="340" t="s">
        <v>2417</v>
      </c>
      <c r="AB1" s="336"/>
      <c r="AC1" s="336"/>
      <c r="AD1" s="336"/>
      <c r="AE1" s="336"/>
      <c r="AF1" s="336"/>
      <c r="AG1" s="336"/>
      <c r="AH1" s="336"/>
    </row>
    <row r="2" spans="1:34" s="230" customFormat="1">
      <c r="A2" s="280">
        <v>1</v>
      </c>
      <c r="B2" s="280">
        <v>1</v>
      </c>
      <c r="C2" s="280">
        <v>1</v>
      </c>
      <c r="D2" s="280" t="s">
        <v>1683</v>
      </c>
      <c r="E2" s="280" t="s">
        <v>111</v>
      </c>
      <c r="F2" s="280" t="s">
        <v>2093</v>
      </c>
      <c r="G2" s="280" t="s">
        <v>2095</v>
      </c>
      <c r="H2" s="280" t="s">
        <v>2112</v>
      </c>
      <c r="I2" s="280" t="s">
        <v>2113</v>
      </c>
      <c r="J2" s="305" t="s">
        <v>2236</v>
      </c>
      <c r="K2" s="280">
        <v>28</v>
      </c>
      <c r="L2" s="305" t="s">
        <v>2199</v>
      </c>
      <c r="M2" s="280" t="s">
        <v>415</v>
      </c>
      <c r="N2" s="307" t="s">
        <v>2156</v>
      </c>
      <c r="O2" s="280"/>
      <c r="R2" s="328">
        <v>2</v>
      </c>
      <c r="S2" s="329" t="s">
        <v>2389</v>
      </c>
      <c r="T2" s="327"/>
      <c r="U2" s="327"/>
      <c r="AA2" s="330" t="s">
        <v>2418</v>
      </c>
      <c r="AB2" s="327"/>
      <c r="AC2" s="327"/>
      <c r="AD2" s="327"/>
      <c r="AE2" s="327"/>
      <c r="AF2" s="327"/>
      <c r="AG2" s="327"/>
      <c r="AH2" s="327"/>
    </row>
    <row r="3" spans="1:34" s="230" customFormat="1">
      <c r="A3" s="281">
        <v>1</v>
      </c>
      <c r="B3" s="281">
        <v>1</v>
      </c>
      <c r="C3" s="280" t="s">
        <v>2156</v>
      </c>
      <c r="D3" s="280" t="s">
        <v>470</v>
      </c>
      <c r="E3" s="280" t="s">
        <v>111</v>
      </c>
      <c r="F3" s="280" t="s">
        <v>117</v>
      </c>
      <c r="G3" s="280" t="s">
        <v>1999</v>
      </c>
      <c r="H3" s="280" t="s">
        <v>2112</v>
      </c>
      <c r="I3" s="280" t="s">
        <v>2113</v>
      </c>
      <c r="J3" s="305" t="s">
        <v>2160</v>
      </c>
      <c r="K3" s="280">
        <v>17</v>
      </c>
      <c r="L3" s="305" t="s">
        <v>2124</v>
      </c>
      <c r="M3" s="280" t="s">
        <v>471</v>
      </c>
      <c r="N3" s="307" t="s">
        <v>2156</v>
      </c>
      <c r="O3" s="280"/>
      <c r="R3" s="328">
        <v>3</v>
      </c>
      <c r="S3" s="327" t="s">
        <v>2390</v>
      </c>
      <c r="T3" s="327"/>
      <c r="U3" s="327"/>
      <c r="AA3" s="327"/>
      <c r="AB3" s="327"/>
      <c r="AC3" s="327"/>
      <c r="AD3" s="327"/>
      <c r="AE3" s="327"/>
      <c r="AF3" s="327"/>
      <c r="AG3" s="327"/>
      <c r="AH3" s="327"/>
    </row>
    <row r="4" spans="1:34" s="230" customFormat="1">
      <c r="A4" s="281">
        <v>1</v>
      </c>
      <c r="B4" s="281">
        <v>1</v>
      </c>
      <c r="C4" s="281" t="s">
        <v>2156</v>
      </c>
      <c r="D4" s="281" t="s">
        <v>470</v>
      </c>
      <c r="E4" s="281" t="s">
        <v>111</v>
      </c>
      <c r="F4" s="281" t="s">
        <v>117</v>
      </c>
      <c r="G4" s="281" t="s">
        <v>1999</v>
      </c>
      <c r="H4" s="281" t="s">
        <v>2112</v>
      </c>
      <c r="I4" s="281" t="s">
        <v>2113</v>
      </c>
      <c r="J4" s="305" t="s">
        <v>2156</v>
      </c>
      <c r="K4" s="280">
        <v>12</v>
      </c>
      <c r="L4" s="305" t="s">
        <v>772</v>
      </c>
      <c r="M4" s="280" t="s">
        <v>495</v>
      </c>
      <c r="N4" s="307" t="s">
        <v>2156</v>
      </c>
      <c r="O4" s="280"/>
      <c r="R4" s="328">
        <v>4</v>
      </c>
      <c r="S4" s="330" t="s">
        <v>2391</v>
      </c>
      <c r="T4" s="327"/>
      <c r="U4" s="327"/>
      <c r="AA4" s="327" t="s">
        <v>2419</v>
      </c>
      <c r="AB4" s="327"/>
      <c r="AC4" s="327"/>
      <c r="AD4" s="327"/>
      <c r="AE4" s="327"/>
      <c r="AF4" s="327" t="s">
        <v>2424</v>
      </c>
      <c r="AG4" s="327"/>
      <c r="AH4" s="327"/>
    </row>
    <row r="5" spans="1:34" s="230" customFormat="1">
      <c r="A5" s="281">
        <v>1</v>
      </c>
      <c r="B5" s="281">
        <v>1</v>
      </c>
      <c r="C5" s="281" t="s">
        <v>2156</v>
      </c>
      <c r="D5" s="281" t="s">
        <v>470</v>
      </c>
      <c r="E5" s="281" t="s">
        <v>111</v>
      </c>
      <c r="F5" s="281" t="s">
        <v>117</v>
      </c>
      <c r="G5" s="281" t="s">
        <v>1999</v>
      </c>
      <c r="H5" s="281" t="s">
        <v>2112</v>
      </c>
      <c r="I5" s="281" t="s">
        <v>2113</v>
      </c>
      <c r="J5" s="309" t="s">
        <v>2156</v>
      </c>
      <c r="K5" s="280">
        <v>20</v>
      </c>
      <c r="L5" s="305" t="s">
        <v>906</v>
      </c>
      <c r="M5" s="280" t="s">
        <v>471</v>
      </c>
      <c r="N5" s="307" t="s">
        <v>2156</v>
      </c>
      <c r="O5" s="280"/>
      <c r="R5" s="328">
        <v>5</v>
      </c>
      <c r="S5" s="331" t="s">
        <v>2392</v>
      </c>
      <c r="T5" s="327"/>
      <c r="U5" s="327"/>
      <c r="AA5" s="327" t="s">
        <v>2421</v>
      </c>
      <c r="AB5" s="327" t="s">
        <v>2444</v>
      </c>
      <c r="AC5" s="327"/>
      <c r="AD5" s="327"/>
      <c r="AE5" s="327"/>
      <c r="AF5" s="327" t="s">
        <v>2422</v>
      </c>
      <c r="AG5" s="327"/>
      <c r="AH5" s="327"/>
    </row>
    <row r="6" spans="1:34" s="230" customFormat="1">
      <c r="A6" s="281">
        <v>1</v>
      </c>
      <c r="B6" s="281">
        <v>1</v>
      </c>
      <c r="C6" s="281" t="s">
        <v>2156</v>
      </c>
      <c r="D6" s="281" t="s">
        <v>470</v>
      </c>
      <c r="E6" s="281" t="s">
        <v>111</v>
      </c>
      <c r="F6" s="281" t="s">
        <v>117</v>
      </c>
      <c r="G6" s="280" t="s">
        <v>2097</v>
      </c>
      <c r="H6" s="280" t="s">
        <v>2112</v>
      </c>
      <c r="I6" s="280" t="s">
        <v>2113</v>
      </c>
      <c r="J6" s="305" t="s">
        <v>2229</v>
      </c>
      <c r="K6" s="280">
        <v>5</v>
      </c>
      <c r="L6" s="305" t="s">
        <v>761</v>
      </c>
      <c r="M6" s="280" t="s">
        <v>512</v>
      </c>
      <c r="N6" s="307" t="s">
        <v>2156</v>
      </c>
      <c r="O6" s="280"/>
      <c r="R6" s="328">
        <v>6</v>
      </c>
      <c r="S6" s="331" t="s">
        <v>2412</v>
      </c>
      <c r="T6" s="327"/>
      <c r="U6" s="327"/>
      <c r="AA6" s="327"/>
      <c r="AB6" s="327" t="s">
        <v>2440</v>
      </c>
      <c r="AC6" s="327"/>
      <c r="AD6" s="327"/>
      <c r="AE6" s="327"/>
      <c r="AF6" s="327" t="s">
        <v>1079</v>
      </c>
      <c r="AG6" s="327"/>
      <c r="AH6" s="327"/>
    </row>
    <row r="7" spans="1:34" s="230" customFormat="1">
      <c r="A7" s="281">
        <v>1</v>
      </c>
      <c r="B7" s="281">
        <v>1</v>
      </c>
      <c r="C7" s="281" t="s">
        <v>2156</v>
      </c>
      <c r="D7" s="281" t="s">
        <v>470</v>
      </c>
      <c r="E7" s="281" t="s">
        <v>111</v>
      </c>
      <c r="F7" s="281" t="s">
        <v>117</v>
      </c>
      <c r="G7" s="281" t="s">
        <v>2097</v>
      </c>
      <c r="H7" s="281" t="s">
        <v>2112</v>
      </c>
      <c r="I7" s="281" t="s">
        <v>2113</v>
      </c>
      <c r="J7" s="309" t="s">
        <v>2229</v>
      </c>
      <c r="K7" s="280">
        <v>6</v>
      </c>
      <c r="L7" s="305" t="s">
        <v>762</v>
      </c>
      <c r="M7" s="280" t="s">
        <v>512</v>
      </c>
      <c r="N7" s="307" t="s">
        <v>2156</v>
      </c>
      <c r="O7" s="280"/>
      <c r="R7" s="328">
        <v>7</v>
      </c>
      <c r="S7" s="330" t="s">
        <v>2393</v>
      </c>
      <c r="T7" s="327"/>
      <c r="U7" s="327"/>
      <c r="AA7" s="327"/>
      <c r="AB7" s="327" t="s">
        <v>2441</v>
      </c>
      <c r="AC7" s="327"/>
      <c r="AD7" s="327"/>
      <c r="AE7" s="327"/>
      <c r="AF7" s="327" t="s">
        <v>1080</v>
      </c>
      <c r="AG7" s="327"/>
      <c r="AH7" s="327"/>
    </row>
    <row r="8" spans="1:34" s="230" customFormat="1">
      <c r="A8" s="281">
        <v>1</v>
      </c>
      <c r="B8" s="281">
        <v>1</v>
      </c>
      <c r="C8" s="281" t="s">
        <v>2156</v>
      </c>
      <c r="D8" s="281" t="s">
        <v>470</v>
      </c>
      <c r="E8" s="281" t="s">
        <v>111</v>
      </c>
      <c r="F8" s="281" t="s">
        <v>117</v>
      </c>
      <c r="G8" s="281" t="s">
        <v>2097</v>
      </c>
      <c r="H8" s="281" t="s">
        <v>2112</v>
      </c>
      <c r="I8" s="281" t="s">
        <v>2113</v>
      </c>
      <c r="J8" s="305" t="s">
        <v>2160</v>
      </c>
      <c r="K8" s="280">
        <v>2</v>
      </c>
      <c r="L8" s="305" t="s">
        <v>2144</v>
      </c>
      <c r="M8" s="280" t="s">
        <v>489</v>
      </c>
      <c r="N8" s="307" t="s">
        <v>2156</v>
      </c>
      <c r="O8" s="280"/>
      <c r="R8" s="328">
        <v>8</v>
      </c>
      <c r="S8" s="331" t="s">
        <v>2394</v>
      </c>
      <c r="T8" s="327"/>
      <c r="U8" s="327"/>
      <c r="AA8" s="327"/>
      <c r="AB8" s="327" t="s">
        <v>2439</v>
      </c>
      <c r="AC8" s="327"/>
      <c r="AD8" s="327"/>
      <c r="AE8" s="327"/>
      <c r="AF8" s="327" t="s">
        <v>1081</v>
      </c>
      <c r="AG8" s="327"/>
      <c r="AH8" s="327"/>
    </row>
    <row r="9" spans="1:34" s="230" customFormat="1">
      <c r="A9" s="281">
        <v>1</v>
      </c>
      <c r="B9" s="281">
        <v>1</v>
      </c>
      <c r="C9" s="281" t="s">
        <v>2156</v>
      </c>
      <c r="D9" s="281" t="s">
        <v>470</v>
      </c>
      <c r="E9" s="281" t="s">
        <v>111</v>
      </c>
      <c r="F9" s="281" t="s">
        <v>117</v>
      </c>
      <c r="G9" s="281" t="s">
        <v>2097</v>
      </c>
      <c r="H9" s="281" t="s">
        <v>2112</v>
      </c>
      <c r="I9" s="281" t="s">
        <v>2113</v>
      </c>
      <c r="J9" s="309" t="s">
        <v>2160</v>
      </c>
      <c r="K9" s="280">
        <v>4</v>
      </c>
      <c r="L9" s="305" t="s">
        <v>760</v>
      </c>
      <c r="M9" s="280" t="s">
        <v>512</v>
      </c>
      <c r="N9" s="307" t="s">
        <v>2156</v>
      </c>
      <c r="O9" s="280"/>
      <c r="R9" s="328">
        <v>9</v>
      </c>
      <c r="S9" s="331" t="s">
        <v>2413</v>
      </c>
      <c r="T9" s="327"/>
      <c r="U9" s="327"/>
      <c r="AA9" s="327"/>
      <c r="AB9" s="327" t="s">
        <v>2438</v>
      </c>
      <c r="AC9" s="327"/>
      <c r="AD9" s="327"/>
      <c r="AE9" s="327"/>
      <c r="AF9" s="327" t="s">
        <v>1082</v>
      </c>
      <c r="AG9" s="327"/>
      <c r="AH9" s="327"/>
    </row>
    <row r="10" spans="1:34" s="230" customFormat="1">
      <c r="A10" s="281">
        <v>1</v>
      </c>
      <c r="B10" s="281">
        <v>1</v>
      </c>
      <c r="C10" s="281" t="s">
        <v>2156</v>
      </c>
      <c r="D10" s="281" t="s">
        <v>470</v>
      </c>
      <c r="E10" s="281" t="s">
        <v>111</v>
      </c>
      <c r="F10" s="281" t="s">
        <v>117</v>
      </c>
      <c r="G10" s="281" t="s">
        <v>2097</v>
      </c>
      <c r="H10" s="281" t="s">
        <v>2112</v>
      </c>
      <c r="I10" s="281" t="s">
        <v>2113</v>
      </c>
      <c r="J10" s="305" t="s">
        <v>2156</v>
      </c>
      <c r="K10" s="280">
        <v>1</v>
      </c>
      <c r="L10" s="305" t="s">
        <v>2129</v>
      </c>
      <c r="M10" s="280" t="s">
        <v>489</v>
      </c>
      <c r="N10" s="307" t="s">
        <v>2156</v>
      </c>
      <c r="O10" s="280"/>
      <c r="R10" s="328">
        <v>10</v>
      </c>
      <c r="S10" s="330" t="s">
        <v>2395</v>
      </c>
      <c r="T10" s="327"/>
      <c r="U10" s="327"/>
      <c r="AA10" s="327"/>
      <c r="AB10" s="327" t="s">
        <v>2436</v>
      </c>
      <c r="AC10" s="327"/>
      <c r="AD10" s="327"/>
      <c r="AE10" s="327"/>
      <c r="AF10" s="327" t="s">
        <v>1083</v>
      </c>
      <c r="AG10" s="327"/>
      <c r="AH10" s="327"/>
    </row>
    <row r="11" spans="1:34" s="230" customFormat="1">
      <c r="A11" s="281">
        <v>1</v>
      </c>
      <c r="B11" s="281">
        <v>1</v>
      </c>
      <c r="C11" s="281" t="s">
        <v>2156</v>
      </c>
      <c r="D11" s="280" t="s">
        <v>1683</v>
      </c>
      <c r="E11" s="280" t="s">
        <v>114</v>
      </c>
      <c r="F11" s="280" t="s">
        <v>2092</v>
      </c>
      <c r="G11" s="280" t="s">
        <v>926</v>
      </c>
      <c r="H11" s="280" t="s">
        <v>2112</v>
      </c>
      <c r="I11" s="280" t="s">
        <v>2113</v>
      </c>
      <c r="J11" s="305" t="s">
        <v>2224</v>
      </c>
      <c r="K11" s="280">
        <v>62</v>
      </c>
      <c r="L11" s="305" t="s">
        <v>2138</v>
      </c>
      <c r="M11" s="280" t="s">
        <v>380</v>
      </c>
      <c r="N11" s="307" t="s">
        <v>2156</v>
      </c>
      <c r="O11" s="280"/>
      <c r="R11" s="328">
        <v>11</v>
      </c>
      <c r="S11" s="331" t="s">
        <v>2396</v>
      </c>
      <c r="T11" s="327"/>
      <c r="U11" s="327"/>
      <c r="AA11" s="327"/>
      <c r="AB11" s="327" t="s">
        <v>2437</v>
      </c>
      <c r="AC11" s="327"/>
      <c r="AD11" s="327"/>
      <c r="AE11" s="327"/>
      <c r="AF11" s="327" t="s">
        <v>1084</v>
      </c>
      <c r="AG11" s="327"/>
      <c r="AH11" s="327"/>
    </row>
    <row r="12" spans="1:34" s="230" customFormat="1">
      <c r="A12" s="281">
        <v>1</v>
      </c>
      <c r="B12" s="281">
        <v>1</v>
      </c>
      <c r="C12" s="281" t="s">
        <v>2156</v>
      </c>
      <c r="D12" s="281" t="s">
        <v>1683</v>
      </c>
      <c r="E12" s="281" t="s">
        <v>114</v>
      </c>
      <c r="F12" s="281" t="s">
        <v>2092</v>
      </c>
      <c r="G12" s="281" t="s">
        <v>926</v>
      </c>
      <c r="H12" s="281" t="s">
        <v>2112</v>
      </c>
      <c r="I12" s="281" t="s">
        <v>2113</v>
      </c>
      <c r="J12" s="309" t="s">
        <v>2224</v>
      </c>
      <c r="K12" s="280">
        <v>90</v>
      </c>
      <c r="L12" s="305" t="s">
        <v>895</v>
      </c>
      <c r="M12" s="280" t="s">
        <v>455</v>
      </c>
      <c r="N12" s="307" t="s">
        <v>2156</v>
      </c>
      <c r="O12" s="280"/>
      <c r="R12" s="328">
        <v>12</v>
      </c>
      <c r="S12" s="331" t="s">
        <v>2414</v>
      </c>
      <c r="T12" s="327"/>
      <c r="U12" s="327"/>
      <c r="AA12" s="327"/>
      <c r="AB12" s="327" t="s">
        <v>2433</v>
      </c>
      <c r="AC12" s="327"/>
      <c r="AD12" s="327"/>
      <c r="AE12" s="327"/>
      <c r="AF12" s="327" t="s">
        <v>1085</v>
      </c>
      <c r="AG12" s="327"/>
      <c r="AH12" s="327"/>
    </row>
    <row r="13" spans="1:34" s="230" customFormat="1">
      <c r="A13" s="281">
        <v>1</v>
      </c>
      <c r="B13" s="281">
        <v>1</v>
      </c>
      <c r="C13" s="281" t="s">
        <v>2156</v>
      </c>
      <c r="D13" s="281" t="s">
        <v>1683</v>
      </c>
      <c r="E13" s="281" t="s">
        <v>114</v>
      </c>
      <c r="F13" s="281" t="s">
        <v>2092</v>
      </c>
      <c r="G13" s="281" t="s">
        <v>926</v>
      </c>
      <c r="H13" s="281" t="s">
        <v>2112</v>
      </c>
      <c r="I13" s="281" t="s">
        <v>2113</v>
      </c>
      <c r="J13" s="305" t="s">
        <v>2225</v>
      </c>
      <c r="K13" s="280">
        <v>73</v>
      </c>
      <c r="L13" s="305" t="s">
        <v>2122</v>
      </c>
      <c r="M13" s="280" t="s">
        <v>449</v>
      </c>
      <c r="N13" s="307" t="s">
        <v>2156</v>
      </c>
      <c r="O13" s="280"/>
      <c r="R13" s="328">
        <v>13</v>
      </c>
      <c r="S13" s="330" t="s">
        <v>2397</v>
      </c>
      <c r="T13" s="327"/>
      <c r="U13" s="327"/>
      <c r="AA13" s="327"/>
      <c r="AB13" s="327" t="s">
        <v>2434</v>
      </c>
      <c r="AC13" s="327"/>
      <c r="AD13" s="327"/>
      <c r="AE13" s="327"/>
      <c r="AF13" s="327" t="s">
        <v>2423</v>
      </c>
      <c r="AG13" s="327"/>
      <c r="AH13" s="327"/>
    </row>
    <row r="14" spans="1:34" s="230" customFormat="1">
      <c r="A14" s="281">
        <v>1</v>
      </c>
      <c r="B14" s="281">
        <v>1</v>
      </c>
      <c r="C14" s="281" t="s">
        <v>2156</v>
      </c>
      <c r="D14" s="281" t="s">
        <v>1683</v>
      </c>
      <c r="E14" s="281" t="s">
        <v>114</v>
      </c>
      <c r="F14" s="281" t="s">
        <v>2092</v>
      </c>
      <c r="G14" s="281" t="s">
        <v>926</v>
      </c>
      <c r="H14" s="281" t="s">
        <v>2112</v>
      </c>
      <c r="I14" s="281" t="s">
        <v>2113</v>
      </c>
      <c r="J14" s="305" t="s">
        <v>2226</v>
      </c>
      <c r="K14" s="280">
        <v>60</v>
      </c>
      <c r="L14" s="305" t="s">
        <v>2123</v>
      </c>
      <c r="M14" s="280" t="s">
        <v>380</v>
      </c>
      <c r="N14" s="307" t="s">
        <v>2156</v>
      </c>
      <c r="O14" s="280"/>
      <c r="R14" s="328">
        <v>14</v>
      </c>
      <c r="S14" s="331" t="s">
        <v>2398</v>
      </c>
      <c r="T14" s="327"/>
      <c r="U14" s="327"/>
      <c r="AA14" s="327"/>
      <c r="AB14" s="327" t="s">
        <v>2435</v>
      </c>
      <c r="AC14" s="327"/>
      <c r="AD14" s="327"/>
      <c r="AE14" s="327"/>
      <c r="AF14" s="327" t="s">
        <v>1087</v>
      </c>
      <c r="AG14" s="327"/>
      <c r="AH14" s="327"/>
    </row>
    <row r="15" spans="1:34" s="230" customFormat="1">
      <c r="A15" s="281">
        <v>1</v>
      </c>
      <c r="B15" s="281">
        <v>1</v>
      </c>
      <c r="C15" s="281" t="s">
        <v>2156</v>
      </c>
      <c r="D15" s="281" t="s">
        <v>1683</v>
      </c>
      <c r="E15" s="281" t="s">
        <v>114</v>
      </c>
      <c r="F15" s="281" t="s">
        <v>2092</v>
      </c>
      <c r="G15" s="281" t="s">
        <v>926</v>
      </c>
      <c r="H15" s="281" t="s">
        <v>2112</v>
      </c>
      <c r="I15" s="281" t="s">
        <v>2113</v>
      </c>
      <c r="J15" s="309" t="s">
        <v>2226</v>
      </c>
      <c r="K15" s="280">
        <v>68</v>
      </c>
      <c r="L15" s="305" t="s">
        <v>866</v>
      </c>
      <c r="M15" s="280" t="s">
        <v>443</v>
      </c>
      <c r="N15" s="307" t="s">
        <v>2156</v>
      </c>
      <c r="O15" s="280"/>
      <c r="R15" s="328">
        <v>15</v>
      </c>
      <c r="S15" s="331" t="s">
        <v>2415</v>
      </c>
      <c r="T15" s="327"/>
      <c r="U15" s="327"/>
      <c r="AA15" s="327"/>
      <c r="AB15" s="327" t="s">
        <v>2447</v>
      </c>
      <c r="AC15" s="327"/>
      <c r="AD15" s="327"/>
      <c r="AE15" s="327"/>
      <c r="AF15" s="327" t="s">
        <v>1088</v>
      </c>
      <c r="AG15" s="327"/>
      <c r="AH15" s="327"/>
    </row>
    <row r="16" spans="1:34" s="230" customFormat="1">
      <c r="A16" s="281">
        <v>1</v>
      </c>
      <c r="B16" s="281">
        <v>1</v>
      </c>
      <c r="C16" s="281" t="s">
        <v>2156</v>
      </c>
      <c r="D16" s="281" t="s">
        <v>1683</v>
      </c>
      <c r="E16" s="281" t="s">
        <v>114</v>
      </c>
      <c r="F16" s="281" t="s">
        <v>2092</v>
      </c>
      <c r="G16" s="281" t="s">
        <v>926</v>
      </c>
      <c r="H16" s="281" t="s">
        <v>2112</v>
      </c>
      <c r="I16" s="281" t="s">
        <v>2113</v>
      </c>
      <c r="J16" s="305" t="s">
        <v>2228</v>
      </c>
      <c r="K16" s="280">
        <v>59</v>
      </c>
      <c r="L16" s="305" t="s">
        <v>2142</v>
      </c>
      <c r="M16" s="280" t="s">
        <v>380</v>
      </c>
      <c r="N16" s="307" t="s">
        <v>2156</v>
      </c>
      <c r="O16" s="280"/>
      <c r="R16" s="328">
        <v>16</v>
      </c>
      <c r="S16" s="330" t="s">
        <v>2399</v>
      </c>
      <c r="T16" s="327"/>
      <c r="U16" s="327"/>
      <c r="AA16" s="327"/>
      <c r="AB16" s="327" t="s">
        <v>2446</v>
      </c>
      <c r="AC16" s="327"/>
      <c r="AD16" s="327"/>
      <c r="AE16" s="327"/>
      <c r="AF16" s="327" t="s">
        <v>1089</v>
      </c>
      <c r="AG16" s="327"/>
      <c r="AH16" s="327"/>
    </row>
    <row r="17" spans="1:34" s="230" customFormat="1">
      <c r="A17" s="281">
        <v>1</v>
      </c>
      <c r="B17" s="281">
        <v>1</v>
      </c>
      <c r="C17" s="281" t="s">
        <v>2156</v>
      </c>
      <c r="D17" s="281" t="s">
        <v>1683</v>
      </c>
      <c r="E17" s="281" t="s">
        <v>114</v>
      </c>
      <c r="F17" s="281" t="s">
        <v>2092</v>
      </c>
      <c r="G17" s="281" t="s">
        <v>926</v>
      </c>
      <c r="H17" s="281" t="s">
        <v>2112</v>
      </c>
      <c r="I17" s="281" t="s">
        <v>2113</v>
      </c>
      <c r="J17" s="309" t="s">
        <v>2228</v>
      </c>
      <c r="K17" s="280">
        <v>67</v>
      </c>
      <c r="L17" s="305" t="s">
        <v>865</v>
      </c>
      <c r="M17" s="280" t="s">
        <v>443</v>
      </c>
      <c r="N17" s="307" t="s">
        <v>2156</v>
      </c>
      <c r="O17" s="280"/>
      <c r="R17" s="328">
        <v>17</v>
      </c>
      <c r="S17" s="331" t="s">
        <v>2400</v>
      </c>
      <c r="T17" s="327"/>
      <c r="U17" s="327"/>
      <c r="AA17" s="327"/>
      <c r="AB17" s="327" t="s">
        <v>2445</v>
      </c>
      <c r="AC17" s="327"/>
      <c r="AD17" s="327"/>
      <c r="AE17" s="327"/>
      <c r="AF17" s="327" t="s">
        <v>1090</v>
      </c>
      <c r="AG17" s="327"/>
      <c r="AH17" s="327"/>
    </row>
    <row r="18" spans="1:34" s="230" customFormat="1">
      <c r="A18" s="281">
        <v>1</v>
      </c>
      <c r="B18" s="281">
        <v>1</v>
      </c>
      <c r="C18" s="281" t="s">
        <v>2156</v>
      </c>
      <c r="D18" s="281" t="s">
        <v>1683</v>
      </c>
      <c r="E18" s="281" t="s">
        <v>114</v>
      </c>
      <c r="F18" s="281" t="s">
        <v>2092</v>
      </c>
      <c r="G18" s="281" t="s">
        <v>926</v>
      </c>
      <c r="H18" s="281" t="s">
        <v>2112</v>
      </c>
      <c r="I18" s="281" t="s">
        <v>2113</v>
      </c>
      <c r="J18" s="309" t="s">
        <v>2228</v>
      </c>
      <c r="K18" s="280">
        <v>89</v>
      </c>
      <c r="L18" s="305" t="s">
        <v>894</v>
      </c>
      <c r="M18" s="280" t="s">
        <v>455</v>
      </c>
      <c r="N18" s="307" t="s">
        <v>2156</v>
      </c>
      <c r="O18" s="280"/>
      <c r="R18" s="328">
        <v>18</v>
      </c>
      <c r="S18" s="331" t="s">
        <v>2416</v>
      </c>
      <c r="T18" s="327"/>
      <c r="U18" s="327"/>
      <c r="AA18" s="327"/>
      <c r="AB18" s="327" t="s">
        <v>2443</v>
      </c>
      <c r="AC18" s="327"/>
      <c r="AD18" s="327"/>
      <c r="AE18" s="327"/>
      <c r="AF18" s="327" t="s">
        <v>1091</v>
      </c>
      <c r="AG18" s="327"/>
      <c r="AH18" s="327"/>
    </row>
    <row r="19" spans="1:34" s="230" customFormat="1">
      <c r="A19" s="281">
        <v>1</v>
      </c>
      <c r="B19" s="281">
        <v>1</v>
      </c>
      <c r="C19" s="281" t="s">
        <v>2156</v>
      </c>
      <c r="D19" s="281" t="s">
        <v>1683</v>
      </c>
      <c r="E19" s="281" t="s">
        <v>114</v>
      </c>
      <c r="F19" s="281" t="s">
        <v>2092</v>
      </c>
      <c r="G19" s="281" t="s">
        <v>926</v>
      </c>
      <c r="H19" s="281" t="s">
        <v>2112</v>
      </c>
      <c r="I19" s="281" t="s">
        <v>2113</v>
      </c>
      <c r="J19" s="305" t="s">
        <v>2229</v>
      </c>
      <c r="K19" s="280">
        <v>82</v>
      </c>
      <c r="L19" s="305" t="s">
        <v>884</v>
      </c>
      <c r="M19" s="280" t="s">
        <v>430</v>
      </c>
      <c r="N19" s="307" t="s">
        <v>2156</v>
      </c>
      <c r="O19" s="280"/>
      <c r="R19" s="328">
        <v>19</v>
      </c>
      <c r="S19" s="331"/>
      <c r="T19" s="327"/>
      <c r="U19" s="327"/>
      <c r="AA19" s="327"/>
      <c r="AB19" s="327" t="s">
        <v>2442</v>
      </c>
      <c r="AC19" s="327"/>
      <c r="AD19" s="327"/>
      <c r="AE19" s="327"/>
      <c r="AF19" s="327" t="s">
        <v>1092</v>
      </c>
      <c r="AG19" s="327"/>
      <c r="AH19" s="327"/>
    </row>
    <row r="20" spans="1:34" s="230" customFormat="1">
      <c r="A20" s="281">
        <v>1</v>
      </c>
      <c r="B20" s="281">
        <v>1</v>
      </c>
      <c r="C20" s="281" t="s">
        <v>2156</v>
      </c>
      <c r="D20" s="281" t="s">
        <v>1683</v>
      </c>
      <c r="E20" s="281" t="s">
        <v>114</v>
      </c>
      <c r="F20" s="281" t="s">
        <v>2092</v>
      </c>
      <c r="G20" s="281" t="s">
        <v>926</v>
      </c>
      <c r="H20" s="281" t="s">
        <v>2112</v>
      </c>
      <c r="I20" s="281" t="s">
        <v>2113</v>
      </c>
      <c r="J20" s="305" t="s">
        <v>2233</v>
      </c>
      <c r="K20" s="280">
        <v>91</v>
      </c>
      <c r="L20" s="305" t="s">
        <v>896</v>
      </c>
      <c r="M20" s="280" t="s">
        <v>455</v>
      </c>
      <c r="N20" s="307" t="s">
        <v>2156</v>
      </c>
      <c r="O20" s="280"/>
      <c r="R20" s="328">
        <v>20</v>
      </c>
      <c r="S20" s="329" t="s">
        <v>2401</v>
      </c>
      <c r="T20" s="327"/>
      <c r="U20" s="327"/>
      <c r="AA20" s="327" t="s">
        <v>2420</v>
      </c>
      <c r="AB20" s="327" t="s">
        <v>2448</v>
      </c>
      <c r="AC20" s="327"/>
      <c r="AD20" s="327"/>
      <c r="AE20" s="327"/>
      <c r="AF20" s="327"/>
      <c r="AG20" s="327"/>
      <c r="AH20" s="327"/>
    </row>
    <row r="21" spans="1:34" s="230" customFormat="1">
      <c r="A21" s="281">
        <v>1</v>
      </c>
      <c r="B21" s="281">
        <v>1</v>
      </c>
      <c r="C21" s="281" t="s">
        <v>2156</v>
      </c>
      <c r="D21" s="281" t="s">
        <v>1683</v>
      </c>
      <c r="E21" s="281" t="s">
        <v>114</v>
      </c>
      <c r="F21" s="281" t="s">
        <v>2092</v>
      </c>
      <c r="G21" s="281" t="s">
        <v>926</v>
      </c>
      <c r="H21" s="281" t="s">
        <v>2112</v>
      </c>
      <c r="I21" s="281" t="s">
        <v>2113</v>
      </c>
      <c r="J21" s="305" t="s">
        <v>2235</v>
      </c>
      <c r="K21" s="280">
        <v>83</v>
      </c>
      <c r="L21" s="305" t="s">
        <v>885</v>
      </c>
      <c r="M21" s="280" t="s">
        <v>430</v>
      </c>
      <c r="N21" s="307" t="s">
        <v>2156</v>
      </c>
      <c r="O21" s="280"/>
      <c r="R21" s="328">
        <v>21</v>
      </c>
      <c r="S21" s="332" t="s">
        <v>2402</v>
      </c>
      <c r="T21" s="327"/>
      <c r="U21" s="327"/>
      <c r="AA21" s="327"/>
      <c r="AB21" s="327" t="s">
        <v>2449</v>
      </c>
      <c r="AC21" s="327"/>
      <c r="AD21" s="327"/>
      <c r="AE21" s="327"/>
      <c r="AF21" s="327" t="s">
        <v>2431</v>
      </c>
      <c r="AG21" s="327"/>
      <c r="AH21" s="327"/>
    </row>
    <row r="22" spans="1:34" s="230" customFormat="1">
      <c r="A22" s="281">
        <v>1</v>
      </c>
      <c r="B22" s="281">
        <v>1</v>
      </c>
      <c r="C22" s="281" t="s">
        <v>2156</v>
      </c>
      <c r="D22" s="281" t="s">
        <v>1683</v>
      </c>
      <c r="E22" s="280" t="s">
        <v>123</v>
      </c>
      <c r="F22" s="280" t="s">
        <v>2094</v>
      </c>
      <c r="G22" s="280" t="s">
        <v>926</v>
      </c>
      <c r="H22" s="280" t="s">
        <v>2112</v>
      </c>
      <c r="I22" s="280" t="s">
        <v>2113</v>
      </c>
      <c r="J22" s="305" t="s">
        <v>2227</v>
      </c>
      <c r="K22" s="280">
        <v>86</v>
      </c>
      <c r="L22" s="305" t="s">
        <v>890</v>
      </c>
      <c r="M22" s="280" t="s">
        <v>2102</v>
      </c>
      <c r="N22" s="307" t="s">
        <v>2156</v>
      </c>
      <c r="O22" s="280"/>
      <c r="R22" s="328">
        <v>22</v>
      </c>
      <c r="S22" s="332" t="s">
        <v>2403</v>
      </c>
      <c r="T22" s="327"/>
      <c r="U22" s="327"/>
      <c r="AA22" s="327"/>
      <c r="AB22" s="327" t="s">
        <v>2450</v>
      </c>
      <c r="AC22" s="327"/>
      <c r="AD22" s="327"/>
      <c r="AE22" s="327"/>
      <c r="AF22" s="327" t="s">
        <v>2425</v>
      </c>
      <c r="AG22" s="327"/>
      <c r="AH22" s="327"/>
    </row>
    <row r="23" spans="1:34" s="230" customFormat="1">
      <c r="A23" s="281">
        <v>1</v>
      </c>
      <c r="B23" s="281">
        <v>1</v>
      </c>
      <c r="C23" s="281" t="s">
        <v>2156</v>
      </c>
      <c r="D23" s="281" t="s">
        <v>1683</v>
      </c>
      <c r="E23" s="280" t="s">
        <v>111</v>
      </c>
      <c r="F23" s="280" t="s">
        <v>2093</v>
      </c>
      <c r="G23" s="280" t="s">
        <v>2095</v>
      </c>
      <c r="H23" s="280" t="s">
        <v>2112</v>
      </c>
      <c r="I23" s="280" t="s">
        <v>2113</v>
      </c>
      <c r="J23" s="305" t="s">
        <v>2230</v>
      </c>
      <c r="K23" s="280">
        <v>29</v>
      </c>
      <c r="L23" s="305" t="s">
        <v>2167</v>
      </c>
      <c r="M23" s="280" t="s">
        <v>415</v>
      </c>
      <c r="N23" s="307" t="s">
        <v>2156</v>
      </c>
      <c r="O23" s="280"/>
      <c r="R23" s="328">
        <v>23</v>
      </c>
      <c r="S23" s="332" t="s">
        <v>2404</v>
      </c>
      <c r="T23" s="327"/>
      <c r="U23" s="327"/>
      <c r="AA23" s="327"/>
      <c r="AB23" s="327" t="s">
        <v>2451</v>
      </c>
      <c r="AC23" s="327"/>
      <c r="AD23" s="327"/>
      <c r="AE23" s="327"/>
      <c r="AF23" s="327" t="s">
        <v>2426</v>
      </c>
      <c r="AG23" s="327"/>
      <c r="AH23" s="327"/>
    </row>
    <row r="24" spans="1:34" s="230" customFormat="1">
      <c r="A24" s="281">
        <v>1</v>
      </c>
      <c r="B24" s="281">
        <v>1</v>
      </c>
      <c r="C24" s="281" t="s">
        <v>2156</v>
      </c>
      <c r="D24" s="281" t="s">
        <v>1683</v>
      </c>
      <c r="E24" s="280" t="s">
        <v>2089</v>
      </c>
      <c r="F24" s="280" t="s">
        <v>2090</v>
      </c>
      <c r="G24" s="280" t="s">
        <v>926</v>
      </c>
      <c r="H24" s="280" t="s">
        <v>2112</v>
      </c>
      <c r="I24" s="280" t="s">
        <v>2113</v>
      </c>
      <c r="J24" s="305" t="s">
        <v>2224</v>
      </c>
      <c r="K24" s="280">
        <v>57</v>
      </c>
      <c r="L24" s="305" t="s">
        <v>849</v>
      </c>
      <c r="M24" s="280" t="s">
        <v>2100</v>
      </c>
      <c r="N24" s="307" t="s">
        <v>2156</v>
      </c>
      <c r="O24" s="280"/>
      <c r="R24" s="328">
        <v>24</v>
      </c>
      <c r="S24" s="327" t="s">
        <v>2405</v>
      </c>
      <c r="T24" s="327"/>
      <c r="U24" s="327"/>
      <c r="AA24" s="327"/>
      <c r="AB24" s="327" t="s">
        <v>2452</v>
      </c>
      <c r="AC24" s="327"/>
      <c r="AD24" s="327"/>
      <c r="AE24" s="327"/>
      <c r="AF24" s="327" t="s">
        <v>2427</v>
      </c>
      <c r="AG24" s="327"/>
      <c r="AH24" s="327"/>
    </row>
    <row r="25" spans="1:34" s="230" customFormat="1">
      <c r="A25" s="281">
        <v>1</v>
      </c>
      <c r="B25" s="281">
        <v>1</v>
      </c>
      <c r="C25" s="281" t="s">
        <v>2156</v>
      </c>
      <c r="D25" s="281" t="s">
        <v>1683</v>
      </c>
      <c r="E25" s="281" t="s">
        <v>2089</v>
      </c>
      <c r="F25" s="281" t="s">
        <v>2090</v>
      </c>
      <c r="G25" s="281" t="s">
        <v>926</v>
      </c>
      <c r="H25" s="281" t="s">
        <v>2112</v>
      </c>
      <c r="I25" s="281" t="s">
        <v>2113</v>
      </c>
      <c r="J25" s="305" t="s">
        <v>2233</v>
      </c>
      <c r="K25" s="280">
        <v>50</v>
      </c>
      <c r="L25" s="305" t="s">
        <v>842</v>
      </c>
      <c r="M25" s="280" t="s">
        <v>464</v>
      </c>
      <c r="N25" s="307" t="s">
        <v>2156</v>
      </c>
      <c r="O25" s="280"/>
      <c r="R25" s="328">
        <v>25</v>
      </c>
      <c r="S25" s="330" t="s">
        <v>2406</v>
      </c>
      <c r="T25" s="327"/>
      <c r="U25" s="327"/>
      <c r="AA25" s="327" t="s">
        <v>2432</v>
      </c>
      <c r="AB25" s="327" t="s">
        <v>2453</v>
      </c>
      <c r="AC25" s="327"/>
      <c r="AD25" s="327"/>
      <c r="AE25" s="327"/>
      <c r="AF25" s="327" t="s">
        <v>2428</v>
      </c>
      <c r="AG25" s="327"/>
      <c r="AH25" s="327"/>
    </row>
    <row r="26" spans="1:34" s="230" customFormat="1">
      <c r="A26" s="281">
        <v>1</v>
      </c>
      <c r="B26" s="281">
        <v>1</v>
      </c>
      <c r="C26" s="281" t="s">
        <v>2156</v>
      </c>
      <c r="D26" s="281" t="s">
        <v>1683</v>
      </c>
      <c r="E26" s="281" t="s">
        <v>2089</v>
      </c>
      <c r="F26" s="281" t="s">
        <v>2090</v>
      </c>
      <c r="G26" s="281" t="s">
        <v>926</v>
      </c>
      <c r="H26" s="281" t="s">
        <v>2112</v>
      </c>
      <c r="I26" s="281" t="s">
        <v>2113</v>
      </c>
      <c r="J26" s="309" t="s">
        <v>2233</v>
      </c>
      <c r="K26" s="280">
        <v>56</v>
      </c>
      <c r="L26" s="305" t="s">
        <v>848</v>
      </c>
      <c r="M26" s="280" t="s">
        <v>2100</v>
      </c>
      <c r="N26" s="307" t="s">
        <v>2156</v>
      </c>
      <c r="O26" s="280"/>
      <c r="R26" s="328">
        <v>26</v>
      </c>
      <c r="S26" s="327"/>
      <c r="T26" s="327"/>
      <c r="U26" s="327"/>
      <c r="AA26" s="327"/>
      <c r="AB26" s="327" t="s">
        <v>2454</v>
      </c>
      <c r="AC26" s="327"/>
      <c r="AD26" s="327"/>
      <c r="AE26" s="327"/>
      <c r="AF26" s="327" t="s">
        <v>2429</v>
      </c>
      <c r="AG26" s="327"/>
      <c r="AH26" s="327"/>
    </row>
    <row r="27" spans="1:34" s="230" customFormat="1">
      <c r="A27" s="281">
        <v>1</v>
      </c>
      <c r="B27" s="281">
        <v>1</v>
      </c>
      <c r="C27" s="281" t="s">
        <v>2156</v>
      </c>
      <c r="D27" s="281" t="s">
        <v>1683</v>
      </c>
      <c r="E27" s="281" t="s">
        <v>2089</v>
      </c>
      <c r="F27" s="281" t="s">
        <v>2090</v>
      </c>
      <c r="G27" s="281" t="s">
        <v>926</v>
      </c>
      <c r="H27" s="281" t="s">
        <v>2112</v>
      </c>
      <c r="I27" s="281" t="s">
        <v>2113</v>
      </c>
      <c r="J27" s="309" t="s">
        <v>2233</v>
      </c>
      <c r="K27" s="280">
        <v>58</v>
      </c>
      <c r="L27" s="305" t="s">
        <v>851</v>
      </c>
      <c r="M27" s="280" t="s">
        <v>395</v>
      </c>
      <c r="N27" s="307" t="s">
        <v>2156</v>
      </c>
      <c r="O27" s="280"/>
      <c r="R27" s="328">
        <v>27</v>
      </c>
      <c r="S27" s="330" t="s">
        <v>2338</v>
      </c>
      <c r="T27" s="327"/>
      <c r="U27" s="327"/>
      <c r="AA27" s="327"/>
      <c r="AB27" s="327" t="s">
        <v>2455</v>
      </c>
      <c r="AC27" s="327"/>
      <c r="AD27" s="327"/>
      <c r="AE27" s="327"/>
      <c r="AF27" s="327" t="s">
        <v>2430</v>
      </c>
      <c r="AG27" s="327"/>
      <c r="AH27" s="327"/>
    </row>
    <row r="28" spans="1:34" s="230" customFormat="1">
      <c r="A28" s="281">
        <v>1</v>
      </c>
      <c r="B28" s="280" t="s">
        <v>2156</v>
      </c>
      <c r="C28" s="280">
        <v>1</v>
      </c>
      <c r="D28" s="280" t="s">
        <v>470</v>
      </c>
      <c r="E28" s="280" t="s">
        <v>111</v>
      </c>
      <c r="F28" s="280" t="s">
        <v>2093</v>
      </c>
      <c r="G28" s="280" t="s">
        <v>2099</v>
      </c>
      <c r="H28" s="280" t="s">
        <v>2112</v>
      </c>
      <c r="I28" s="280" t="s">
        <v>2115</v>
      </c>
      <c r="J28" s="305" t="s">
        <v>2240</v>
      </c>
      <c r="K28" s="280">
        <v>376</v>
      </c>
      <c r="L28" s="305" t="s">
        <v>350</v>
      </c>
      <c r="M28" s="280" t="s">
        <v>501</v>
      </c>
      <c r="N28" s="307" t="s">
        <v>2200</v>
      </c>
      <c r="O28" s="280"/>
      <c r="R28" s="328">
        <v>28</v>
      </c>
      <c r="S28" s="329" t="s">
        <v>2339</v>
      </c>
      <c r="T28" s="327"/>
      <c r="U28" s="327"/>
      <c r="AA28" s="327"/>
      <c r="AB28" s="327"/>
      <c r="AC28" s="327"/>
      <c r="AD28" s="327"/>
      <c r="AE28" s="327"/>
      <c r="AF28" s="327"/>
      <c r="AG28" s="327"/>
      <c r="AH28" s="327"/>
    </row>
    <row r="29" spans="1:34" s="230" customFormat="1">
      <c r="A29" s="281">
        <v>1</v>
      </c>
      <c r="B29" s="281" t="s">
        <v>2156</v>
      </c>
      <c r="C29" s="281">
        <v>1</v>
      </c>
      <c r="D29" s="280" t="s">
        <v>1752</v>
      </c>
      <c r="E29" s="280" t="s">
        <v>111</v>
      </c>
      <c r="F29" s="280" t="s">
        <v>117</v>
      </c>
      <c r="G29" s="280" t="s">
        <v>2098</v>
      </c>
      <c r="H29" s="280" t="s">
        <v>2112</v>
      </c>
      <c r="I29" s="280" t="s">
        <v>2113</v>
      </c>
      <c r="J29" s="305" t="s">
        <v>1660</v>
      </c>
      <c r="K29" s="280">
        <v>15</v>
      </c>
      <c r="L29" s="305" t="s">
        <v>2134</v>
      </c>
      <c r="M29" s="280" t="s">
        <v>478</v>
      </c>
      <c r="N29" s="307" t="s">
        <v>2156</v>
      </c>
      <c r="O29" s="280"/>
      <c r="R29" s="328">
        <v>29</v>
      </c>
      <c r="S29" s="330" t="s">
        <v>2340</v>
      </c>
      <c r="T29" s="327"/>
      <c r="U29" s="327"/>
      <c r="AA29" s="327" t="s">
        <v>2457</v>
      </c>
      <c r="AB29" s="327"/>
      <c r="AC29" s="327"/>
      <c r="AD29" s="327"/>
      <c r="AE29" s="327"/>
      <c r="AF29" s="327"/>
      <c r="AG29" s="327"/>
      <c r="AH29" s="327"/>
    </row>
    <row r="30" spans="1:34" s="230" customFormat="1">
      <c r="A30" s="281">
        <v>1</v>
      </c>
      <c r="B30" s="281" t="s">
        <v>2156</v>
      </c>
      <c r="C30" s="280" t="s">
        <v>2156</v>
      </c>
      <c r="D30" s="280" t="s">
        <v>470</v>
      </c>
      <c r="E30" s="280" t="s">
        <v>108</v>
      </c>
      <c r="F30" s="280" t="s">
        <v>2091</v>
      </c>
      <c r="G30" s="280" t="s">
        <v>926</v>
      </c>
      <c r="H30" s="280" t="s">
        <v>2112</v>
      </c>
      <c r="I30" s="280" t="s">
        <v>2113</v>
      </c>
      <c r="J30" s="305" t="s">
        <v>2231</v>
      </c>
      <c r="K30" s="280">
        <v>39</v>
      </c>
      <c r="L30" s="305" t="s">
        <v>2140</v>
      </c>
      <c r="M30" s="280" t="s">
        <v>541</v>
      </c>
      <c r="N30" s="307" t="s">
        <v>2156</v>
      </c>
      <c r="O30" s="280"/>
      <c r="R30" s="328">
        <v>30</v>
      </c>
      <c r="S30" s="332" t="s">
        <v>2341</v>
      </c>
      <c r="T30" s="327"/>
      <c r="U30" s="327"/>
      <c r="AA30" s="331" t="s">
        <v>2468</v>
      </c>
      <c r="AB30" s="327"/>
      <c r="AC30" s="327"/>
      <c r="AD30" s="327" t="s">
        <v>2465</v>
      </c>
      <c r="AE30" s="327"/>
      <c r="AF30" s="327"/>
      <c r="AG30" s="327"/>
      <c r="AH30" s="327"/>
    </row>
    <row r="31" spans="1:34" s="230" customFormat="1">
      <c r="A31" s="281">
        <v>1</v>
      </c>
      <c r="B31" s="281" t="s">
        <v>2156</v>
      </c>
      <c r="C31" s="281" t="s">
        <v>2156</v>
      </c>
      <c r="D31" s="281" t="s">
        <v>470</v>
      </c>
      <c r="E31" s="281" t="s">
        <v>108</v>
      </c>
      <c r="F31" s="281" t="s">
        <v>2091</v>
      </c>
      <c r="G31" s="281" t="s">
        <v>926</v>
      </c>
      <c r="H31" s="281" t="s">
        <v>2112</v>
      </c>
      <c r="I31" s="281" t="s">
        <v>2113</v>
      </c>
      <c r="J31" s="305" t="s">
        <v>2233</v>
      </c>
      <c r="K31" s="280">
        <v>47</v>
      </c>
      <c r="L31" s="305" t="s">
        <v>2121</v>
      </c>
      <c r="M31" s="280" t="s">
        <v>535</v>
      </c>
      <c r="N31" s="307" t="s">
        <v>2156</v>
      </c>
      <c r="O31" s="280"/>
      <c r="R31" s="328">
        <v>31</v>
      </c>
      <c r="S31" s="333" t="s">
        <v>2342</v>
      </c>
      <c r="T31" s="327"/>
      <c r="U31" s="327"/>
      <c r="AA31" s="333" t="s">
        <v>2456</v>
      </c>
      <c r="AB31" s="327"/>
      <c r="AC31" s="327"/>
      <c r="AD31" s="327" t="s">
        <v>2466</v>
      </c>
      <c r="AE31" s="327"/>
      <c r="AF31" s="327"/>
      <c r="AG31" s="327"/>
      <c r="AH31" s="327"/>
    </row>
    <row r="32" spans="1:34" s="230" customFormat="1">
      <c r="A32" s="281">
        <v>1</v>
      </c>
      <c r="B32" s="281" t="s">
        <v>2156</v>
      </c>
      <c r="C32" s="281" t="s">
        <v>2156</v>
      </c>
      <c r="D32" s="281" t="s">
        <v>470</v>
      </c>
      <c r="E32" s="281" t="s">
        <v>108</v>
      </c>
      <c r="F32" s="281" t="s">
        <v>2091</v>
      </c>
      <c r="G32" s="281" t="s">
        <v>926</v>
      </c>
      <c r="H32" s="281" t="s">
        <v>2112</v>
      </c>
      <c r="I32" s="281" t="s">
        <v>2113</v>
      </c>
      <c r="J32" s="305" t="s">
        <v>2234</v>
      </c>
      <c r="K32" s="280">
        <v>38</v>
      </c>
      <c r="L32" s="305" t="s">
        <v>2139</v>
      </c>
      <c r="M32" s="280" t="s">
        <v>541</v>
      </c>
      <c r="N32" s="307" t="s">
        <v>2156</v>
      </c>
      <c r="O32" s="280"/>
      <c r="R32" s="328">
        <v>32</v>
      </c>
      <c r="S32" s="332" t="s">
        <v>2343</v>
      </c>
      <c r="T32" s="327"/>
      <c r="U32" s="327"/>
      <c r="AA32" s="333" t="s">
        <v>2458</v>
      </c>
      <c r="AB32" s="327"/>
      <c r="AC32" s="327"/>
      <c r="AD32" s="327" t="s">
        <v>2467</v>
      </c>
      <c r="AE32" s="327"/>
      <c r="AF32" s="327"/>
      <c r="AG32" s="327"/>
      <c r="AH32" s="327"/>
    </row>
    <row r="33" spans="1:34" s="230" customFormat="1">
      <c r="A33" s="281">
        <v>1</v>
      </c>
      <c r="B33" s="281" t="s">
        <v>2156</v>
      </c>
      <c r="C33" s="281" t="s">
        <v>2156</v>
      </c>
      <c r="D33" s="281" t="s">
        <v>470</v>
      </c>
      <c r="E33" s="281" t="s">
        <v>108</v>
      </c>
      <c r="F33" s="281" t="s">
        <v>2091</v>
      </c>
      <c r="G33" s="281" t="s">
        <v>926</v>
      </c>
      <c r="H33" s="281" t="s">
        <v>2112</v>
      </c>
      <c r="I33" s="281" t="s">
        <v>2113</v>
      </c>
      <c r="J33" s="305" t="s">
        <v>2171</v>
      </c>
      <c r="K33" s="280">
        <v>41</v>
      </c>
      <c r="L33" s="305" t="s">
        <v>828</v>
      </c>
      <c r="M33" s="280" t="s">
        <v>547</v>
      </c>
      <c r="N33" s="307" t="s">
        <v>2156</v>
      </c>
      <c r="O33" s="280"/>
      <c r="R33" s="328">
        <v>33</v>
      </c>
      <c r="S33" s="333" t="s">
        <v>2344</v>
      </c>
      <c r="T33" s="327"/>
      <c r="U33" s="327"/>
      <c r="AA33" s="333" t="s">
        <v>2459</v>
      </c>
      <c r="AB33" s="327"/>
      <c r="AC33" s="327"/>
      <c r="AD33" s="327" t="s">
        <v>2480</v>
      </c>
      <c r="AE33" s="327"/>
      <c r="AF33" s="327"/>
      <c r="AG33" s="327"/>
      <c r="AH33" s="327"/>
    </row>
    <row r="34" spans="1:34" s="230" customFormat="1">
      <c r="A34" s="281">
        <v>1</v>
      </c>
      <c r="B34" s="281" t="s">
        <v>2156</v>
      </c>
      <c r="C34" s="281" t="s">
        <v>2156</v>
      </c>
      <c r="D34" s="281" t="s">
        <v>470</v>
      </c>
      <c r="E34" s="281" t="s">
        <v>108</v>
      </c>
      <c r="F34" s="281" t="s">
        <v>2091</v>
      </c>
      <c r="G34" s="281" t="s">
        <v>926</v>
      </c>
      <c r="H34" s="281" t="s">
        <v>2112</v>
      </c>
      <c r="I34" s="281" t="s">
        <v>2113</v>
      </c>
      <c r="J34" s="305" t="s">
        <v>2156</v>
      </c>
      <c r="K34" s="280">
        <v>45</v>
      </c>
      <c r="L34" s="305" t="s">
        <v>835</v>
      </c>
      <c r="M34" s="280" t="s">
        <v>547</v>
      </c>
      <c r="N34" s="307" t="s">
        <v>2156</v>
      </c>
      <c r="O34" s="280"/>
      <c r="R34" s="328">
        <v>34</v>
      </c>
      <c r="S34" s="332" t="s">
        <v>2345</v>
      </c>
      <c r="T34" s="327"/>
      <c r="U34" s="327"/>
      <c r="AA34" s="331" t="s">
        <v>2481</v>
      </c>
      <c r="AB34" s="327"/>
      <c r="AC34" s="327"/>
      <c r="AD34" s="327" t="s">
        <v>2479</v>
      </c>
      <c r="AE34" s="327"/>
      <c r="AF34" s="327"/>
      <c r="AG34" s="327"/>
      <c r="AH34" s="327"/>
    </row>
    <row r="35" spans="1:34" s="230" customFormat="1">
      <c r="A35" s="281">
        <v>1</v>
      </c>
      <c r="B35" s="281" t="s">
        <v>2156</v>
      </c>
      <c r="C35" s="281" t="s">
        <v>2156</v>
      </c>
      <c r="D35" s="281" t="s">
        <v>470</v>
      </c>
      <c r="E35" s="281" t="s">
        <v>108</v>
      </c>
      <c r="F35" s="281" t="s">
        <v>2091</v>
      </c>
      <c r="G35" s="281" t="s">
        <v>926</v>
      </c>
      <c r="H35" s="281" t="s">
        <v>2112</v>
      </c>
      <c r="I35" s="281" t="s">
        <v>2113</v>
      </c>
      <c r="J35" s="309" t="s">
        <v>2156</v>
      </c>
      <c r="K35" s="280">
        <v>46</v>
      </c>
      <c r="L35" s="305" t="s">
        <v>836</v>
      </c>
      <c r="M35" s="280" t="s">
        <v>547</v>
      </c>
      <c r="N35" s="307" t="s">
        <v>2156</v>
      </c>
      <c r="O35" s="280"/>
      <c r="R35" s="328">
        <v>35</v>
      </c>
      <c r="S35" s="333" t="s">
        <v>2346</v>
      </c>
      <c r="T35" s="327"/>
      <c r="U35" s="327"/>
      <c r="AA35" s="333" t="s">
        <v>2460</v>
      </c>
      <c r="AB35" s="327"/>
      <c r="AC35" s="327"/>
      <c r="AD35" s="327"/>
      <c r="AE35" s="327"/>
      <c r="AF35" s="327"/>
      <c r="AG35" s="327"/>
      <c r="AH35" s="327"/>
    </row>
    <row r="36" spans="1:34" s="230" customFormat="1">
      <c r="A36" s="281">
        <v>1</v>
      </c>
      <c r="B36" s="281" t="s">
        <v>2156</v>
      </c>
      <c r="C36" s="281" t="s">
        <v>2156</v>
      </c>
      <c r="D36" s="281" t="s">
        <v>470</v>
      </c>
      <c r="E36" s="281" t="s">
        <v>108</v>
      </c>
      <c r="F36" s="281" t="s">
        <v>2091</v>
      </c>
      <c r="G36" s="281" t="s">
        <v>926</v>
      </c>
      <c r="H36" s="281" t="s">
        <v>2112</v>
      </c>
      <c r="I36" s="281" t="s">
        <v>2113</v>
      </c>
      <c r="J36" s="309" t="s">
        <v>2156</v>
      </c>
      <c r="K36" s="280">
        <v>48</v>
      </c>
      <c r="L36" s="305" t="s">
        <v>2146</v>
      </c>
      <c r="M36" s="280" t="s">
        <v>535</v>
      </c>
      <c r="N36" s="307" t="s">
        <v>2156</v>
      </c>
      <c r="O36" s="280"/>
      <c r="R36" s="328">
        <v>36</v>
      </c>
      <c r="S36" s="332" t="s">
        <v>2347</v>
      </c>
      <c r="T36" s="327"/>
      <c r="U36" s="327"/>
      <c r="AA36" s="333" t="s">
        <v>2461</v>
      </c>
      <c r="AB36" s="327"/>
      <c r="AC36" s="327"/>
      <c r="AD36" s="327"/>
      <c r="AE36" s="327"/>
      <c r="AF36" s="327"/>
      <c r="AG36" s="327"/>
      <c r="AH36" s="327"/>
    </row>
    <row r="37" spans="1:34" s="230" customFormat="1">
      <c r="A37" s="281">
        <v>1</v>
      </c>
      <c r="B37" s="281" t="s">
        <v>2156</v>
      </c>
      <c r="C37" s="281" t="s">
        <v>2156</v>
      </c>
      <c r="D37" s="281" t="s">
        <v>470</v>
      </c>
      <c r="E37" s="280" t="s">
        <v>111</v>
      </c>
      <c r="F37" s="280" t="s">
        <v>117</v>
      </c>
      <c r="G37" s="280" t="s">
        <v>1999</v>
      </c>
      <c r="H37" s="280" t="s">
        <v>2112</v>
      </c>
      <c r="I37" s="280" t="s">
        <v>2113</v>
      </c>
      <c r="J37" s="305" t="s">
        <v>2156</v>
      </c>
      <c r="K37" s="280">
        <v>10</v>
      </c>
      <c r="L37" s="305" t="s">
        <v>2136</v>
      </c>
      <c r="M37" s="280" t="s">
        <v>495</v>
      </c>
      <c r="N37" s="307" t="s">
        <v>2156</v>
      </c>
      <c r="O37" s="280"/>
      <c r="R37" s="328">
        <v>37</v>
      </c>
      <c r="S37" s="333" t="s">
        <v>2348</v>
      </c>
      <c r="T37" s="327"/>
      <c r="U37" s="327"/>
      <c r="AA37" s="333" t="s">
        <v>2463</v>
      </c>
      <c r="AB37" s="327"/>
      <c r="AC37" s="327"/>
      <c r="AD37" s="327"/>
      <c r="AE37" s="327"/>
      <c r="AF37" s="327"/>
      <c r="AG37" s="327"/>
      <c r="AH37" s="327"/>
    </row>
    <row r="38" spans="1:34" s="230" customFormat="1">
      <c r="A38" s="281">
        <v>1</v>
      </c>
      <c r="B38" s="281" t="s">
        <v>2156</v>
      </c>
      <c r="C38" s="281" t="s">
        <v>2156</v>
      </c>
      <c r="D38" s="281" t="s">
        <v>470</v>
      </c>
      <c r="E38" s="281" t="s">
        <v>111</v>
      </c>
      <c r="F38" s="281" t="s">
        <v>117</v>
      </c>
      <c r="G38" s="281" t="s">
        <v>1999</v>
      </c>
      <c r="H38" s="281" t="s">
        <v>2112</v>
      </c>
      <c r="I38" s="281" t="s">
        <v>2113</v>
      </c>
      <c r="J38" s="309" t="s">
        <v>2156</v>
      </c>
      <c r="K38" s="280">
        <v>11</v>
      </c>
      <c r="L38" s="305" t="s">
        <v>2133</v>
      </c>
      <c r="M38" s="280" t="s">
        <v>495</v>
      </c>
      <c r="N38" s="307" t="s">
        <v>2156</v>
      </c>
      <c r="O38" s="280"/>
      <c r="R38" s="328">
        <v>38</v>
      </c>
      <c r="S38" s="332" t="s">
        <v>2349</v>
      </c>
      <c r="T38" s="327"/>
      <c r="U38" s="327"/>
      <c r="AA38" s="333" t="s">
        <v>2462</v>
      </c>
      <c r="AB38" s="327"/>
      <c r="AC38" s="327"/>
      <c r="AD38" s="327"/>
      <c r="AE38" s="327"/>
      <c r="AF38" s="327"/>
      <c r="AG38" s="327"/>
      <c r="AH38" s="327"/>
    </row>
    <row r="39" spans="1:34" s="230" customFormat="1">
      <c r="A39" s="281">
        <v>1</v>
      </c>
      <c r="B39" s="281" t="s">
        <v>2156</v>
      </c>
      <c r="C39" s="281" t="s">
        <v>2156</v>
      </c>
      <c r="D39" s="281" t="s">
        <v>470</v>
      </c>
      <c r="E39" s="281" t="s">
        <v>111</v>
      </c>
      <c r="F39" s="281" t="s">
        <v>117</v>
      </c>
      <c r="G39" s="281" t="s">
        <v>1999</v>
      </c>
      <c r="H39" s="281" t="s">
        <v>2112</v>
      </c>
      <c r="I39" s="281" t="s">
        <v>2113</v>
      </c>
      <c r="J39" s="309" t="s">
        <v>2156</v>
      </c>
      <c r="K39" s="280">
        <v>19</v>
      </c>
      <c r="L39" s="305" t="s">
        <v>2128</v>
      </c>
      <c r="M39" s="280" t="s">
        <v>471</v>
      </c>
      <c r="N39" s="307" t="s">
        <v>2156</v>
      </c>
      <c r="O39" s="280"/>
      <c r="R39" s="328">
        <v>39</v>
      </c>
      <c r="S39" s="333" t="s">
        <v>2350</v>
      </c>
      <c r="T39" s="327"/>
      <c r="U39" s="327"/>
      <c r="AA39" s="333" t="s">
        <v>2464</v>
      </c>
      <c r="AB39" s="327"/>
      <c r="AC39" s="327"/>
      <c r="AD39" s="327"/>
      <c r="AE39" s="327"/>
      <c r="AF39" s="327"/>
      <c r="AG39" s="327"/>
      <c r="AH39" s="327"/>
    </row>
    <row r="40" spans="1:34" s="230" customFormat="1">
      <c r="A40" s="281">
        <v>1</v>
      </c>
      <c r="B40" s="281" t="s">
        <v>2156</v>
      </c>
      <c r="C40" s="281" t="s">
        <v>2156</v>
      </c>
      <c r="D40" s="281" t="s">
        <v>470</v>
      </c>
      <c r="E40" s="281" t="s">
        <v>111</v>
      </c>
      <c r="F40" s="281" t="s">
        <v>117</v>
      </c>
      <c r="G40" s="281" t="s">
        <v>1999</v>
      </c>
      <c r="H40" s="281" t="s">
        <v>2112</v>
      </c>
      <c r="I40" s="281" t="s">
        <v>2113</v>
      </c>
      <c r="J40" s="309" t="s">
        <v>2156</v>
      </c>
      <c r="K40" s="280">
        <v>22</v>
      </c>
      <c r="L40" s="305" t="s">
        <v>772</v>
      </c>
      <c r="M40" s="280" t="s">
        <v>506</v>
      </c>
      <c r="N40" s="307" t="s">
        <v>2156</v>
      </c>
      <c r="O40" s="280"/>
      <c r="R40" s="328">
        <v>40</v>
      </c>
      <c r="S40" s="330" t="s">
        <v>2351</v>
      </c>
      <c r="T40" s="327"/>
      <c r="U40" s="327"/>
      <c r="AA40" s="331" t="s">
        <v>2482</v>
      </c>
      <c r="AB40" s="327"/>
      <c r="AC40" s="327"/>
      <c r="AD40" s="327"/>
      <c r="AE40" s="327"/>
      <c r="AF40" s="327"/>
      <c r="AG40" s="327"/>
      <c r="AH40" s="327"/>
    </row>
    <row r="41" spans="1:34" s="230" customFormat="1">
      <c r="A41" s="281">
        <v>1</v>
      </c>
      <c r="B41" s="281" t="s">
        <v>2156</v>
      </c>
      <c r="C41" s="281" t="s">
        <v>2156</v>
      </c>
      <c r="D41" s="281" t="s">
        <v>470</v>
      </c>
      <c r="E41" s="281" t="s">
        <v>111</v>
      </c>
      <c r="F41" s="281" t="s">
        <v>117</v>
      </c>
      <c r="G41" s="281" t="s">
        <v>1999</v>
      </c>
      <c r="H41" s="281" t="s">
        <v>2112</v>
      </c>
      <c r="I41" s="281" t="s">
        <v>2113</v>
      </c>
      <c r="J41" s="309" t="s">
        <v>2156</v>
      </c>
      <c r="K41" s="280">
        <v>23</v>
      </c>
      <c r="L41" s="305" t="s">
        <v>2132</v>
      </c>
      <c r="M41" s="280" t="s">
        <v>506</v>
      </c>
      <c r="N41" s="307" t="s">
        <v>2156</v>
      </c>
      <c r="O41" s="280"/>
      <c r="R41" s="328">
        <v>41</v>
      </c>
      <c r="S41" s="332" t="s">
        <v>2352</v>
      </c>
      <c r="T41" s="327"/>
      <c r="U41" s="327"/>
      <c r="AA41" s="333" t="s">
        <v>2460</v>
      </c>
      <c r="AB41" s="327"/>
      <c r="AC41" s="327"/>
      <c r="AD41" s="327"/>
      <c r="AE41" s="327"/>
      <c r="AF41" s="327"/>
      <c r="AG41" s="327"/>
      <c r="AH41" s="327"/>
    </row>
    <row r="42" spans="1:34" s="230" customFormat="1">
      <c r="A42" s="281">
        <v>1</v>
      </c>
      <c r="B42" s="281" t="s">
        <v>2156</v>
      </c>
      <c r="C42" s="281" t="s">
        <v>2156</v>
      </c>
      <c r="D42" s="281" t="s">
        <v>470</v>
      </c>
      <c r="E42" s="281" t="s">
        <v>111</v>
      </c>
      <c r="F42" s="281" t="s">
        <v>117</v>
      </c>
      <c r="G42" s="280" t="s">
        <v>2097</v>
      </c>
      <c r="H42" s="280" t="s">
        <v>2112</v>
      </c>
      <c r="I42" s="280" t="s">
        <v>2113</v>
      </c>
      <c r="J42" s="305" t="s">
        <v>2156</v>
      </c>
      <c r="K42" s="280">
        <v>3</v>
      </c>
      <c r="L42" s="305" t="s">
        <v>2143</v>
      </c>
      <c r="M42" s="280" t="s">
        <v>489</v>
      </c>
      <c r="N42" s="307" t="s">
        <v>2156</v>
      </c>
      <c r="O42" s="280"/>
      <c r="R42" s="328">
        <v>42</v>
      </c>
      <c r="S42" s="332" t="s">
        <v>2353</v>
      </c>
      <c r="T42" s="327"/>
      <c r="U42" s="327"/>
      <c r="AA42" s="333" t="s">
        <v>2461</v>
      </c>
      <c r="AB42" s="327"/>
      <c r="AC42" s="327"/>
      <c r="AD42" s="327"/>
      <c r="AE42" s="327"/>
      <c r="AF42" s="327"/>
      <c r="AG42" s="327"/>
      <c r="AH42" s="327"/>
    </row>
    <row r="43" spans="1:34" s="230" customFormat="1">
      <c r="A43" s="281">
        <v>1</v>
      </c>
      <c r="B43" s="281" t="s">
        <v>2156</v>
      </c>
      <c r="C43" s="281" t="s">
        <v>2156</v>
      </c>
      <c r="D43" s="281" t="s">
        <v>470</v>
      </c>
      <c r="E43" s="281" t="s">
        <v>111</v>
      </c>
      <c r="F43" s="281" t="s">
        <v>117</v>
      </c>
      <c r="G43" s="281" t="s">
        <v>2097</v>
      </c>
      <c r="H43" s="281" t="s">
        <v>2112</v>
      </c>
      <c r="I43" s="281" t="s">
        <v>2113</v>
      </c>
      <c r="J43" s="309" t="s">
        <v>2156</v>
      </c>
      <c r="K43" s="280">
        <v>7</v>
      </c>
      <c r="L43" s="305" t="s">
        <v>763</v>
      </c>
      <c r="M43" s="280" t="s">
        <v>512</v>
      </c>
      <c r="N43" s="307" t="s">
        <v>2156</v>
      </c>
      <c r="O43" s="280"/>
      <c r="R43" s="328">
        <v>43</v>
      </c>
      <c r="S43" s="332"/>
      <c r="T43" s="327"/>
      <c r="U43" s="327"/>
      <c r="AA43" s="333" t="s">
        <v>2463</v>
      </c>
      <c r="AB43" s="327"/>
      <c r="AC43" s="327"/>
      <c r="AD43" s="327"/>
      <c r="AE43" s="327"/>
      <c r="AF43" s="327"/>
      <c r="AG43" s="327"/>
      <c r="AH43" s="327"/>
    </row>
    <row r="44" spans="1:34" s="230" customFormat="1">
      <c r="A44" s="281">
        <v>1</v>
      </c>
      <c r="B44" s="281" t="s">
        <v>2156</v>
      </c>
      <c r="C44" s="281" t="s">
        <v>2156</v>
      </c>
      <c r="D44" s="281" t="s">
        <v>470</v>
      </c>
      <c r="E44" s="281" t="s">
        <v>111</v>
      </c>
      <c r="F44" s="281" t="s">
        <v>117</v>
      </c>
      <c r="G44" s="281" t="s">
        <v>2097</v>
      </c>
      <c r="H44" s="281" t="s">
        <v>2112</v>
      </c>
      <c r="I44" s="280" t="s">
        <v>2115</v>
      </c>
      <c r="J44" s="305" t="s">
        <v>2156</v>
      </c>
      <c r="K44" s="280">
        <v>374</v>
      </c>
      <c r="L44" s="305" t="s">
        <v>2152</v>
      </c>
      <c r="M44" s="280" t="s">
        <v>489</v>
      </c>
      <c r="N44" s="307" t="s">
        <v>2200</v>
      </c>
      <c r="O44" s="280"/>
      <c r="R44" s="328">
        <v>44</v>
      </c>
      <c r="S44" s="329" t="s">
        <v>2354</v>
      </c>
      <c r="T44" s="327"/>
      <c r="U44" s="327"/>
      <c r="AA44" s="333" t="s">
        <v>2462</v>
      </c>
      <c r="AB44" s="327"/>
      <c r="AC44" s="327"/>
      <c r="AD44" s="327"/>
      <c r="AE44" s="327"/>
      <c r="AF44" s="327"/>
      <c r="AG44" s="327"/>
      <c r="AH44" s="327"/>
    </row>
    <row r="45" spans="1:34" s="230" customFormat="1">
      <c r="A45" s="281">
        <v>1</v>
      </c>
      <c r="B45" s="281" t="s">
        <v>2156</v>
      </c>
      <c r="C45" s="281" t="s">
        <v>2156</v>
      </c>
      <c r="D45" s="281" t="s">
        <v>470</v>
      </c>
      <c r="E45" s="281" t="s">
        <v>111</v>
      </c>
      <c r="F45" s="280" t="s">
        <v>2093</v>
      </c>
      <c r="G45" s="280" t="s">
        <v>2099</v>
      </c>
      <c r="H45" s="280" t="s">
        <v>2112</v>
      </c>
      <c r="I45" s="280" t="s">
        <v>2113</v>
      </c>
      <c r="J45" s="305" t="s">
        <v>2156</v>
      </c>
      <c r="K45" s="280">
        <v>31</v>
      </c>
      <c r="L45" s="305" t="s">
        <v>2151</v>
      </c>
      <c r="M45" s="280" t="s">
        <v>501</v>
      </c>
      <c r="N45" s="307" t="s">
        <v>2156</v>
      </c>
      <c r="O45" s="280"/>
      <c r="R45" s="328">
        <v>45</v>
      </c>
      <c r="S45" s="330" t="s">
        <v>2340</v>
      </c>
      <c r="T45" s="327"/>
      <c r="U45" s="327"/>
      <c r="AA45" s="333" t="s">
        <v>2464</v>
      </c>
      <c r="AB45" s="327"/>
      <c r="AC45" s="327"/>
      <c r="AD45" s="327"/>
      <c r="AE45" s="327"/>
      <c r="AF45" s="327"/>
      <c r="AG45" s="327"/>
      <c r="AH45" s="327"/>
    </row>
    <row r="46" spans="1:34" s="230" customFormat="1">
      <c r="A46" s="281">
        <v>1</v>
      </c>
      <c r="B46" s="281" t="s">
        <v>2156</v>
      </c>
      <c r="C46" s="281" t="s">
        <v>2156</v>
      </c>
      <c r="D46" s="280" t="s">
        <v>1745</v>
      </c>
      <c r="E46" s="280" t="s">
        <v>111</v>
      </c>
      <c r="F46" s="280" t="s">
        <v>117</v>
      </c>
      <c r="G46" s="280" t="s">
        <v>2098</v>
      </c>
      <c r="H46" s="280" t="s">
        <v>2112</v>
      </c>
      <c r="I46" s="280" t="s">
        <v>2113</v>
      </c>
      <c r="J46" s="305" t="s">
        <v>2156</v>
      </c>
      <c r="K46" s="280">
        <v>25</v>
      </c>
      <c r="L46" s="305" t="s">
        <v>2130</v>
      </c>
      <c r="M46" s="280" t="s">
        <v>2101</v>
      </c>
      <c r="N46" s="307" t="s">
        <v>2156</v>
      </c>
      <c r="O46" s="280"/>
      <c r="R46" s="328">
        <v>46</v>
      </c>
      <c r="S46" s="332" t="s">
        <v>2355</v>
      </c>
      <c r="T46" s="327"/>
      <c r="U46" s="327"/>
      <c r="AA46" s="327"/>
      <c r="AB46" s="327"/>
      <c r="AC46" s="327"/>
      <c r="AD46" s="327"/>
      <c r="AE46" s="327"/>
      <c r="AF46" s="327"/>
      <c r="AG46" s="327"/>
      <c r="AH46" s="327"/>
    </row>
    <row r="47" spans="1:34" s="230" customFormat="1">
      <c r="A47" s="281">
        <v>1</v>
      </c>
      <c r="B47" s="281" t="s">
        <v>2156</v>
      </c>
      <c r="C47" s="281" t="s">
        <v>2156</v>
      </c>
      <c r="D47" s="281" t="s">
        <v>1745</v>
      </c>
      <c r="E47" s="281" t="s">
        <v>111</v>
      </c>
      <c r="F47" s="281" t="s">
        <v>117</v>
      </c>
      <c r="G47" s="281" t="s">
        <v>2098</v>
      </c>
      <c r="H47" s="281" t="s">
        <v>2112</v>
      </c>
      <c r="I47" s="281" t="s">
        <v>2113</v>
      </c>
      <c r="J47" s="309" t="s">
        <v>2156</v>
      </c>
      <c r="K47" s="280">
        <v>26</v>
      </c>
      <c r="L47" s="305" t="s">
        <v>2135</v>
      </c>
      <c r="M47" s="280" t="s">
        <v>2101</v>
      </c>
      <c r="N47" s="307" t="s">
        <v>2156</v>
      </c>
      <c r="O47" s="280"/>
      <c r="R47" s="328">
        <v>47</v>
      </c>
      <c r="S47" s="333" t="s">
        <v>2356</v>
      </c>
      <c r="T47" s="327"/>
      <c r="U47" s="327"/>
      <c r="AA47" s="327" t="s">
        <v>2469</v>
      </c>
      <c r="AB47" s="327"/>
      <c r="AC47" s="327"/>
      <c r="AD47" s="327"/>
      <c r="AE47" s="327"/>
      <c r="AF47" s="327"/>
      <c r="AG47" s="327"/>
      <c r="AH47" s="327"/>
    </row>
    <row r="48" spans="1:34" s="230" customFormat="1">
      <c r="A48" s="281">
        <v>1</v>
      </c>
      <c r="B48" s="281" t="s">
        <v>2156</v>
      </c>
      <c r="C48" s="281" t="s">
        <v>2156</v>
      </c>
      <c r="D48" s="281" t="s">
        <v>1745</v>
      </c>
      <c r="E48" s="281" t="s">
        <v>111</v>
      </c>
      <c r="F48" s="280" t="s">
        <v>2093</v>
      </c>
      <c r="G48" s="280" t="s">
        <v>2095</v>
      </c>
      <c r="H48" s="280" t="s">
        <v>2112</v>
      </c>
      <c r="I48" s="280" t="s">
        <v>2115</v>
      </c>
      <c r="J48" s="305" t="s">
        <v>2156</v>
      </c>
      <c r="K48" s="280">
        <v>361</v>
      </c>
      <c r="L48" s="305" t="s">
        <v>347</v>
      </c>
      <c r="M48" s="280" t="s">
        <v>427</v>
      </c>
      <c r="N48" s="307" t="s">
        <v>2200</v>
      </c>
      <c r="O48" s="280"/>
      <c r="R48" s="328">
        <v>48</v>
      </c>
      <c r="S48" s="332" t="s">
        <v>2357</v>
      </c>
      <c r="T48" s="327"/>
      <c r="U48" s="327"/>
      <c r="AA48" s="331" t="s">
        <v>2181</v>
      </c>
      <c r="AB48" s="327"/>
      <c r="AC48" s="327"/>
      <c r="AD48" s="327"/>
      <c r="AE48" s="327"/>
      <c r="AF48" s="327"/>
      <c r="AG48" s="327"/>
      <c r="AH48" s="327"/>
    </row>
    <row r="49" spans="1:34" s="230" customFormat="1">
      <c r="A49" s="281">
        <v>1</v>
      </c>
      <c r="B49" s="281" t="s">
        <v>2156</v>
      </c>
      <c r="C49" s="281" t="s">
        <v>2156</v>
      </c>
      <c r="D49" s="281" t="s">
        <v>1745</v>
      </c>
      <c r="E49" s="281" t="s">
        <v>111</v>
      </c>
      <c r="F49" s="281" t="s">
        <v>2093</v>
      </c>
      <c r="G49" s="281" t="s">
        <v>2095</v>
      </c>
      <c r="H49" s="281" t="s">
        <v>2112</v>
      </c>
      <c r="I49" s="281" t="s">
        <v>2115</v>
      </c>
      <c r="J49" s="309" t="s">
        <v>2156</v>
      </c>
      <c r="K49" s="280">
        <v>364</v>
      </c>
      <c r="L49" s="305" t="s">
        <v>345</v>
      </c>
      <c r="M49" s="280" t="s">
        <v>435</v>
      </c>
      <c r="N49" s="307" t="s">
        <v>2200</v>
      </c>
      <c r="O49" s="280"/>
      <c r="R49" s="328">
        <v>49</v>
      </c>
      <c r="S49" s="333" t="s">
        <v>2358</v>
      </c>
      <c r="T49" s="327"/>
      <c r="U49" s="327"/>
      <c r="AA49" s="333" t="s">
        <v>2471</v>
      </c>
      <c r="AB49" s="327"/>
      <c r="AC49" s="327"/>
      <c r="AD49" s="327"/>
      <c r="AE49" s="327"/>
      <c r="AF49" s="327"/>
      <c r="AG49" s="327"/>
      <c r="AH49" s="327"/>
    </row>
    <row r="50" spans="1:34" s="230" customFormat="1">
      <c r="A50" s="281">
        <v>1</v>
      </c>
      <c r="B50" s="281" t="s">
        <v>2156</v>
      </c>
      <c r="C50" s="281" t="s">
        <v>2156</v>
      </c>
      <c r="D50" s="281" t="s">
        <v>1745</v>
      </c>
      <c r="E50" s="281" t="s">
        <v>111</v>
      </c>
      <c r="F50" s="281" t="s">
        <v>2093</v>
      </c>
      <c r="G50" s="280" t="s">
        <v>2096</v>
      </c>
      <c r="H50" s="280" t="s">
        <v>2112</v>
      </c>
      <c r="I50" s="280" t="s">
        <v>2113</v>
      </c>
      <c r="J50" s="305" t="s">
        <v>1644</v>
      </c>
      <c r="K50" s="280">
        <v>36</v>
      </c>
      <c r="L50" s="305" t="s">
        <v>2150</v>
      </c>
      <c r="M50" s="280" t="s">
        <v>403</v>
      </c>
      <c r="N50" s="307" t="s">
        <v>2156</v>
      </c>
      <c r="O50" s="280"/>
      <c r="R50" s="328">
        <v>50</v>
      </c>
      <c r="S50" s="332" t="s">
        <v>2359</v>
      </c>
      <c r="T50" s="327"/>
      <c r="U50" s="327"/>
      <c r="AA50" s="333" t="s">
        <v>2470</v>
      </c>
      <c r="AB50" s="327"/>
      <c r="AC50" s="327"/>
      <c r="AD50" s="327"/>
      <c r="AE50" s="327"/>
      <c r="AF50" s="327"/>
      <c r="AG50" s="327"/>
      <c r="AH50" s="327"/>
    </row>
    <row r="51" spans="1:34" s="230" customFormat="1">
      <c r="A51" s="281">
        <v>1</v>
      </c>
      <c r="B51" s="281" t="s">
        <v>2156</v>
      </c>
      <c r="C51" s="281" t="s">
        <v>2156</v>
      </c>
      <c r="D51" s="281" t="s">
        <v>1745</v>
      </c>
      <c r="E51" s="281" t="s">
        <v>111</v>
      </c>
      <c r="F51" s="281" t="s">
        <v>2093</v>
      </c>
      <c r="G51" s="281" t="s">
        <v>2096</v>
      </c>
      <c r="H51" s="281" t="s">
        <v>2112</v>
      </c>
      <c r="I51" s="281" t="s">
        <v>2113</v>
      </c>
      <c r="J51" s="305" t="s">
        <v>2156</v>
      </c>
      <c r="K51" s="280">
        <v>35</v>
      </c>
      <c r="L51" s="305" t="s">
        <v>2149</v>
      </c>
      <c r="M51" s="280" t="s">
        <v>403</v>
      </c>
      <c r="N51" s="307" t="s">
        <v>2156</v>
      </c>
      <c r="O51" s="280"/>
      <c r="R51" s="328">
        <v>51</v>
      </c>
      <c r="S51" s="333" t="s">
        <v>2360</v>
      </c>
      <c r="T51" s="327"/>
      <c r="U51" s="327"/>
      <c r="AA51" s="333" t="s">
        <v>2462</v>
      </c>
      <c r="AB51" s="327"/>
      <c r="AC51" s="327"/>
      <c r="AD51" s="327"/>
      <c r="AE51" s="327"/>
      <c r="AF51" s="327"/>
      <c r="AG51" s="327"/>
      <c r="AH51" s="327"/>
    </row>
    <row r="52" spans="1:34" s="230" customFormat="1">
      <c r="A52" s="281">
        <v>1</v>
      </c>
      <c r="B52" s="281" t="s">
        <v>2156</v>
      </c>
      <c r="C52" s="281" t="s">
        <v>2156</v>
      </c>
      <c r="D52" s="281" t="s">
        <v>1745</v>
      </c>
      <c r="E52" s="281" t="s">
        <v>111</v>
      </c>
      <c r="F52" s="281" t="s">
        <v>2093</v>
      </c>
      <c r="G52" s="281" t="s">
        <v>2096</v>
      </c>
      <c r="H52" s="281" t="s">
        <v>2112</v>
      </c>
      <c r="I52" s="280" t="s">
        <v>2115</v>
      </c>
      <c r="J52" s="305" t="s">
        <v>2156</v>
      </c>
      <c r="K52" s="280">
        <v>354</v>
      </c>
      <c r="L52" s="305" t="s">
        <v>343</v>
      </c>
      <c r="M52" s="280" t="s">
        <v>396</v>
      </c>
      <c r="N52" s="307" t="s">
        <v>2200</v>
      </c>
      <c r="O52" s="280"/>
      <c r="R52" s="328">
        <v>52</v>
      </c>
      <c r="S52" s="332" t="s">
        <v>2361</v>
      </c>
      <c r="T52" s="327"/>
      <c r="U52" s="327"/>
      <c r="AA52" s="333" t="s">
        <v>2472</v>
      </c>
      <c r="AB52" s="327"/>
      <c r="AC52" s="327"/>
      <c r="AD52" s="327"/>
      <c r="AE52" s="327"/>
      <c r="AF52" s="327"/>
      <c r="AG52" s="327"/>
      <c r="AH52" s="327"/>
    </row>
    <row r="53" spans="1:34" s="230" customFormat="1">
      <c r="A53" s="281">
        <v>1</v>
      </c>
      <c r="B53" s="281" t="s">
        <v>2156</v>
      </c>
      <c r="C53" s="281" t="s">
        <v>2156</v>
      </c>
      <c r="D53" s="280" t="s">
        <v>1683</v>
      </c>
      <c r="E53" s="280" t="s">
        <v>114</v>
      </c>
      <c r="F53" s="280" t="s">
        <v>2092</v>
      </c>
      <c r="G53" s="280" t="s">
        <v>926</v>
      </c>
      <c r="H53" s="280" t="s">
        <v>2112</v>
      </c>
      <c r="I53" s="280" t="s">
        <v>2113</v>
      </c>
      <c r="J53" s="305" t="s">
        <v>2156</v>
      </c>
      <c r="K53" s="280">
        <v>61</v>
      </c>
      <c r="L53" s="305" t="s">
        <v>2141</v>
      </c>
      <c r="M53" s="280" t="s">
        <v>380</v>
      </c>
      <c r="N53" s="307" t="s">
        <v>2156</v>
      </c>
      <c r="O53" s="280"/>
      <c r="R53" s="328">
        <v>53</v>
      </c>
      <c r="S53" s="333" t="s">
        <v>2362</v>
      </c>
      <c r="T53" s="327"/>
      <c r="U53" s="327"/>
      <c r="AA53" s="333" t="s">
        <v>2473</v>
      </c>
      <c r="AB53" s="327"/>
      <c r="AC53" s="327"/>
      <c r="AD53" s="327"/>
      <c r="AE53" s="327"/>
      <c r="AF53" s="327"/>
      <c r="AG53" s="327"/>
      <c r="AH53" s="327"/>
    </row>
    <row r="54" spans="1:34" s="230" customFormat="1">
      <c r="A54" s="281">
        <v>1</v>
      </c>
      <c r="B54" s="281" t="s">
        <v>2156</v>
      </c>
      <c r="C54" s="281" t="s">
        <v>2156</v>
      </c>
      <c r="D54" s="281" t="s">
        <v>1683</v>
      </c>
      <c r="E54" s="281" t="s">
        <v>114</v>
      </c>
      <c r="F54" s="281" t="s">
        <v>2092</v>
      </c>
      <c r="G54" s="281" t="s">
        <v>926</v>
      </c>
      <c r="H54" s="281" t="s">
        <v>2112</v>
      </c>
      <c r="I54" s="281" t="s">
        <v>2113</v>
      </c>
      <c r="J54" s="309" t="s">
        <v>2156</v>
      </c>
      <c r="K54" s="280">
        <v>64</v>
      </c>
      <c r="L54" s="305" t="s">
        <v>2147</v>
      </c>
      <c r="M54" s="280" t="s">
        <v>458</v>
      </c>
      <c r="N54" s="307" t="s">
        <v>2156</v>
      </c>
      <c r="O54" s="280"/>
      <c r="R54" s="328">
        <v>54</v>
      </c>
      <c r="S54" s="332" t="s">
        <v>2363</v>
      </c>
      <c r="T54" s="327"/>
      <c r="U54" s="327"/>
      <c r="AA54" s="331" t="s">
        <v>2180</v>
      </c>
      <c r="AB54" s="327"/>
      <c r="AC54" s="327"/>
      <c r="AD54" s="327"/>
      <c r="AE54" s="327"/>
      <c r="AF54" s="327"/>
      <c r="AG54" s="327"/>
      <c r="AH54" s="327"/>
    </row>
    <row r="55" spans="1:34" s="230" customFormat="1">
      <c r="A55" s="281">
        <v>1</v>
      </c>
      <c r="B55" s="281" t="s">
        <v>2156</v>
      </c>
      <c r="C55" s="281" t="s">
        <v>2156</v>
      </c>
      <c r="D55" s="281" t="s">
        <v>1683</v>
      </c>
      <c r="E55" s="281" t="s">
        <v>114</v>
      </c>
      <c r="F55" s="281" t="s">
        <v>2092</v>
      </c>
      <c r="G55" s="281" t="s">
        <v>926</v>
      </c>
      <c r="H55" s="281" t="s">
        <v>2112</v>
      </c>
      <c r="I55" s="281" t="s">
        <v>2113</v>
      </c>
      <c r="J55" s="309" t="s">
        <v>2156</v>
      </c>
      <c r="K55" s="280">
        <v>65</v>
      </c>
      <c r="L55" s="305" t="s">
        <v>862</v>
      </c>
      <c r="M55" s="280" t="s">
        <v>458</v>
      </c>
      <c r="N55" s="307" t="s">
        <v>2156</v>
      </c>
      <c r="O55" s="280"/>
      <c r="R55" s="328">
        <v>55</v>
      </c>
      <c r="S55" s="333" t="s">
        <v>2364</v>
      </c>
      <c r="T55" s="327"/>
      <c r="U55" s="327"/>
      <c r="AA55" s="333" t="s">
        <v>2471</v>
      </c>
      <c r="AB55" s="327"/>
      <c r="AC55" s="327"/>
      <c r="AD55" s="327"/>
      <c r="AE55" s="327"/>
      <c r="AF55" s="327"/>
      <c r="AG55" s="327"/>
      <c r="AH55" s="327"/>
    </row>
    <row r="56" spans="1:34" s="230" customFormat="1">
      <c r="A56" s="281">
        <v>1</v>
      </c>
      <c r="B56" s="281" t="s">
        <v>2156</v>
      </c>
      <c r="C56" s="281" t="s">
        <v>2156</v>
      </c>
      <c r="D56" s="281" t="s">
        <v>1683</v>
      </c>
      <c r="E56" s="281" t="s">
        <v>114</v>
      </c>
      <c r="F56" s="281" t="s">
        <v>2092</v>
      </c>
      <c r="G56" s="281" t="s">
        <v>926</v>
      </c>
      <c r="H56" s="281" t="s">
        <v>2112</v>
      </c>
      <c r="I56" s="281" t="s">
        <v>2113</v>
      </c>
      <c r="J56" s="309" t="s">
        <v>2156</v>
      </c>
      <c r="K56" s="280">
        <v>66</v>
      </c>
      <c r="L56" s="305" t="s">
        <v>864</v>
      </c>
      <c r="M56" s="280" t="s">
        <v>443</v>
      </c>
      <c r="N56" s="307" t="s">
        <v>2156</v>
      </c>
      <c r="O56" s="280"/>
      <c r="R56" s="328">
        <v>56</v>
      </c>
      <c r="S56" s="330" t="s">
        <v>2351</v>
      </c>
      <c r="T56" s="327"/>
      <c r="U56" s="327"/>
      <c r="AA56" s="333" t="s">
        <v>2470</v>
      </c>
      <c r="AB56" s="327"/>
      <c r="AC56" s="327"/>
      <c r="AD56" s="327"/>
      <c r="AE56" s="327"/>
      <c r="AF56" s="327"/>
      <c r="AG56" s="327"/>
      <c r="AH56" s="327"/>
    </row>
    <row r="57" spans="1:34" s="230" customFormat="1">
      <c r="A57" s="281">
        <v>1</v>
      </c>
      <c r="B57" s="281" t="s">
        <v>2156</v>
      </c>
      <c r="C57" s="281" t="s">
        <v>2156</v>
      </c>
      <c r="D57" s="281" t="s">
        <v>1683</v>
      </c>
      <c r="E57" s="281" t="s">
        <v>114</v>
      </c>
      <c r="F57" s="281" t="s">
        <v>2092</v>
      </c>
      <c r="G57" s="281" t="s">
        <v>926</v>
      </c>
      <c r="H57" s="281" t="s">
        <v>2112</v>
      </c>
      <c r="I57" s="281" t="s">
        <v>2113</v>
      </c>
      <c r="J57" s="309" t="s">
        <v>2156</v>
      </c>
      <c r="K57" s="280">
        <v>69</v>
      </c>
      <c r="L57" s="305" t="s">
        <v>867</v>
      </c>
      <c r="M57" s="280" t="s">
        <v>443</v>
      </c>
      <c r="N57" s="307" t="s">
        <v>2156</v>
      </c>
      <c r="O57" s="280"/>
      <c r="R57" s="328">
        <v>57</v>
      </c>
      <c r="S57" s="332" t="s">
        <v>2365</v>
      </c>
      <c r="T57" s="327"/>
      <c r="U57" s="327"/>
      <c r="AA57" s="333" t="s">
        <v>2462</v>
      </c>
      <c r="AB57" s="327"/>
      <c r="AC57" s="327"/>
      <c r="AD57" s="327"/>
      <c r="AE57" s="327"/>
      <c r="AF57" s="327"/>
      <c r="AG57" s="327"/>
      <c r="AH57" s="327"/>
    </row>
    <row r="58" spans="1:34" s="230" customFormat="1">
      <c r="A58" s="281">
        <v>1</v>
      </c>
      <c r="B58" s="281" t="s">
        <v>2156</v>
      </c>
      <c r="C58" s="281" t="s">
        <v>2156</v>
      </c>
      <c r="D58" s="281" t="s">
        <v>1683</v>
      </c>
      <c r="E58" s="281" t="s">
        <v>114</v>
      </c>
      <c r="F58" s="281" t="s">
        <v>2092</v>
      </c>
      <c r="G58" s="281" t="s">
        <v>926</v>
      </c>
      <c r="H58" s="281" t="s">
        <v>2112</v>
      </c>
      <c r="I58" s="281" t="s">
        <v>2113</v>
      </c>
      <c r="J58" s="309" t="s">
        <v>2156</v>
      </c>
      <c r="K58" s="280">
        <v>70</v>
      </c>
      <c r="L58" s="305" t="s">
        <v>868</v>
      </c>
      <c r="M58" s="280" t="s">
        <v>443</v>
      </c>
      <c r="N58" s="307" t="s">
        <v>2156</v>
      </c>
      <c r="O58" s="280"/>
      <c r="R58" s="328">
        <v>58</v>
      </c>
      <c r="S58" s="332" t="s">
        <v>2366</v>
      </c>
      <c r="T58" s="327"/>
      <c r="U58" s="327"/>
      <c r="AA58" s="333" t="s">
        <v>2472</v>
      </c>
      <c r="AB58" s="327"/>
      <c r="AC58" s="327"/>
      <c r="AD58" s="327"/>
      <c r="AE58" s="327"/>
      <c r="AF58" s="327"/>
      <c r="AG58" s="327"/>
      <c r="AH58" s="327"/>
    </row>
    <row r="59" spans="1:34" s="230" customFormat="1">
      <c r="A59" s="281">
        <v>1</v>
      </c>
      <c r="B59" s="281" t="s">
        <v>2156</v>
      </c>
      <c r="C59" s="281" t="s">
        <v>2156</v>
      </c>
      <c r="D59" s="281" t="s">
        <v>1683</v>
      </c>
      <c r="E59" s="281" t="s">
        <v>114</v>
      </c>
      <c r="F59" s="281" t="s">
        <v>2092</v>
      </c>
      <c r="G59" s="281" t="s">
        <v>926</v>
      </c>
      <c r="H59" s="281" t="s">
        <v>2112</v>
      </c>
      <c r="I59" s="281" t="s">
        <v>2113</v>
      </c>
      <c r="J59" s="309" t="s">
        <v>2156</v>
      </c>
      <c r="K59" s="280">
        <v>71</v>
      </c>
      <c r="L59" s="305" t="s">
        <v>869</v>
      </c>
      <c r="M59" s="280" t="s">
        <v>443</v>
      </c>
      <c r="N59" s="307" t="s">
        <v>2156</v>
      </c>
      <c r="O59" s="280"/>
      <c r="R59" s="328">
        <v>59</v>
      </c>
      <c r="S59" s="332" t="s">
        <v>2367</v>
      </c>
      <c r="T59" s="327"/>
      <c r="U59" s="327"/>
      <c r="AA59" s="333" t="s">
        <v>2474</v>
      </c>
      <c r="AB59" s="327"/>
      <c r="AC59" s="327"/>
      <c r="AD59" s="327"/>
      <c r="AE59" s="327"/>
      <c r="AF59" s="327"/>
      <c r="AG59" s="327"/>
      <c r="AH59" s="327"/>
    </row>
    <row r="60" spans="1:34" s="230" customFormat="1">
      <c r="A60" s="281">
        <v>1</v>
      </c>
      <c r="B60" s="281" t="s">
        <v>2156</v>
      </c>
      <c r="C60" s="281" t="s">
        <v>2156</v>
      </c>
      <c r="D60" s="281" t="s">
        <v>1683</v>
      </c>
      <c r="E60" s="281" t="s">
        <v>114</v>
      </c>
      <c r="F60" s="281" t="s">
        <v>2092</v>
      </c>
      <c r="G60" s="281" t="s">
        <v>926</v>
      </c>
      <c r="H60" s="281" t="s">
        <v>2112</v>
      </c>
      <c r="I60" s="281" t="s">
        <v>2113</v>
      </c>
      <c r="J60" s="309" t="s">
        <v>2156</v>
      </c>
      <c r="K60" s="280">
        <v>72</v>
      </c>
      <c r="L60" s="305" t="s">
        <v>2126</v>
      </c>
      <c r="M60" s="280" t="s">
        <v>449</v>
      </c>
      <c r="N60" s="307" t="s">
        <v>2156</v>
      </c>
      <c r="O60" s="280"/>
      <c r="R60" s="328">
        <v>60</v>
      </c>
      <c r="S60" s="332"/>
      <c r="T60" s="327"/>
      <c r="U60" s="327"/>
      <c r="AA60" s="331" t="s">
        <v>2475</v>
      </c>
      <c r="AB60" s="327"/>
      <c r="AC60" s="327"/>
      <c r="AD60" s="327"/>
      <c r="AE60" s="327"/>
      <c r="AF60" s="327"/>
      <c r="AG60" s="327"/>
      <c r="AH60" s="327"/>
    </row>
    <row r="61" spans="1:34" s="230" customFormat="1">
      <c r="A61" s="281">
        <v>1</v>
      </c>
      <c r="B61" s="281" t="s">
        <v>2156</v>
      </c>
      <c r="C61" s="281" t="s">
        <v>2156</v>
      </c>
      <c r="D61" s="281" t="s">
        <v>1683</v>
      </c>
      <c r="E61" s="281" t="s">
        <v>114</v>
      </c>
      <c r="F61" s="281" t="s">
        <v>2092</v>
      </c>
      <c r="G61" s="281" t="s">
        <v>926</v>
      </c>
      <c r="H61" s="281" t="s">
        <v>2112</v>
      </c>
      <c r="I61" s="281" t="s">
        <v>2113</v>
      </c>
      <c r="J61" s="309" t="s">
        <v>2156</v>
      </c>
      <c r="K61" s="280">
        <v>74</v>
      </c>
      <c r="L61" s="305" t="s">
        <v>2125</v>
      </c>
      <c r="M61" s="280" t="s">
        <v>449</v>
      </c>
      <c r="N61" s="307" t="s">
        <v>2156</v>
      </c>
      <c r="O61" s="280"/>
      <c r="R61" s="328">
        <v>61</v>
      </c>
      <c r="S61" s="329" t="s">
        <v>2368</v>
      </c>
      <c r="T61" s="327"/>
      <c r="U61" s="327"/>
      <c r="AA61" s="333" t="s">
        <v>2471</v>
      </c>
      <c r="AB61" s="327"/>
      <c r="AC61" s="327"/>
      <c r="AD61" s="327"/>
      <c r="AE61" s="327"/>
      <c r="AF61" s="327"/>
      <c r="AG61" s="327"/>
      <c r="AH61" s="327"/>
    </row>
    <row r="62" spans="1:34" s="230" customFormat="1">
      <c r="A62" s="281">
        <v>1</v>
      </c>
      <c r="B62" s="281" t="s">
        <v>2156</v>
      </c>
      <c r="C62" s="281" t="s">
        <v>2156</v>
      </c>
      <c r="D62" s="281" t="s">
        <v>1683</v>
      </c>
      <c r="E62" s="281" t="s">
        <v>114</v>
      </c>
      <c r="F62" s="281" t="s">
        <v>2092</v>
      </c>
      <c r="G62" s="281" t="s">
        <v>926</v>
      </c>
      <c r="H62" s="281" t="s">
        <v>2112</v>
      </c>
      <c r="I62" s="281" t="s">
        <v>2113</v>
      </c>
      <c r="J62" s="309" t="s">
        <v>2156</v>
      </c>
      <c r="K62" s="280">
        <v>75</v>
      </c>
      <c r="L62" s="305" t="s">
        <v>2131</v>
      </c>
      <c r="M62" s="280" t="s">
        <v>449</v>
      </c>
      <c r="N62" s="307" t="s">
        <v>2156</v>
      </c>
      <c r="O62" s="280"/>
      <c r="R62" s="328">
        <v>62</v>
      </c>
      <c r="S62" s="330" t="s">
        <v>2340</v>
      </c>
      <c r="T62" s="327"/>
      <c r="U62" s="327"/>
      <c r="AA62" s="333" t="s">
        <v>2470</v>
      </c>
      <c r="AB62" s="327"/>
      <c r="AC62" s="327"/>
      <c r="AD62" s="327"/>
      <c r="AE62" s="327"/>
      <c r="AF62" s="327"/>
      <c r="AG62" s="327"/>
      <c r="AH62" s="327"/>
    </row>
    <row r="63" spans="1:34" s="230" customFormat="1">
      <c r="A63" s="281">
        <v>1</v>
      </c>
      <c r="B63" s="281" t="s">
        <v>2156</v>
      </c>
      <c r="C63" s="281" t="s">
        <v>2156</v>
      </c>
      <c r="D63" s="281" t="s">
        <v>1683</v>
      </c>
      <c r="E63" s="281" t="s">
        <v>114</v>
      </c>
      <c r="F63" s="281" t="s">
        <v>2092</v>
      </c>
      <c r="G63" s="281" t="s">
        <v>926</v>
      </c>
      <c r="H63" s="281" t="s">
        <v>2112</v>
      </c>
      <c r="I63" s="281" t="s">
        <v>2113</v>
      </c>
      <c r="J63" s="309" t="s">
        <v>2156</v>
      </c>
      <c r="K63" s="280">
        <v>77</v>
      </c>
      <c r="L63" s="305" t="s">
        <v>877</v>
      </c>
      <c r="M63" s="280" t="s">
        <v>376</v>
      </c>
      <c r="N63" s="307" t="s">
        <v>2156</v>
      </c>
      <c r="O63" s="280"/>
      <c r="R63" s="328">
        <v>63</v>
      </c>
      <c r="S63" s="332" t="s">
        <v>2369</v>
      </c>
      <c r="T63" s="327"/>
      <c r="U63" s="327"/>
      <c r="AA63" s="333" t="s">
        <v>2462</v>
      </c>
      <c r="AB63" s="327"/>
      <c r="AC63" s="327"/>
      <c r="AD63" s="327"/>
      <c r="AE63" s="327"/>
      <c r="AF63" s="327"/>
      <c r="AG63" s="327"/>
      <c r="AH63" s="327"/>
    </row>
    <row r="64" spans="1:34" s="230" customFormat="1">
      <c r="A64" s="281">
        <v>1</v>
      </c>
      <c r="B64" s="281" t="s">
        <v>2156</v>
      </c>
      <c r="C64" s="281" t="s">
        <v>2156</v>
      </c>
      <c r="D64" s="281" t="s">
        <v>1683</v>
      </c>
      <c r="E64" s="281" t="s">
        <v>114</v>
      </c>
      <c r="F64" s="281" t="s">
        <v>2092</v>
      </c>
      <c r="G64" s="281" t="s">
        <v>926</v>
      </c>
      <c r="H64" s="281" t="s">
        <v>2112</v>
      </c>
      <c r="I64" s="281" t="s">
        <v>2113</v>
      </c>
      <c r="J64" s="309" t="s">
        <v>2156</v>
      </c>
      <c r="K64" s="280">
        <v>78</v>
      </c>
      <c r="L64" s="305" t="s">
        <v>878</v>
      </c>
      <c r="M64" s="280" t="s">
        <v>376</v>
      </c>
      <c r="N64" s="307" t="s">
        <v>2156</v>
      </c>
      <c r="O64" s="280"/>
      <c r="R64" s="328">
        <v>64</v>
      </c>
      <c r="S64" s="333" t="s">
        <v>2370</v>
      </c>
      <c r="T64" s="327"/>
      <c r="U64" s="327"/>
      <c r="AA64" s="333" t="s">
        <v>2472</v>
      </c>
      <c r="AB64" s="327"/>
      <c r="AC64" s="327"/>
      <c r="AD64" s="327"/>
      <c r="AE64" s="327"/>
      <c r="AF64" s="327"/>
      <c r="AG64" s="327"/>
      <c r="AH64" s="327"/>
    </row>
    <row r="65" spans="1:34" s="230" customFormat="1">
      <c r="A65" s="281">
        <v>1</v>
      </c>
      <c r="B65" s="281" t="s">
        <v>2156</v>
      </c>
      <c r="C65" s="281" t="s">
        <v>2156</v>
      </c>
      <c r="D65" s="281" t="s">
        <v>1683</v>
      </c>
      <c r="E65" s="281" t="s">
        <v>114</v>
      </c>
      <c r="F65" s="281" t="s">
        <v>2092</v>
      </c>
      <c r="G65" s="281" t="s">
        <v>926</v>
      </c>
      <c r="H65" s="281" t="s">
        <v>2112</v>
      </c>
      <c r="I65" s="281" t="s">
        <v>2113</v>
      </c>
      <c r="J65" s="309" t="s">
        <v>2156</v>
      </c>
      <c r="K65" s="280">
        <v>79</v>
      </c>
      <c r="L65" s="305" t="s">
        <v>880</v>
      </c>
      <c r="M65" s="280" t="s">
        <v>430</v>
      </c>
      <c r="N65" s="307" t="s">
        <v>2156</v>
      </c>
      <c r="O65" s="280"/>
      <c r="R65" s="328">
        <v>65</v>
      </c>
      <c r="S65" s="332" t="s">
        <v>2371</v>
      </c>
      <c r="T65" s="327"/>
      <c r="U65" s="327"/>
      <c r="AA65" s="331" t="s">
        <v>2184</v>
      </c>
      <c r="AB65" s="327"/>
      <c r="AC65" s="327"/>
      <c r="AD65" s="327"/>
      <c r="AE65" s="327"/>
      <c r="AF65" s="327"/>
      <c r="AG65" s="327"/>
      <c r="AH65" s="327"/>
    </row>
    <row r="66" spans="1:34" s="230" customFormat="1">
      <c r="A66" s="281">
        <v>1</v>
      </c>
      <c r="B66" s="281" t="s">
        <v>2156</v>
      </c>
      <c r="C66" s="281" t="s">
        <v>2156</v>
      </c>
      <c r="D66" s="281" t="s">
        <v>1683</v>
      </c>
      <c r="E66" s="281" t="s">
        <v>114</v>
      </c>
      <c r="F66" s="281" t="s">
        <v>2092</v>
      </c>
      <c r="G66" s="281" t="s">
        <v>926</v>
      </c>
      <c r="H66" s="281" t="s">
        <v>2112</v>
      </c>
      <c r="I66" s="281" t="s">
        <v>2113</v>
      </c>
      <c r="J66" s="309" t="s">
        <v>2156</v>
      </c>
      <c r="K66" s="280">
        <v>80</v>
      </c>
      <c r="L66" s="305" t="s">
        <v>2145</v>
      </c>
      <c r="M66" s="280" t="s">
        <v>430</v>
      </c>
      <c r="N66" s="307" t="s">
        <v>2156</v>
      </c>
      <c r="O66" s="280"/>
      <c r="R66" s="328">
        <v>66</v>
      </c>
      <c r="S66" s="333" t="s">
        <v>2372</v>
      </c>
      <c r="T66" s="327"/>
      <c r="U66" s="327"/>
      <c r="AA66" s="333" t="s">
        <v>2471</v>
      </c>
      <c r="AB66" s="327"/>
      <c r="AC66" s="327"/>
      <c r="AD66" s="327"/>
      <c r="AE66" s="327"/>
      <c r="AF66" s="327"/>
      <c r="AG66" s="327"/>
      <c r="AH66" s="327"/>
    </row>
    <row r="67" spans="1:34" s="230" customFormat="1">
      <c r="A67" s="281">
        <v>1</v>
      </c>
      <c r="B67" s="281" t="s">
        <v>2156</v>
      </c>
      <c r="C67" s="281" t="s">
        <v>2156</v>
      </c>
      <c r="D67" s="281" t="s">
        <v>1683</v>
      </c>
      <c r="E67" s="281" t="s">
        <v>114</v>
      </c>
      <c r="F67" s="281" t="s">
        <v>2092</v>
      </c>
      <c r="G67" s="281" t="s">
        <v>926</v>
      </c>
      <c r="H67" s="281" t="s">
        <v>2112</v>
      </c>
      <c r="I67" s="281" t="s">
        <v>2113</v>
      </c>
      <c r="J67" s="309" t="s">
        <v>2156</v>
      </c>
      <c r="K67" s="280">
        <v>81</v>
      </c>
      <c r="L67" s="305" t="s">
        <v>883</v>
      </c>
      <c r="M67" s="280" t="s">
        <v>430</v>
      </c>
      <c r="N67" s="307" t="s">
        <v>2156</v>
      </c>
      <c r="O67" s="280"/>
      <c r="R67" s="328">
        <v>67</v>
      </c>
      <c r="S67" s="332" t="s">
        <v>2373</v>
      </c>
      <c r="T67" s="327"/>
      <c r="U67" s="327"/>
      <c r="AA67" s="333" t="s">
        <v>2470</v>
      </c>
      <c r="AB67" s="327"/>
      <c r="AC67" s="327"/>
      <c r="AD67" s="327"/>
      <c r="AE67" s="327"/>
      <c r="AF67" s="327"/>
      <c r="AG67" s="327"/>
      <c r="AH67" s="327"/>
    </row>
    <row r="68" spans="1:34" s="230" customFormat="1">
      <c r="A68" s="281">
        <v>1</v>
      </c>
      <c r="B68" s="281" t="s">
        <v>2156</v>
      </c>
      <c r="C68" s="281" t="s">
        <v>2156</v>
      </c>
      <c r="D68" s="281" t="s">
        <v>1683</v>
      </c>
      <c r="E68" s="281" t="s">
        <v>114</v>
      </c>
      <c r="F68" s="281" t="s">
        <v>2092</v>
      </c>
      <c r="G68" s="281" t="s">
        <v>926</v>
      </c>
      <c r="H68" s="281" t="s">
        <v>2112</v>
      </c>
      <c r="I68" s="281" t="s">
        <v>2113</v>
      </c>
      <c r="J68" s="309" t="s">
        <v>2156</v>
      </c>
      <c r="K68" s="280">
        <v>87</v>
      </c>
      <c r="L68" s="305" t="s">
        <v>892</v>
      </c>
      <c r="M68" s="280" t="s">
        <v>455</v>
      </c>
      <c r="N68" s="307" t="s">
        <v>2156</v>
      </c>
      <c r="O68" s="280"/>
      <c r="R68" s="328">
        <v>68</v>
      </c>
      <c r="S68" s="333" t="s">
        <v>2374</v>
      </c>
      <c r="T68" s="327"/>
      <c r="U68" s="327"/>
      <c r="AA68" s="333" t="s">
        <v>2462</v>
      </c>
      <c r="AB68" s="327"/>
      <c r="AC68" s="327"/>
      <c r="AD68" s="327"/>
      <c r="AE68" s="327"/>
      <c r="AF68" s="327"/>
      <c r="AG68" s="327"/>
      <c r="AH68" s="327"/>
    </row>
    <row r="69" spans="1:34" s="230" customFormat="1">
      <c r="A69" s="281">
        <v>1</v>
      </c>
      <c r="B69" s="281" t="s">
        <v>2156</v>
      </c>
      <c r="C69" s="281" t="s">
        <v>2156</v>
      </c>
      <c r="D69" s="281" t="s">
        <v>1683</v>
      </c>
      <c r="E69" s="281" t="s">
        <v>114</v>
      </c>
      <c r="F69" s="281" t="s">
        <v>2092</v>
      </c>
      <c r="G69" s="281" t="s">
        <v>926</v>
      </c>
      <c r="H69" s="281" t="s">
        <v>2112</v>
      </c>
      <c r="I69" s="281" t="s">
        <v>2113</v>
      </c>
      <c r="J69" s="309" t="s">
        <v>2156</v>
      </c>
      <c r="K69" s="280">
        <v>88</v>
      </c>
      <c r="L69" s="305" t="s">
        <v>893</v>
      </c>
      <c r="M69" s="280" t="s">
        <v>455</v>
      </c>
      <c r="N69" s="307" t="s">
        <v>2156</v>
      </c>
      <c r="O69" s="280"/>
      <c r="R69" s="328">
        <v>69</v>
      </c>
      <c r="S69" s="332" t="s">
        <v>2375</v>
      </c>
      <c r="T69" s="327"/>
      <c r="U69" s="327"/>
      <c r="AA69" s="333" t="s">
        <v>2476</v>
      </c>
      <c r="AB69" s="327"/>
      <c r="AC69" s="327"/>
      <c r="AD69" s="327"/>
      <c r="AE69" s="327"/>
      <c r="AF69" s="327"/>
      <c r="AG69" s="327"/>
      <c r="AH69" s="327"/>
    </row>
    <row r="70" spans="1:34" s="230" customFormat="1">
      <c r="A70" s="281">
        <v>1</v>
      </c>
      <c r="B70" s="281" t="s">
        <v>2156</v>
      </c>
      <c r="C70" s="281" t="s">
        <v>2156</v>
      </c>
      <c r="D70" s="281" t="s">
        <v>1683</v>
      </c>
      <c r="E70" s="280" t="s">
        <v>123</v>
      </c>
      <c r="F70" s="280" t="s">
        <v>2094</v>
      </c>
      <c r="G70" s="280" t="s">
        <v>926</v>
      </c>
      <c r="H70" s="280" t="s">
        <v>2112</v>
      </c>
      <c r="I70" s="280" t="s">
        <v>2113</v>
      </c>
      <c r="J70" s="305" t="s">
        <v>2156</v>
      </c>
      <c r="K70" s="280">
        <v>84</v>
      </c>
      <c r="L70" s="305" t="s">
        <v>887</v>
      </c>
      <c r="M70" s="280" t="s">
        <v>2102</v>
      </c>
      <c r="N70" s="307" t="s">
        <v>2156</v>
      </c>
      <c r="O70" s="280"/>
      <c r="R70" s="328">
        <v>70</v>
      </c>
      <c r="S70" s="333" t="s">
        <v>2376</v>
      </c>
      <c r="T70" s="327"/>
      <c r="U70" s="327"/>
      <c r="AA70" s="333" t="s">
        <v>2477</v>
      </c>
      <c r="AB70" s="327"/>
      <c r="AC70" s="327"/>
      <c r="AD70" s="327"/>
      <c r="AE70" s="327"/>
      <c r="AF70" s="327"/>
      <c r="AG70" s="327"/>
      <c r="AH70" s="327"/>
    </row>
    <row r="71" spans="1:34" s="230" customFormat="1">
      <c r="A71" s="281">
        <v>1</v>
      </c>
      <c r="B71" s="281" t="s">
        <v>2156</v>
      </c>
      <c r="C71" s="281" t="s">
        <v>2156</v>
      </c>
      <c r="D71" s="281" t="s">
        <v>1683</v>
      </c>
      <c r="E71" s="281" t="s">
        <v>123</v>
      </c>
      <c r="F71" s="281" t="s">
        <v>2094</v>
      </c>
      <c r="G71" s="281" t="s">
        <v>926</v>
      </c>
      <c r="H71" s="281" t="s">
        <v>2112</v>
      </c>
      <c r="I71" s="281" t="s">
        <v>2113</v>
      </c>
      <c r="J71" s="309" t="s">
        <v>2156</v>
      </c>
      <c r="K71" s="280">
        <v>85</v>
      </c>
      <c r="L71" s="305" t="s">
        <v>2137</v>
      </c>
      <c r="M71" s="280" t="s">
        <v>2102</v>
      </c>
      <c r="N71" s="307" t="s">
        <v>2156</v>
      </c>
      <c r="O71" s="280"/>
      <c r="R71" s="328">
        <v>71</v>
      </c>
      <c r="S71" s="330" t="s">
        <v>2351</v>
      </c>
      <c r="T71" s="327"/>
      <c r="U71" s="327"/>
      <c r="AA71" s="331" t="s">
        <v>2478</v>
      </c>
      <c r="AB71" s="327"/>
      <c r="AC71" s="327"/>
      <c r="AD71" s="327"/>
      <c r="AE71" s="327"/>
      <c r="AF71" s="327"/>
      <c r="AG71" s="327"/>
      <c r="AH71" s="327"/>
    </row>
    <row r="72" spans="1:34" s="230" customFormat="1">
      <c r="A72" s="281">
        <v>1</v>
      </c>
      <c r="B72" s="281" t="s">
        <v>2156</v>
      </c>
      <c r="C72" s="281" t="s">
        <v>2156</v>
      </c>
      <c r="D72" s="281" t="s">
        <v>1683</v>
      </c>
      <c r="E72" s="280" t="s">
        <v>111</v>
      </c>
      <c r="F72" s="280" t="s">
        <v>2093</v>
      </c>
      <c r="G72" s="280" t="s">
        <v>2095</v>
      </c>
      <c r="H72" s="280" t="s">
        <v>2112</v>
      </c>
      <c r="I72" s="280" t="s">
        <v>2113</v>
      </c>
      <c r="J72" s="305" t="s">
        <v>2156</v>
      </c>
      <c r="K72" s="280">
        <v>27</v>
      </c>
      <c r="L72" s="305" t="s">
        <v>2127</v>
      </c>
      <c r="M72" s="280" t="s">
        <v>415</v>
      </c>
      <c r="N72" s="307" t="s">
        <v>2156</v>
      </c>
      <c r="O72" s="280"/>
      <c r="R72" s="328">
        <v>72</v>
      </c>
      <c r="S72" s="332" t="s">
        <v>2377</v>
      </c>
      <c r="T72" s="327"/>
      <c r="U72" s="327"/>
      <c r="AA72" s="333" t="s">
        <v>2471</v>
      </c>
      <c r="AB72" s="327"/>
      <c r="AC72" s="327"/>
      <c r="AD72" s="327"/>
      <c r="AE72" s="327"/>
      <c r="AF72" s="327"/>
      <c r="AG72" s="327"/>
      <c r="AH72" s="327"/>
    </row>
    <row r="73" spans="1:34" s="230" customFormat="1">
      <c r="A73" s="281">
        <v>1</v>
      </c>
      <c r="B73" s="281" t="s">
        <v>2156</v>
      </c>
      <c r="C73" s="281" t="s">
        <v>2156</v>
      </c>
      <c r="D73" s="281" t="s">
        <v>1683</v>
      </c>
      <c r="E73" s="281" t="s">
        <v>111</v>
      </c>
      <c r="F73" s="281" t="s">
        <v>2093</v>
      </c>
      <c r="G73" s="281" t="s">
        <v>2095</v>
      </c>
      <c r="H73" s="281" t="s">
        <v>2112</v>
      </c>
      <c r="I73" s="281" t="s">
        <v>2113</v>
      </c>
      <c r="J73" s="309" t="s">
        <v>2156</v>
      </c>
      <c r="K73" s="280">
        <v>30</v>
      </c>
      <c r="L73" s="305" t="s">
        <v>2169</v>
      </c>
      <c r="M73" s="280" t="s">
        <v>415</v>
      </c>
      <c r="N73" s="307" t="s">
        <v>2156</v>
      </c>
      <c r="O73" s="280"/>
      <c r="R73" s="328">
        <v>73</v>
      </c>
      <c r="S73" s="332" t="s">
        <v>2378</v>
      </c>
      <c r="T73" s="327"/>
      <c r="U73" s="327"/>
      <c r="AA73" s="333" t="s">
        <v>2470</v>
      </c>
      <c r="AB73" s="327"/>
      <c r="AC73" s="327"/>
      <c r="AD73" s="327"/>
      <c r="AE73" s="327"/>
      <c r="AF73" s="327"/>
      <c r="AG73" s="327"/>
      <c r="AH73" s="327"/>
    </row>
    <row r="74" spans="1:34" s="230" customFormat="1">
      <c r="A74" s="281">
        <v>1</v>
      </c>
      <c r="B74" s="281" t="s">
        <v>2156</v>
      </c>
      <c r="C74" s="281" t="s">
        <v>2156</v>
      </c>
      <c r="D74" s="281" t="s">
        <v>1683</v>
      </c>
      <c r="E74" s="281" t="s">
        <v>111</v>
      </c>
      <c r="F74" s="281" t="s">
        <v>2093</v>
      </c>
      <c r="G74" s="280" t="s">
        <v>2096</v>
      </c>
      <c r="H74" s="280" t="s">
        <v>2112</v>
      </c>
      <c r="I74" s="280" t="s">
        <v>2113</v>
      </c>
      <c r="J74" s="305" t="s">
        <v>2243</v>
      </c>
      <c r="K74" s="280">
        <v>33</v>
      </c>
      <c r="L74" s="305" t="s">
        <v>2148</v>
      </c>
      <c r="M74" s="280" t="s">
        <v>409</v>
      </c>
      <c r="N74" s="307" t="s">
        <v>2156</v>
      </c>
      <c r="O74" s="280"/>
      <c r="R74" s="328">
        <v>74</v>
      </c>
      <c r="S74" s="332"/>
      <c r="T74" s="327"/>
      <c r="U74" s="327"/>
      <c r="AA74" s="333" t="s">
        <v>2462</v>
      </c>
      <c r="AB74" s="327"/>
      <c r="AC74" s="327"/>
      <c r="AD74" s="327"/>
      <c r="AE74" s="327"/>
      <c r="AF74" s="327"/>
      <c r="AG74" s="327"/>
      <c r="AH74" s="327"/>
    </row>
    <row r="75" spans="1:34" s="230" customFormat="1">
      <c r="A75" s="281">
        <v>1</v>
      </c>
      <c r="B75" s="281" t="s">
        <v>2156</v>
      </c>
      <c r="C75" s="281" t="s">
        <v>2156</v>
      </c>
      <c r="D75" s="281" t="s">
        <v>1683</v>
      </c>
      <c r="E75" s="281" t="s">
        <v>111</v>
      </c>
      <c r="F75" s="281" t="s">
        <v>2093</v>
      </c>
      <c r="G75" s="281" t="s">
        <v>2096</v>
      </c>
      <c r="H75" s="281" t="s">
        <v>2112</v>
      </c>
      <c r="I75" s="280" t="s">
        <v>2115</v>
      </c>
      <c r="J75" s="305" t="s">
        <v>2156</v>
      </c>
      <c r="K75" s="280">
        <v>352</v>
      </c>
      <c r="L75" s="305" t="s">
        <v>348</v>
      </c>
      <c r="M75" s="280" t="s">
        <v>392</v>
      </c>
      <c r="N75" s="307" t="s">
        <v>2200</v>
      </c>
      <c r="O75" s="280"/>
      <c r="R75" s="328">
        <v>75</v>
      </c>
      <c r="S75" s="329" t="s">
        <v>2379</v>
      </c>
      <c r="T75" s="327"/>
      <c r="U75" s="327"/>
      <c r="AA75" s="333" t="s">
        <v>2472</v>
      </c>
      <c r="AB75" s="327"/>
      <c r="AC75" s="327"/>
      <c r="AD75" s="327"/>
      <c r="AE75" s="327"/>
      <c r="AF75" s="327"/>
      <c r="AG75" s="327"/>
      <c r="AH75" s="327"/>
    </row>
    <row r="76" spans="1:34" s="230" customFormat="1">
      <c r="A76" s="281">
        <v>1</v>
      </c>
      <c r="B76" s="281" t="s">
        <v>2156</v>
      </c>
      <c r="C76" s="281" t="s">
        <v>2156</v>
      </c>
      <c r="D76" s="281" t="s">
        <v>1683</v>
      </c>
      <c r="E76" s="280" t="s">
        <v>2089</v>
      </c>
      <c r="F76" s="280" t="s">
        <v>2090</v>
      </c>
      <c r="G76" s="280" t="s">
        <v>926</v>
      </c>
      <c r="H76" s="280" t="s">
        <v>2112</v>
      </c>
      <c r="I76" s="280" t="s">
        <v>2113</v>
      </c>
      <c r="J76" s="305" t="s">
        <v>2243</v>
      </c>
      <c r="K76" s="280">
        <v>55</v>
      </c>
      <c r="L76" s="305" t="s">
        <v>847</v>
      </c>
      <c r="M76" s="280" t="s">
        <v>2100</v>
      </c>
      <c r="N76" s="307" t="s">
        <v>2156</v>
      </c>
      <c r="O76" s="280"/>
      <c r="R76" s="328">
        <v>76</v>
      </c>
      <c r="S76" s="330" t="s">
        <v>2340</v>
      </c>
      <c r="T76" s="327"/>
      <c r="U76" s="327"/>
      <c r="AA76" s="327"/>
      <c r="AB76" s="327"/>
      <c r="AC76" s="327"/>
      <c r="AD76" s="327"/>
      <c r="AE76" s="327"/>
      <c r="AF76" s="327"/>
      <c r="AG76" s="327"/>
      <c r="AH76" s="327"/>
    </row>
    <row r="77" spans="1:34" s="230" customFormat="1">
      <c r="A77" s="281">
        <v>1</v>
      </c>
      <c r="B77" s="281" t="s">
        <v>2156</v>
      </c>
      <c r="C77" s="281" t="s">
        <v>2156</v>
      </c>
      <c r="D77" s="280" t="s">
        <v>1752</v>
      </c>
      <c r="E77" s="280" t="s">
        <v>111</v>
      </c>
      <c r="F77" s="280" t="s">
        <v>117</v>
      </c>
      <c r="G77" s="280" t="s">
        <v>2098</v>
      </c>
      <c r="H77" s="280" t="s">
        <v>2112</v>
      </c>
      <c r="I77" s="280" t="s">
        <v>2113</v>
      </c>
      <c r="J77" s="305" t="s">
        <v>2156</v>
      </c>
      <c r="K77" s="280">
        <v>14</v>
      </c>
      <c r="L77" s="305" t="s">
        <v>2120</v>
      </c>
      <c r="M77" s="280" t="s">
        <v>478</v>
      </c>
      <c r="N77" s="307" t="s">
        <v>2156</v>
      </c>
      <c r="O77" s="280"/>
      <c r="R77" s="328">
        <v>77</v>
      </c>
      <c r="S77" s="332" t="s">
        <v>2380</v>
      </c>
      <c r="T77" s="327"/>
      <c r="U77" s="327"/>
      <c r="AA77" s="230" t="s">
        <v>2488</v>
      </c>
      <c r="AB77" s="327"/>
      <c r="AC77" s="327"/>
      <c r="AD77" s="327"/>
      <c r="AE77" s="327"/>
      <c r="AF77" s="327"/>
      <c r="AG77" s="327"/>
      <c r="AH77" s="327"/>
    </row>
    <row r="78" spans="1:34" s="230" customFormat="1">
      <c r="A78" s="281">
        <v>1</v>
      </c>
      <c r="B78" s="281" t="s">
        <v>2156</v>
      </c>
      <c r="C78" s="281" t="s">
        <v>2156</v>
      </c>
      <c r="D78" s="280" t="s">
        <v>1861</v>
      </c>
      <c r="E78" s="280" t="s">
        <v>1578</v>
      </c>
      <c r="F78" s="280" t="s">
        <v>187</v>
      </c>
      <c r="G78" s="280" t="s">
        <v>926</v>
      </c>
      <c r="H78" s="280" t="s">
        <v>2112</v>
      </c>
      <c r="I78" s="280" t="s">
        <v>2114</v>
      </c>
      <c r="J78" s="305" t="s">
        <v>2156</v>
      </c>
      <c r="K78" s="280">
        <v>107</v>
      </c>
      <c r="L78" s="305" t="s">
        <v>1960</v>
      </c>
      <c r="M78" s="280" t="s">
        <v>646</v>
      </c>
      <c r="N78" s="307" t="s">
        <v>2201</v>
      </c>
      <c r="O78" s="280"/>
      <c r="R78" s="328">
        <v>78</v>
      </c>
      <c r="S78" s="332" t="s">
        <v>2381</v>
      </c>
      <c r="T78" s="327"/>
      <c r="U78" s="327"/>
      <c r="AA78" s="331" t="s">
        <v>2489</v>
      </c>
      <c r="AB78" s="327"/>
      <c r="AC78" s="327"/>
      <c r="AD78" s="327"/>
      <c r="AE78" s="327"/>
      <c r="AF78" s="327"/>
      <c r="AG78" s="327"/>
      <c r="AH78" s="327"/>
    </row>
    <row r="79" spans="1:34" s="230" customFormat="1">
      <c r="A79" s="281">
        <v>1</v>
      </c>
      <c r="B79" s="281" t="s">
        <v>2156</v>
      </c>
      <c r="C79" s="281" t="s">
        <v>2156</v>
      </c>
      <c r="D79" s="281" t="s">
        <v>1861</v>
      </c>
      <c r="E79" s="281" t="s">
        <v>1578</v>
      </c>
      <c r="F79" s="281" t="s">
        <v>187</v>
      </c>
      <c r="G79" s="281" t="s">
        <v>926</v>
      </c>
      <c r="H79" s="281" t="s">
        <v>2112</v>
      </c>
      <c r="I79" s="281" t="s">
        <v>2114</v>
      </c>
      <c r="J79" s="305" t="s">
        <v>2247</v>
      </c>
      <c r="K79" s="280">
        <v>119</v>
      </c>
      <c r="L79" s="305" t="s">
        <v>577</v>
      </c>
      <c r="M79" s="280" t="s">
        <v>646</v>
      </c>
      <c r="N79" s="307" t="s">
        <v>77</v>
      </c>
      <c r="O79" s="280"/>
      <c r="R79" s="328">
        <v>79</v>
      </c>
      <c r="S79" s="330" t="s">
        <v>2351</v>
      </c>
      <c r="T79" s="327"/>
      <c r="U79" s="327"/>
      <c r="AA79" s="331" t="s">
        <v>2490</v>
      </c>
      <c r="AB79" s="327"/>
      <c r="AC79" s="327"/>
      <c r="AD79" s="327"/>
      <c r="AE79" s="327"/>
      <c r="AF79" s="327"/>
      <c r="AG79" s="327"/>
      <c r="AH79" s="327"/>
    </row>
    <row r="80" spans="1:34" s="230" customFormat="1">
      <c r="A80" s="280" t="s">
        <v>2156</v>
      </c>
      <c r="B80" s="280">
        <v>1</v>
      </c>
      <c r="C80" s="280">
        <v>1</v>
      </c>
      <c r="D80" s="280" t="s">
        <v>470</v>
      </c>
      <c r="E80" s="280" t="s">
        <v>111</v>
      </c>
      <c r="F80" s="280" t="s">
        <v>117</v>
      </c>
      <c r="G80" s="280" t="s">
        <v>1999</v>
      </c>
      <c r="H80" s="280" t="s">
        <v>2112</v>
      </c>
      <c r="I80" s="280" t="s">
        <v>2114</v>
      </c>
      <c r="J80" s="305" t="s">
        <v>2240</v>
      </c>
      <c r="K80" s="280">
        <v>103</v>
      </c>
      <c r="L80" s="305" t="s">
        <v>1959</v>
      </c>
      <c r="M80" s="280" t="s">
        <v>471</v>
      </c>
      <c r="N80" s="307" t="s">
        <v>77</v>
      </c>
      <c r="O80" s="280"/>
      <c r="R80" s="328">
        <v>80</v>
      </c>
      <c r="S80" s="332" t="s">
        <v>2382</v>
      </c>
      <c r="T80" s="327"/>
      <c r="U80" s="327"/>
      <c r="AA80" s="331" t="s">
        <v>2492</v>
      </c>
      <c r="AB80" s="327"/>
      <c r="AC80" s="327"/>
      <c r="AD80" s="327"/>
      <c r="AE80" s="327"/>
      <c r="AF80" s="327"/>
      <c r="AG80" s="327"/>
      <c r="AH80" s="327"/>
    </row>
    <row r="81" spans="1:34" s="230" customFormat="1">
      <c r="A81" s="281" t="s">
        <v>2156</v>
      </c>
      <c r="B81" s="280" t="s">
        <v>2156</v>
      </c>
      <c r="C81" s="280">
        <v>1</v>
      </c>
      <c r="D81" s="280" t="s">
        <v>470</v>
      </c>
      <c r="E81" s="280" t="s">
        <v>123</v>
      </c>
      <c r="F81" s="280" t="s">
        <v>2094</v>
      </c>
      <c r="G81" s="280" t="s">
        <v>926</v>
      </c>
      <c r="H81" s="280" t="s">
        <v>2112</v>
      </c>
      <c r="I81" s="280" t="s">
        <v>2115</v>
      </c>
      <c r="J81" s="305" t="s">
        <v>2240</v>
      </c>
      <c r="K81" s="280">
        <v>291</v>
      </c>
      <c r="L81" s="305" t="s">
        <v>533</v>
      </c>
      <c r="M81" s="280" t="s">
        <v>530</v>
      </c>
      <c r="N81" s="307" t="s">
        <v>322</v>
      </c>
      <c r="O81" s="280"/>
      <c r="R81" s="328">
        <v>81</v>
      </c>
      <c r="S81" s="332" t="s">
        <v>2383</v>
      </c>
      <c r="T81" s="327"/>
      <c r="U81" s="327"/>
      <c r="AB81" s="327"/>
      <c r="AC81" s="327"/>
      <c r="AD81" s="327"/>
      <c r="AE81" s="327"/>
      <c r="AF81" s="327"/>
      <c r="AG81" s="327"/>
      <c r="AH81" s="327"/>
    </row>
    <row r="82" spans="1:34" s="230" customFormat="1">
      <c r="A82" s="281" t="s">
        <v>2156</v>
      </c>
      <c r="B82" s="281" t="s">
        <v>2156</v>
      </c>
      <c r="C82" s="281">
        <v>1</v>
      </c>
      <c r="D82" s="281" t="s">
        <v>470</v>
      </c>
      <c r="E82" s="280" t="s">
        <v>111</v>
      </c>
      <c r="F82" s="280" t="s">
        <v>117</v>
      </c>
      <c r="G82" s="280" t="s">
        <v>1999</v>
      </c>
      <c r="H82" s="280" t="s">
        <v>2112</v>
      </c>
      <c r="I82" s="280" t="s">
        <v>2113</v>
      </c>
      <c r="J82" s="305" t="s">
        <v>2232</v>
      </c>
      <c r="K82" s="280">
        <v>13</v>
      </c>
      <c r="L82" s="305" t="s">
        <v>773</v>
      </c>
      <c r="M82" s="280" t="s">
        <v>495</v>
      </c>
      <c r="N82" s="307" t="s">
        <v>2156</v>
      </c>
      <c r="O82" s="280"/>
      <c r="R82" s="328">
        <v>82</v>
      </c>
      <c r="S82" s="332"/>
      <c r="T82" s="327"/>
      <c r="U82" s="327"/>
      <c r="AA82" s="342" t="s">
        <v>2304</v>
      </c>
      <c r="AB82" s="327"/>
      <c r="AC82" s="327"/>
      <c r="AD82" s="327"/>
      <c r="AE82" s="327"/>
      <c r="AF82" s="327"/>
      <c r="AG82" s="327"/>
      <c r="AH82" s="327"/>
    </row>
    <row r="83" spans="1:34" s="230" customFormat="1">
      <c r="A83" s="281" t="s">
        <v>2156</v>
      </c>
      <c r="B83" s="281" t="s">
        <v>2156</v>
      </c>
      <c r="C83" s="281">
        <v>1</v>
      </c>
      <c r="D83" s="281" t="s">
        <v>470</v>
      </c>
      <c r="E83" s="281" t="s">
        <v>111</v>
      </c>
      <c r="F83" s="281" t="s">
        <v>117</v>
      </c>
      <c r="G83" s="281" t="s">
        <v>1999</v>
      </c>
      <c r="H83" s="281" t="s">
        <v>2112</v>
      </c>
      <c r="I83" s="281" t="s">
        <v>2113</v>
      </c>
      <c r="J83" s="309" t="s">
        <v>2232</v>
      </c>
      <c r="K83" s="280">
        <v>18</v>
      </c>
      <c r="L83" s="305" t="s">
        <v>2158</v>
      </c>
      <c r="M83" s="280" t="s">
        <v>471</v>
      </c>
      <c r="N83" s="307" t="s">
        <v>2156</v>
      </c>
      <c r="O83" s="280"/>
      <c r="R83" s="328">
        <v>83</v>
      </c>
      <c r="S83" s="329" t="s">
        <v>2384</v>
      </c>
      <c r="T83" s="327"/>
      <c r="U83" s="327"/>
      <c r="AA83" s="342" t="s">
        <v>2168</v>
      </c>
      <c r="AB83" s="327"/>
      <c r="AC83" s="327"/>
      <c r="AD83" s="327"/>
      <c r="AE83" s="327"/>
      <c r="AF83" s="327"/>
      <c r="AG83" s="327"/>
      <c r="AH83" s="327"/>
    </row>
    <row r="84" spans="1:34" s="230" customFormat="1">
      <c r="A84" s="281" t="s">
        <v>2156</v>
      </c>
      <c r="B84" s="281" t="s">
        <v>2156</v>
      </c>
      <c r="C84" s="281">
        <v>1</v>
      </c>
      <c r="D84" s="281" t="s">
        <v>470</v>
      </c>
      <c r="E84" s="281" t="s">
        <v>111</v>
      </c>
      <c r="F84" s="281" t="s">
        <v>117</v>
      </c>
      <c r="G84" s="281" t="s">
        <v>1999</v>
      </c>
      <c r="H84" s="281" t="s">
        <v>2112</v>
      </c>
      <c r="I84" s="280" t="s">
        <v>2115</v>
      </c>
      <c r="J84" s="305" t="s">
        <v>2240</v>
      </c>
      <c r="K84" s="280">
        <v>281</v>
      </c>
      <c r="L84" s="305" t="s">
        <v>1978</v>
      </c>
      <c r="M84" s="280" t="s">
        <v>471</v>
      </c>
      <c r="N84" s="307" t="s">
        <v>322</v>
      </c>
      <c r="O84" s="280"/>
      <c r="R84" s="328">
        <v>84</v>
      </c>
      <c r="S84" s="330" t="s">
        <v>2340</v>
      </c>
      <c r="T84" s="327"/>
      <c r="U84" s="327"/>
      <c r="AA84" s="342" t="s">
        <v>2491</v>
      </c>
      <c r="AB84" s="327"/>
      <c r="AC84" s="327"/>
      <c r="AD84" s="327"/>
      <c r="AE84" s="327"/>
      <c r="AF84" s="327"/>
      <c r="AG84" s="327"/>
      <c r="AH84" s="327"/>
    </row>
    <row r="85" spans="1:34" s="230" customFormat="1">
      <c r="A85" s="281" t="s">
        <v>2156</v>
      </c>
      <c r="B85" s="281" t="s">
        <v>2156</v>
      </c>
      <c r="C85" s="281">
        <v>1</v>
      </c>
      <c r="D85" s="281" t="s">
        <v>470</v>
      </c>
      <c r="E85" s="281" t="s">
        <v>111</v>
      </c>
      <c r="F85" s="281" t="s">
        <v>117</v>
      </c>
      <c r="G85" s="281" t="s">
        <v>1999</v>
      </c>
      <c r="H85" s="281" t="s">
        <v>2112</v>
      </c>
      <c r="I85" s="281" t="s">
        <v>2115</v>
      </c>
      <c r="J85" s="309" t="s">
        <v>2240</v>
      </c>
      <c r="K85" s="280">
        <v>287</v>
      </c>
      <c r="L85" s="305" t="s">
        <v>1979</v>
      </c>
      <c r="M85" s="280" t="s">
        <v>506</v>
      </c>
      <c r="N85" s="307" t="s">
        <v>322</v>
      </c>
      <c r="O85" s="280"/>
      <c r="R85" s="328">
        <v>85</v>
      </c>
      <c r="S85" s="332" t="s">
        <v>2385</v>
      </c>
      <c r="T85" s="327"/>
      <c r="U85" s="327"/>
      <c r="AA85" s="342" t="s">
        <v>2173</v>
      </c>
      <c r="AB85" s="327"/>
      <c r="AC85" s="327"/>
      <c r="AD85" s="327"/>
      <c r="AE85" s="327"/>
      <c r="AF85" s="327"/>
      <c r="AG85" s="327"/>
      <c r="AH85" s="327"/>
    </row>
    <row r="86" spans="1:34" s="230" customFormat="1">
      <c r="A86" s="281" t="s">
        <v>2156</v>
      </c>
      <c r="B86" s="281" t="s">
        <v>2156</v>
      </c>
      <c r="C86" s="281">
        <v>1</v>
      </c>
      <c r="D86" s="281" t="s">
        <v>470</v>
      </c>
      <c r="E86" s="281" t="s">
        <v>111</v>
      </c>
      <c r="F86" s="281" t="s">
        <v>117</v>
      </c>
      <c r="G86" s="280" t="s">
        <v>2097</v>
      </c>
      <c r="H86" s="280" t="s">
        <v>2112</v>
      </c>
      <c r="I86" s="280" t="s">
        <v>2115</v>
      </c>
      <c r="J86" s="305" t="s">
        <v>2240</v>
      </c>
      <c r="K86" s="280">
        <v>284</v>
      </c>
      <c r="L86" s="305" t="s">
        <v>493</v>
      </c>
      <c r="M86" s="280" t="s">
        <v>489</v>
      </c>
      <c r="N86" s="307" t="s">
        <v>322</v>
      </c>
      <c r="O86" s="280"/>
      <c r="R86" s="328">
        <v>86</v>
      </c>
      <c r="S86" s="332" t="s">
        <v>2386</v>
      </c>
      <c r="T86" s="327"/>
      <c r="U86" s="327"/>
      <c r="AA86" s="342" t="s">
        <v>2242</v>
      </c>
      <c r="AB86" s="327"/>
      <c r="AC86" s="327"/>
      <c r="AD86" s="327"/>
      <c r="AE86" s="327"/>
      <c r="AF86" s="327"/>
      <c r="AG86" s="327"/>
      <c r="AH86" s="327"/>
    </row>
    <row r="87" spans="1:34" s="230" customFormat="1">
      <c r="A87" s="281" t="s">
        <v>2156</v>
      </c>
      <c r="B87" s="281" t="s">
        <v>2156</v>
      </c>
      <c r="C87" s="281">
        <v>1</v>
      </c>
      <c r="D87" s="281" t="s">
        <v>470</v>
      </c>
      <c r="E87" s="281" t="s">
        <v>111</v>
      </c>
      <c r="F87" s="281" t="s">
        <v>117</v>
      </c>
      <c r="G87" s="281" t="s">
        <v>2097</v>
      </c>
      <c r="H87" s="281" t="s">
        <v>2112</v>
      </c>
      <c r="I87" s="281" t="s">
        <v>2115</v>
      </c>
      <c r="J87" s="309" t="s">
        <v>2240</v>
      </c>
      <c r="K87" s="280">
        <v>288</v>
      </c>
      <c r="L87" s="305" t="s">
        <v>516</v>
      </c>
      <c r="M87" s="280" t="s">
        <v>512</v>
      </c>
      <c r="N87" s="307" t="s">
        <v>322</v>
      </c>
      <c r="O87" s="280"/>
      <c r="R87" s="328">
        <v>87</v>
      </c>
      <c r="S87" s="330" t="s">
        <v>2351</v>
      </c>
      <c r="T87" s="327"/>
      <c r="U87" s="327"/>
      <c r="AA87" s="342" t="s">
        <v>2306</v>
      </c>
      <c r="AB87" s="327"/>
      <c r="AC87" s="327"/>
      <c r="AD87" s="327"/>
      <c r="AE87" s="327"/>
      <c r="AF87" s="327"/>
      <c r="AG87" s="327"/>
      <c r="AH87" s="327"/>
    </row>
    <row r="88" spans="1:34" s="230" customFormat="1">
      <c r="A88" s="281" t="s">
        <v>2156</v>
      </c>
      <c r="B88" s="281" t="s">
        <v>2156</v>
      </c>
      <c r="C88" s="281">
        <v>1</v>
      </c>
      <c r="D88" s="281" t="s">
        <v>470</v>
      </c>
      <c r="E88" s="281" t="s">
        <v>111</v>
      </c>
      <c r="F88" s="280" t="s">
        <v>2093</v>
      </c>
      <c r="G88" s="280" t="s">
        <v>2154</v>
      </c>
      <c r="H88" s="280" t="s">
        <v>2112</v>
      </c>
      <c r="I88" s="280" t="s">
        <v>2115</v>
      </c>
      <c r="J88" s="305" t="s">
        <v>2240</v>
      </c>
      <c r="K88" s="280">
        <v>297</v>
      </c>
      <c r="L88" s="305" t="s">
        <v>564</v>
      </c>
      <c r="M88" s="280" t="s">
        <v>560</v>
      </c>
      <c r="N88" s="307" t="s">
        <v>322</v>
      </c>
      <c r="O88" s="280"/>
      <c r="R88" s="328">
        <v>88</v>
      </c>
      <c r="S88" s="332" t="s">
        <v>2387</v>
      </c>
      <c r="T88" s="327"/>
      <c r="U88" s="327"/>
      <c r="AA88" s="327"/>
      <c r="AB88" s="327"/>
      <c r="AC88" s="327"/>
      <c r="AD88" s="327"/>
      <c r="AE88" s="327"/>
      <c r="AF88" s="327"/>
      <c r="AG88" s="327"/>
      <c r="AH88" s="327"/>
    </row>
    <row r="89" spans="1:34" s="230" customFormat="1">
      <c r="A89" s="281" t="s">
        <v>2156</v>
      </c>
      <c r="B89" s="281" t="s">
        <v>2156</v>
      </c>
      <c r="C89" s="281">
        <v>1</v>
      </c>
      <c r="D89" s="280" t="s">
        <v>1745</v>
      </c>
      <c r="E89" s="280" t="s">
        <v>111</v>
      </c>
      <c r="F89" s="280" t="s">
        <v>2093</v>
      </c>
      <c r="G89" s="280" t="s">
        <v>2095</v>
      </c>
      <c r="H89" s="280" t="s">
        <v>2112</v>
      </c>
      <c r="I89" s="280" t="s">
        <v>2115</v>
      </c>
      <c r="J89" s="305" t="s">
        <v>2240</v>
      </c>
      <c r="K89" s="280">
        <v>271</v>
      </c>
      <c r="L89" s="305" t="s">
        <v>429</v>
      </c>
      <c r="M89" s="280" t="s">
        <v>427</v>
      </c>
      <c r="N89" s="307" t="s">
        <v>322</v>
      </c>
      <c r="O89" s="280"/>
      <c r="R89" s="328">
        <v>89</v>
      </c>
      <c r="S89" s="332" t="s">
        <v>2388</v>
      </c>
      <c r="T89" s="327"/>
      <c r="U89" s="327"/>
      <c r="AA89" s="327"/>
      <c r="AB89" s="327"/>
      <c r="AC89" s="327"/>
      <c r="AD89" s="327"/>
      <c r="AE89" s="327"/>
      <c r="AF89" s="327"/>
      <c r="AG89" s="327"/>
      <c r="AH89" s="327"/>
    </row>
    <row r="90" spans="1:34" s="230" customFormat="1">
      <c r="A90" s="281" t="s">
        <v>2156</v>
      </c>
      <c r="B90" s="281" t="s">
        <v>2156</v>
      </c>
      <c r="C90" s="281">
        <v>1</v>
      </c>
      <c r="D90" s="281" t="s">
        <v>1745</v>
      </c>
      <c r="E90" s="281" t="s">
        <v>111</v>
      </c>
      <c r="F90" s="281" t="s">
        <v>2093</v>
      </c>
      <c r="G90" s="280" t="s">
        <v>2096</v>
      </c>
      <c r="H90" s="280" t="s">
        <v>2112</v>
      </c>
      <c r="I90" s="280" t="s">
        <v>2115</v>
      </c>
      <c r="J90" s="305" t="s">
        <v>2240</v>
      </c>
      <c r="K90" s="280">
        <v>266</v>
      </c>
      <c r="L90" s="305" t="s">
        <v>2245</v>
      </c>
      <c r="M90" s="280" t="s">
        <v>403</v>
      </c>
      <c r="N90" s="307" t="s">
        <v>322</v>
      </c>
      <c r="O90" s="280"/>
      <c r="R90" s="328"/>
      <c r="S90" s="332"/>
      <c r="T90" s="327"/>
      <c r="U90" s="327"/>
      <c r="AA90" s="327"/>
      <c r="AB90" s="327"/>
      <c r="AC90" s="327"/>
      <c r="AD90" s="327"/>
      <c r="AE90" s="327"/>
      <c r="AF90" s="327"/>
      <c r="AG90" s="327"/>
      <c r="AH90" s="327"/>
    </row>
    <row r="91" spans="1:34" s="230" customFormat="1">
      <c r="A91" s="286" t="s">
        <v>2156</v>
      </c>
      <c r="B91" s="286" t="s">
        <v>2156</v>
      </c>
      <c r="C91" s="286">
        <v>1</v>
      </c>
      <c r="D91" s="282" t="s">
        <v>1683</v>
      </c>
      <c r="E91" s="282" t="s">
        <v>111</v>
      </c>
      <c r="F91" s="282" t="s">
        <v>2093</v>
      </c>
      <c r="G91" s="282" t="s">
        <v>2095</v>
      </c>
      <c r="H91" s="282" t="s">
        <v>2112</v>
      </c>
      <c r="I91" s="282" t="s">
        <v>2115</v>
      </c>
      <c r="J91" s="306" t="s">
        <v>2240</v>
      </c>
      <c r="K91" s="282">
        <v>268</v>
      </c>
      <c r="L91" s="306" t="s">
        <v>418</v>
      </c>
      <c r="M91" s="282" t="s">
        <v>415</v>
      </c>
      <c r="N91" s="308" t="s">
        <v>322</v>
      </c>
      <c r="O91" s="282"/>
      <c r="R91" s="328"/>
      <c r="S91" s="327"/>
      <c r="T91" s="327"/>
      <c r="U91" s="327"/>
      <c r="AA91" s="327"/>
      <c r="AB91" s="327"/>
      <c r="AC91" s="327"/>
      <c r="AD91" s="327"/>
      <c r="AE91" s="327"/>
      <c r="AF91" s="327"/>
      <c r="AG91" s="327"/>
      <c r="AH91" s="327"/>
    </row>
  </sheetData>
  <autoFilter ref="A1:O1" xr:uid="{D6EB1102-2C8E-4044-82B8-F44E1CE41952}"/>
  <phoneticPr fontId="1"/>
  <conditionalFormatting sqref="A1:XFD76 A77:Z77 AB77:XFD77 A78:XFD78 A79:Z86 AB79:XFD86 AA83:AA86 A87:XFD91">
    <cfRule type="containsText" dxfId="3586" priority="1" operator="containsText" text="(空白)">
      <formula>NOT(ISERROR(SEARCH("(空白)",A1)))</formula>
    </cfRule>
  </conditionalFormatting>
  <pageMargins left="0.39370078740157483" right="0.39370078740157483" top="0.31496062992125984" bottom="0.31496062992125984" header="0.15748031496062992" footer="0.31496062992125984"/>
  <pageSetup paperSize="9" scale="26" fitToHeight="0" orientation="portrait" horizontalDpi="1200" verticalDpi="1200" r:id="rId1"/>
  <headerFooter>
    <oddHeader>&amp;R&amp;8&amp;P/&amp;N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47D1-6748-4B9A-B136-7C202323221D}">
  <sheetPr>
    <tabColor theme="4"/>
  </sheetPr>
  <dimension ref="B1:L36"/>
  <sheetViews>
    <sheetView workbookViewId="0"/>
  </sheetViews>
  <sheetFormatPr defaultRowHeight="12.6"/>
  <cols>
    <col min="1" max="1" width="8.7265625" style="103"/>
    <col min="2" max="2" width="2.81640625" style="103" customWidth="1"/>
    <col min="3" max="3" width="2.453125" style="103" customWidth="1"/>
    <col min="4" max="16384" width="8.7265625" style="103"/>
  </cols>
  <sheetData>
    <row r="1" spans="2:12" s="314" customFormat="1">
      <c r="D1" s="315">
        <v>46087</v>
      </c>
      <c r="E1" s="314" t="s">
        <v>2249</v>
      </c>
      <c r="K1" s="315">
        <v>46079</v>
      </c>
      <c r="L1" s="314" t="s">
        <v>2250</v>
      </c>
    </row>
    <row r="2" spans="2:12">
      <c r="B2" s="103" t="s">
        <v>2251</v>
      </c>
      <c r="K2" s="103" t="s">
        <v>2252</v>
      </c>
    </row>
    <row r="3" spans="2:12">
      <c r="C3" s="103" t="s">
        <v>2253</v>
      </c>
      <c r="K3" s="103" t="s">
        <v>2254</v>
      </c>
    </row>
    <row r="4" spans="2:12">
      <c r="D4" s="103" t="s">
        <v>2255</v>
      </c>
      <c r="K4" s="103" t="s">
        <v>2256</v>
      </c>
    </row>
    <row r="5" spans="2:12">
      <c r="C5" s="103" t="s">
        <v>2257</v>
      </c>
      <c r="K5" s="103" t="s">
        <v>2258</v>
      </c>
    </row>
    <row r="6" spans="2:12">
      <c r="C6" s="103" t="s">
        <v>2259</v>
      </c>
      <c r="D6" s="103" t="s">
        <v>2260</v>
      </c>
      <c r="K6" s="103" t="s">
        <v>2261</v>
      </c>
    </row>
    <row r="7" spans="2:12">
      <c r="C7" s="103" t="s">
        <v>2262</v>
      </c>
    </row>
    <row r="8" spans="2:12">
      <c r="D8" s="103" t="s">
        <v>2263</v>
      </c>
      <c r="K8" s="103" t="s">
        <v>2264</v>
      </c>
    </row>
    <row r="9" spans="2:12">
      <c r="C9" s="103" t="s">
        <v>2265</v>
      </c>
      <c r="K9" s="103" t="s">
        <v>2266</v>
      </c>
    </row>
    <row r="10" spans="2:12">
      <c r="D10" s="103" t="s">
        <v>2267</v>
      </c>
      <c r="K10" s="103" t="s">
        <v>2268</v>
      </c>
    </row>
    <row r="11" spans="2:12">
      <c r="C11" s="103" t="s">
        <v>2269</v>
      </c>
      <c r="K11" s="103" t="s">
        <v>2270</v>
      </c>
    </row>
    <row r="12" spans="2:12">
      <c r="D12" s="103" t="s">
        <v>2271</v>
      </c>
      <c r="K12" s="103" t="s">
        <v>2261</v>
      </c>
    </row>
    <row r="13" spans="2:12">
      <c r="C13" s="103" t="s">
        <v>2272</v>
      </c>
    </row>
    <row r="14" spans="2:12">
      <c r="D14" s="103" t="s">
        <v>2273</v>
      </c>
      <c r="K14" s="103" t="s">
        <v>2274</v>
      </c>
    </row>
    <row r="15" spans="2:12">
      <c r="D15" s="103" t="s">
        <v>2275</v>
      </c>
      <c r="K15" s="103" t="s">
        <v>2276</v>
      </c>
    </row>
    <row r="16" spans="2:12">
      <c r="D16" s="103" t="s">
        <v>2277</v>
      </c>
      <c r="K16" s="103" t="s">
        <v>2278</v>
      </c>
    </row>
    <row r="17" spans="2:11">
      <c r="C17" s="103" t="s">
        <v>2279</v>
      </c>
      <c r="K17" s="103" t="s">
        <v>2280</v>
      </c>
    </row>
    <row r="18" spans="2:11">
      <c r="D18" s="103" t="s">
        <v>2281</v>
      </c>
      <c r="K18" s="316" t="s">
        <v>2282</v>
      </c>
    </row>
    <row r="19" spans="2:11">
      <c r="D19" s="103" t="s">
        <v>2283</v>
      </c>
    </row>
    <row r="20" spans="2:11">
      <c r="D20" s="103" t="s">
        <v>2284</v>
      </c>
      <c r="K20" s="103" t="s">
        <v>2285</v>
      </c>
    </row>
    <row r="21" spans="2:11">
      <c r="D21" s="103" t="s">
        <v>2286</v>
      </c>
      <c r="K21" s="103" t="s">
        <v>464</v>
      </c>
    </row>
    <row r="22" spans="2:11">
      <c r="K22" s="103" t="s">
        <v>2287</v>
      </c>
    </row>
    <row r="23" spans="2:11">
      <c r="B23" s="103" t="s">
        <v>2288</v>
      </c>
      <c r="K23" s="103" t="s">
        <v>636</v>
      </c>
    </row>
    <row r="24" spans="2:11">
      <c r="C24" s="103" t="s">
        <v>2289</v>
      </c>
    </row>
    <row r="25" spans="2:11">
      <c r="D25" s="103" t="s">
        <v>2290</v>
      </c>
      <c r="K25" s="103" t="s">
        <v>2291</v>
      </c>
    </row>
    <row r="26" spans="2:11">
      <c r="D26" s="103" t="s">
        <v>2292</v>
      </c>
      <c r="K26" s="103" t="s">
        <v>2293</v>
      </c>
    </row>
    <row r="27" spans="2:11">
      <c r="D27" s="317" t="s">
        <v>2294</v>
      </c>
      <c r="F27" s="317"/>
      <c r="K27" s="103" t="s">
        <v>1992</v>
      </c>
    </row>
    <row r="28" spans="2:11">
      <c r="D28" s="103" t="s">
        <v>2295</v>
      </c>
      <c r="K28" s="103" t="s">
        <v>646</v>
      </c>
    </row>
    <row r="31" spans="2:11">
      <c r="K31" s="103" t="s">
        <v>2296</v>
      </c>
    </row>
    <row r="33" spans="11:11">
      <c r="K33" s="103" t="s">
        <v>2297</v>
      </c>
    </row>
    <row r="34" spans="11:11">
      <c r="K34" s="103" t="s">
        <v>2298</v>
      </c>
    </row>
    <row r="35" spans="11:11">
      <c r="K35" s="103" t="s">
        <v>2299</v>
      </c>
    </row>
    <row r="36" spans="11:11">
      <c r="K36" s="103" t="s">
        <v>2300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0F422-E3A2-42BD-8986-1AB134D23908}">
  <dimension ref="A3:C46"/>
  <sheetViews>
    <sheetView workbookViewId="0">
      <pane ySplit="3" topLeftCell="A4" activePane="bottomLeft" state="frozen"/>
      <selection pane="bottomLeft" activeCell="C1" sqref="C1"/>
    </sheetView>
  </sheetViews>
  <sheetFormatPr defaultRowHeight="11.4"/>
  <cols>
    <col min="1" max="2" width="8.7265625" style="2" customWidth="1"/>
    <col min="3" max="16384" width="8.7265625" style="2"/>
  </cols>
  <sheetData>
    <row r="3" spans="1:3">
      <c r="A3" s="65" t="s">
        <v>2223</v>
      </c>
      <c r="B3" s="66" t="s">
        <v>2333</v>
      </c>
      <c r="C3" s="320" t="s">
        <v>2334</v>
      </c>
    </row>
    <row r="4" spans="1:3">
      <c r="A4" s="66" t="s">
        <v>2301</v>
      </c>
      <c r="B4" s="321">
        <v>5</v>
      </c>
      <c r="C4" s="322">
        <v>1</v>
      </c>
    </row>
    <row r="5" spans="1:3">
      <c r="A5" s="70" t="s">
        <v>2224</v>
      </c>
      <c r="B5" s="323"/>
      <c r="C5" s="324">
        <v>3</v>
      </c>
    </row>
    <row r="6" spans="1:3">
      <c r="A6" s="70" t="s">
        <v>2225</v>
      </c>
      <c r="B6" s="323"/>
      <c r="C6" s="324">
        <v>1</v>
      </c>
    </row>
    <row r="7" spans="1:3">
      <c r="A7" s="70" t="s">
        <v>2226</v>
      </c>
      <c r="B7" s="323"/>
      <c r="C7" s="324">
        <v>2</v>
      </c>
    </row>
    <row r="8" spans="1:3">
      <c r="A8" s="70" t="s">
        <v>2302</v>
      </c>
      <c r="B8" s="323">
        <v>30</v>
      </c>
      <c r="C8" s="324">
        <v>7</v>
      </c>
    </row>
    <row r="9" spans="1:3">
      <c r="A9" s="70" t="s">
        <v>2227</v>
      </c>
      <c r="B9" s="323"/>
      <c r="C9" s="324">
        <v>1</v>
      </c>
    </row>
    <row r="10" spans="1:3">
      <c r="A10" s="70" t="s">
        <v>2303</v>
      </c>
      <c r="B10" s="323">
        <v>5</v>
      </c>
      <c r="C10" s="324">
        <v>1</v>
      </c>
    </row>
    <row r="11" spans="1:3">
      <c r="A11" s="70" t="s">
        <v>2228</v>
      </c>
      <c r="B11" s="323">
        <v>4</v>
      </c>
      <c r="C11" s="324">
        <v>4</v>
      </c>
    </row>
    <row r="12" spans="1:3">
      <c r="A12" s="70" t="s">
        <v>2229</v>
      </c>
      <c r="B12" s="323"/>
      <c r="C12" s="324">
        <v>3</v>
      </c>
    </row>
    <row r="13" spans="1:3">
      <c r="A13" s="70" t="s">
        <v>2230</v>
      </c>
      <c r="B13" s="323"/>
      <c r="C13" s="324">
        <v>1</v>
      </c>
    </row>
    <row r="14" spans="1:3">
      <c r="A14" s="70" t="s">
        <v>2304</v>
      </c>
      <c r="B14" s="323"/>
      <c r="C14" s="324">
        <v>1</v>
      </c>
    </row>
    <row r="15" spans="1:3">
      <c r="A15" s="70" t="s">
        <v>1644</v>
      </c>
      <c r="B15" s="323"/>
      <c r="C15" s="324">
        <v>1</v>
      </c>
    </row>
    <row r="16" spans="1:3">
      <c r="A16" s="70" t="s">
        <v>2305</v>
      </c>
      <c r="B16" s="323">
        <v>4</v>
      </c>
      <c r="C16" s="324">
        <v>1</v>
      </c>
    </row>
    <row r="17" spans="1:3">
      <c r="A17" s="70" t="s">
        <v>2231</v>
      </c>
      <c r="B17" s="323"/>
      <c r="C17" s="324">
        <v>1</v>
      </c>
    </row>
    <row r="18" spans="1:3">
      <c r="A18" s="70" t="s">
        <v>2306</v>
      </c>
      <c r="B18" s="323"/>
      <c r="C18" s="324">
        <v>1</v>
      </c>
    </row>
    <row r="19" spans="1:3">
      <c r="A19" s="70" t="s">
        <v>2232</v>
      </c>
      <c r="B19" s="323"/>
      <c r="C19" s="324">
        <v>2</v>
      </c>
    </row>
    <row r="20" spans="1:3">
      <c r="A20" s="70" t="s">
        <v>2160</v>
      </c>
      <c r="B20" s="323"/>
      <c r="C20" s="324">
        <v>3</v>
      </c>
    </row>
    <row r="21" spans="1:3">
      <c r="A21" s="70" t="s">
        <v>2307</v>
      </c>
      <c r="B21" s="323"/>
      <c r="C21" s="324">
        <v>1</v>
      </c>
    </row>
    <row r="22" spans="1:3">
      <c r="A22" s="70" t="s">
        <v>1660</v>
      </c>
      <c r="B22" s="323"/>
      <c r="C22" s="324">
        <v>1</v>
      </c>
    </row>
    <row r="23" spans="1:3">
      <c r="A23" s="70" t="s">
        <v>2233</v>
      </c>
      <c r="B23" s="323"/>
      <c r="C23" s="324">
        <v>5</v>
      </c>
    </row>
    <row r="24" spans="1:3">
      <c r="A24" s="70" t="s">
        <v>2234</v>
      </c>
      <c r="B24" s="323"/>
      <c r="C24" s="324">
        <v>3</v>
      </c>
    </row>
    <row r="25" spans="1:3">
      <c r="A25" s="70" t="s">
        <v>2247</v>
      </c>
      <c r="B25" s="323">
        <v>92</v>
      </c>
      <c r="C25" s="324">
        <v>21</v>
      </c>
    </row>
    <row r="26" spans="1:3">
      <c r="A26" s="70" t="s">
        <v>2308</v>
      </c>
      <c r="B26" s="323">
        <v>5</v>
      </c>
      <c r="C26" s="324">
        <v>1</v>
      </c>
    </row>
    <row r="27" spans="1:3">
      <c r="A27" s="70" t="s">
        <v>2235</v>
      </c>
      <c r="B27" s="323"/>
      <c r="C27" s="324">
        <v>4</v>
      </c>
    </row>
    <row r="28" spans="1:3">
      <c r="A28" s="70" t="s">
        <v>2309</v>
      </c>
      <c r="B28" s="323"/>
      <c r="C28" s="324">
        <v>2</v>
      </c>
    </row>
    <row r="29" spans="1:3">
      <c r="A29" s="70" t="s">
        <v>2310</v>
      </c>
      <c r="B29" s="323">
        <v>5</v>
      </c>
      <c r="C29" s="324">
        <v>1</v>
      </c>
    </row>
    <row r="30" spans="1:3">
      <c r="A30" s="70" t="s">
        <v>2311</v>
      </c>
      <c r="B30" s="323">
        <v>9</v>
      </c>
      <c r="C30" s="324">
        <v>2</v>
      </c>
    </row>
    <row r="31" spans="1:3">
      <c r="A31" s="70" t="s">
        <v>2312</v>
      </c>
      <c r="B31" s="323">
        <v>5</v>
      </c>
      <c r="C31" s="324">
        <v>1</v>
      </c>
    </row>
    <row r="32" spans="1:3">
      <c r="A32" s="70" t="s">
        <v>2313</v>
      </c>
      <c r="B32" s="323">
        <v>16</v>
      </c>
      <c r="C32" s="324">
        <v>4</v>
      </c>
    </row>
    <row r="33" spans="1:3">
      <c r="A33" s="70" t="s">
        <v>2314</v>
      </c>
      <c r="B33" s="323">
        <v>13</v>
      </c>
      <c r="C33" s="324">
        <v>3</v>
      </c>
    </row>
    <row r="34" spans="1:3">
      <c r="A34" s="70" t="s">
        <v>2171</v>
      </c>
      <c r="B34" s="323">
        <v>35</v>
      </c>
      <c r="C34" s="324">
        <v>9</v>
      </c>
    </row>
    <row r="35" spans="1:3">
      <c r="A35" s="70" t="s">
        <v>2236</v>
      </c>
      <c r="B35" s="323"/>
      <c r="C35" s="324">
        <v>1</v>
      </c>
    </row>
    <row r="36" spans="1:3">
      <c r="A36" s="70" t="s">
        <v>2315</v>
      </c>
      <c r="B36" s="323"/>
      <c r="C36" s="324">
        <v>1</v>
      </c>
    </row>
    <row r="37" spans="1:3">
      <c r="A37" s="70" t="s">
        <v>2316</v>
      </c>
      <c r="B37" s="323">
        <v>5</v>
      </c>
      <c r="C37" s="324">
        <v>1</v>
      </c>
    </row>
    <row r="38" spans="1:3">
      <c r="A38" s="70" t="s">
        <v>2243</v>
      </c>
      <c r="B38" s="323">
        <v>3</v>
      </c>
      <c r="C38" s="324">
        <v>3</v>
      </c>
    </row>
    <row r="39" spans="1:3">
      <c r="A39" s="70" t="s">
        <v>2317</v>
      </c>
      <c r="B39" s="323">
        <v>8</v>
      </c>
      <c r="C39" s="324">
        <v>2</v>
      </c>
    </row>
    <row r="40" spans="1:3">
      <c r="A40" s="70" t="s">
        <v>2318</v>
      </c>
      <c r="B40" s="323">
        <v>5</v>
      </c>
      <c r="C40" s="324">
        <v>1</v>
      </c>
    </row>
    <row r="41" spans="1:3">
      <c r="A41" s="70" t="s">
        <v>2319</v>
      </c>
      <c r="B41" s="323">
        <v>5</v>
      </c>
      <c r="C41" s="324">
        <v>1</v>
      </c>
    </row>
    <row r="42" spans="1:3">
      <c r="A42" s="70" t="s">
        <v>2240</v>
      </c>
      <c r="B42" s="323">
        <v>43</v>
      </c>
      <c r="C42" s="324">
        <v>11</v>
      </c>
    </row>
    <row r="43" spans="1:3">
      <c r="A43" s="70" t="s">
        <v>2320</v>
      </c>
      <c r="B43" s="323">
        <v>4</v>
      </c>
      <c r="C43" s="324">
        <v>1</v>
      </c>
    </row>
    <row r="44" spans="1:3">
      <c r="A44" s="70" t="s">
        <v>2156</v>
      </c>
      <c r="B44" s="323">
        <v>1169</v>
      </c>
      <c r="C44" s="324">
        <v>351</v>
      </c>
    </row>
    <row r="45" spans="1:3">
      <c r="A45" s="73" t="s">
        <v>331</v>
      </c>
      <c r="B45" s="325">
        <v>1470</v>
      </c>
      <c r="C45" s="326">
        <v>465</v>
      </c>
    </row>
    <row r="46" spans="1:3" ht="14.4">
      <c r="A46"/>
      <c r="B46"/>
      <c r="C46"/>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35F69-943A-4934-99C4-54BD06540A89}">
  <dimension ref="A1:N95"/>
  <sheetViews>
    <sheetView workbookViewId="0">
      <pane ySplit="5" topLeftCell="A6" activePane="bottomLeft" state="frozen"/>
      <selection pane="bottomLeft"/>
    </sheetView>
  </sheetViews>
  <sheetFormatPr defaultColWidth="9.36328125" defaultRowHeight="9.6"/>
  <cols>
    <col min="1" max="3" width="3.6328125" style="230" customWidth="1"/>
    <col min="4" max="4" width="9.26953125" style="230" bestFit="1" customWidth="1"/>
    <col min="5" max="6" width="7.81640625" style="230" bestFit="1" customWidth="1"/>
    <col min="7" max="7" width="8.90625" style="230" bestFit="1" customWidth="1"/>
    <col min="8" max="9" width="7" style="230" bestFit="1" customWidth="1"/>
    <col min="10" max="10" width="10.1796875" style="230" bestFit="1" customWidth="1"/>
    <col min="11" max="11" width="4.36328125" style="230" bestFit="1" customWidth="1"/>
    <col min="12" max="12" width="74.90625" style="230" customWidth="1"/>
    <col min="13" max="14" width="8.453125" style="230" customWidth="1"/>
    <col min="15" max="16384" width="9.36328125" style="230"/>
  </cols>
  <sheetData>
    <row r="1" spans="1:14" ht="14.4">
      <c r="A1"/>
      <c r="B1"/>
    </row>
    <row r="2" spans="1:14">
      <c r="A2" s="297" t="s">
        <v>2116</v>
      </c>
      <c r="B2" s="278">
        <v>1</v>
      </c>
    </row>
    <row r="3" spans="1:14">
      <c r="A3" s="285" t="s">
        <v>2155</v>
      </c>
      <c r="B3" s="279" t="s">
        <v>2156</v>
      </c>
    </row>
    <row r="4" spans="1:14" ht="14.4">
      <c r="A4" s="298"/>
      <c r="B4" s="298"/>
      <c r="C4" s="298"/>
      <c r="D4" s="298"/>
      <c r="E4" s="298"/>
      <c r="F4" s="298"/>
      <c r="G4" s="298"/>
      <c r="H4" s="298"/>
      <c r="I4" s="298"/>
      <c r="J4" s="298"/>
    </row>
    <row r="5" spans="1:14" s="304" customFormat="1" ht="19.2">
      <c r="A5" s="302" t="s">
        <v>2117</v>
      </c>
      <c r="B5" s="302" t="s">
        <v>2118</v>
      </c>
      <c r="C5" s="302" t="s">
        <v>2237</v>
      </c>
      <c r="D5" s="302" t="s">
        <v>2153</v>
      </c>
      <c r="E5" s="302" t="s">
        <v>2105</v>
      </c>
      <c r="F5" s="302" t="s">
        <v>2106</v>
      </c>
      <c r="G5" s="302" t="s">
        <v>2107</v>
      </c>
      <c r="H5" s="302" t="s">
        <v>2110</v>
      </c>
      <c r="I5" s="302" t="s">
        <v>2111</v>
      </c>
      <c r="J5" s="302" t="s">
        <v>2223</v>
      </c>
      <c r="K5" s="302" t="s">
        <v>1022</v>
      </c>
      <c r="L5" s="302" t="s">
        <v>2119</v>
      </c>
      <c r="M5" s="302" t="s">
        <v>606</v>
      </c>
      <c r="N5" s="303" t="s">
        <v>2197</v>
      </c>
    </row>
    <row r="6" spans="1:14">
      <c r="A6" s="280">
        <v>1</v>
      </c>
      <c r="B6" s="280">
        <v>1</v>
      </c>
      <c r="C6" s="280">
        <v>1</v>
      </c>
      <c r="D6" s="280" t="s">
        <v>1683</v>
      </c>
      <c r="E6" s="280" t="s">
        <v>111</v>
      </c>
      <c r="F6" s="280" t="s">
        <v>2093</v>
      </c>
      <c r="G6" s="280" t="s">
        <v>2095</v>
      </c>
      <c r="H6" s="280" t="s">
        <v>2112</v>
      </c>
      <c r="I6" s="280" t="s">
        <v>2113</v>
      </c>
      <c r="J6" s="305" t="s">
        <v>2236</v>
      </c>
      <c r="K6" s="280">
        <v>28</v>
      </c>
      <c r="L6" s="305" t="s">
        <v>2199</v>
      </c>
      <c r="M6" s="280" t="s">
        <v>415</v>
      </c>
      <c r="N6" s="307" t="s">
        <v>2156</v>
      </c>
    </row>
    <row r="7" spans="1:14">
      <c r="A7" s="281">
        <v>1</v>
      </c>
      <c r="B7" s="281">
        <v>1</v>
      </c>
      <c r="C7" s="280" t="s">
        <v>2156</v>
      </c>
      <c r="D7" s="280" t="s">
        <v>470</v>
      </c>
      <c r="E7" s="280" t="s">
        <v>111</v>
      </c>
      <c r="F7" s="280" t="s">
        <v>117</v>
      </c>
      <c r="G7" s="280" t="s">
        <v>1999</v>
      </c>
      <c r="H7" s="280" t="s">
        <v>2112</v>
      </c>
      <c r="I7" s="280" t="s">
        <v>2113</v>
      </c>
      <c r="J7" s="305" t="s">
        <v>2160</v>
      </c>
      <c r="K7" s="280">
        <v>17</v>
      </c>
      <c r="L7" s="305" t="s">
        <v>2124</v>
      </c>
      <c r="M7" s="280" t="s">
        <v>471</v>
      </c>
      <c r="N7" s="307" t="s">
        <v>2156</v>
      </c>
    </row>
    <row r="8" spans="1:14">
      <c r="A8" s="281">
        <v>1</v>
      </c>
      <c r="B8" s="281">
        <v>1</v>
      </c>
      <c r="C8" s="281" t="s">
        <v>2156</v>
      </c>
      <c r="D8" s="281" t="s">
        <v>470</v>
      </c>
      <c r="E8" s="281" t="s">
        <v>111</v>
      </c>
      <c r="F8" s="281" t="s">
        <v>117</v>
      </c>
      <c r="G8" s="281" t="s">
        <v>1999</v>
      </c>
      <c r="H8" s="281" t="s">
        <v>2112</v>
      </c>
      <c r="I8" s="281" t="s">
        <v>2113</v>
      </c>
      <c r="J8" s="305" t="s">
        <v>2156</v>
      </c>
      <c r="K8" s="280">
        <v>12</v>
      </c>
      <c r="L8" s="305" t="s">
        <v>772</v>
      </c>
      <c r="M8" s="280" t="s">
        <v>495</v>
      </c>
      <c r="N8" s="307" t="s">
        <v>2156</v>
      </c>
    </row>
    <row r="9" spans="1:14">
      <c r="A9" s="281">
        <v>1</v>
      </c>
      <c r="B9" s="281">
        <v>1</v>
      </c>
      <c r="C9" s="281" t="s">
        <v>2156</v>
      </c>
      <c r="D9" s="281" t="s">
        <v>470</v>
      </c>
      <c r="E9" s="281" t="s">
        <v>111</v>
      </c>
      <c r="F9" s="281" t="s">
        <v>117</v>
      </c>
      <c r="G9" s="281" t="s">
        <v>1999</v>
      </c>
      <c r="H9" s="281" t="s">
        <v>2112</v>
      </c>
      <c r="I9" s="281" t="s">
        <v>2113</v>
      </c>
      <c r="J9" s="309" t="s">
        <v>2156</v>
      </c>
      <c r="K9" s="280">
        <v>20</v>
      </c>
      <c r="L9" s="305" t="s">
        <v>906</v>
      </c>
      <c r="M9" s="280" t="s">
        <v>471</v>
      </c>
      <c r="N9" s="307" t="s">
        <v>2156</v>
      </c>
    </row>
    <row r="10" spans="1:14">
      <c r="A10" s="281">
        <v>1</v>
      </c>
      <c r="B10" s="281">
        <v>1</v>
      </c>
      <c r="C10" s="281" t="s">
        <v>2156</v>
      </c>
      <c r="D10" s="281" t="s">
        <v>470</v>
      </c>
      <c r="E10" s="281" t="s">
        <v>111</v>
      </c>
      <c r="F10" s="281" t="s">
        <v>117</v>
      </c>
      <c r="G10" s="280" t="s">
        <v>2097</v>
      </c>
      <c r="H10" s="280" t="s">
        <v>2112</v>
      </c>
      <c r="I10" s="280" t="s">
        <v>2113</v>
      </c>
      <c r="J10" s="305" t="s">
        <v>2229</v>
      </c>
      <c r="K10" s="280">
        <v>5</v>
      </c>
      <c r="L10" s="305" t="s">
        <v>761</v>
      </c>
      <c r="M10" s="280" t="s">
        <v>512</v>
      </c>
      <c r="N10" s="307" t="s">
        <v>2156</v>
      </c>
    </row>
    <row r="11" spans="1:14">
      <c r="A11" s="281">
        <v>1</v>
      </c>
      <c r="B11" s="281">
        <v>1</v>
      </c>
      <c r="C11" s="281" t="s">
        <v>2156</v>
      </c>
      <c r="D11" s="281" t="s">
        <v>470</v>
      </c>
      <c r="E11" s="281" t="s">
        <v>111</v>
      </c>
      <c r="F11" s="281" t="s">
        <v>117</v>
      </c>
      <c r="G11" s="281" t="s">
        <v>2097</v>
      </c>
      <c r="H11" s="281" t="s">
        <v>2112</v>
      </c>
      <c r="I11" s="281" t="s">
        <v>2113</v>
      </c>
      <c r="J11" s="309" t="s">
        <v>2229</v>
      </c>
      <c r="K11" s="280">
        <v>6</v>
      </c>
      <c r="L11" s="305" t="s">
        <v>762</v>
      </c>
      <c r="M11" s="280" t="s">
        <v>512</v>
      </c>
      <c r="N11" s="307" t="s">
        <v>2156</v>
      </c>
    </row>
    <row r="12" spans="1:14">
      <c r="A12" s="281">
        <v>1</v>
      </c>
      <c r="B12" s="281">
        <v>1</v>
      </c>
      <c r="C12" s="281" t="s">
        <v>2156</v>
      </c>
      <c r="D12" s="281" t="s">
        <v>470</v>
      </c>
      <c r="E12" s="281" t="s">
        <v>111</v>
      </c>
      <c r="F12" s="281" t="s">
        <v>117</v>
      </c>
      <c r="G12" s="281" t="s">
        <v>2097</v>
      </c>
      <c r="H12" s="281" t="s">
        <v>2112</v>
      </c>
      <c r="I12" s="281" t="s">
        <v>2113</v>
      </c>
      <c r="J12" s="305" t="s">
        <v>2160</v>
      </c>
      <c r="K12" s="280">
        <v>2</v>
      </c>
      <c r="L12" s="305" t="s">
        <v>2144</v>
      </c>
      <c r="M12" s="280" t="s">
        <v>489</v>
      </c>
      <c r="N12" s="307" t="s">
        <v>2156</v>
      </c>
    </row>
    <row r="13" spans="1:14">
      <c r="A13" s="281">
        <v>1</v>
      </c>
      <c r="B13" s="281">
        <v>1</v>
      </c>
      <c r="C13" s="281" t="s">
        <v>2156</v>
      </c>
      <c r="D13" s="281" t="s">
        <v>470</v>
      </c>
      <c r="E13" s="281" t="s">
        <v>111</v>
      </c>
      <c r="F13" s="281" t="s">
        <v>117</v>
      </c>
      <c r="G13" s="281" t="s">
        <v>2097</v>
      </c>
      <c r="H13" s="281" t="s">
        <v>2112</v>
      </c>
      <c r="I13" s="281" t="s">
        <v>2113</v>
      </c>
      <c r="J13" s="309" t="s">
        <v>2160</v>
      </c>
      <c r="K13" s="280">
        <v>4</v>
      </c>
      <c r="L13" s="305" t="s">
        <v>760</v>
      </c>
      <c r="M13" s="280" t="s">
        <v>512</v>
      </c>
      <c r="N13" s="307" t="s">
        <v>2156</v>
      </c>
    </row>
    <row r="14" spans="1:14">
      <c r="A14" s="281">
        <v>1</v>
      </c>
      <c r="B14" s="281">
        <v>1</v>
      </c>
      <c r="C14" s="281" t="s">
        <v>2156</v>
      </c>
      <c r="D14" s="281" t="s">
        <v>470</v>
      </c>
      <c r="E14" s="281" t="s">
        <v>111</v>
      </c>
      <c r="F14" s="281" t="s">
        <v>117</v>
      </c>
      <c r="G14" s="281" t="s">
        <v>2097</v>
      </c>
      <c r="H14" s="281" t="s">
        <v>2112</v>
      </c>
      <c r="I14" s="281" t="s">
        <v>2113</v>
      </c>
      <c r="J14" s="305" t="s">
        <v>2156</v>
      </c>
      <c r="K14" s="280">
        <v>1</v>
      </c>
      <c r="L14" s="305" t="s">
        <v>2129</v>
      </c>
      <c r="M14" s="280" t="s">
        <v>489</v>
      </c>
      <c r="N14" s="307" t="s">
        <v>2156</v>
      </c>
    </row>
    <row r="15" spans="1:14">
      <c r="A15" s="281">
        <v>1</v>
      </c>
      <c r="B15" s="281">
        <v>1</v>
      </c>
      <c r="C15" s="281" t="s">
        <v>2156</v>
      </c>
      <c r="D15" s="280" t="s">
        <v>1683</v>
      </c>
      <c r="E15" s="280" t="s">
        <v>114</v>
      </c>
      <c r="F15" s="280" t="s">
        <v>2092</v>
      </c>
      <c r="G15" s="280" t="s">
        <v>926</v>
      </c>
      <c r="H15" s="280" t="s">
        <v>2112</v>
      </c>
      <c r="I15" s="280" t="s">
        <v>2113</v>
      </c>
      <c r="J15" s="305" t="s">
        <v>2224</v>
      </c>
      <c r="K15" s="280">
        <v>62</v>
      </c>
      <c r="L15" s="305" t="s">
        <v>2138</v>
      </c>
      <c r="M15" s="280" t="s">
        <v>380</v>
      </c>
      <c r="N15" s="307" t="s">
        <v>2156</v>
      </c>
    </row>
    <row r="16" spans="1:14">
      <c r="A16" s="281">
        <v>1</v>
      </c>
      <c r="B16" s="281">
        <v>1</v>
      </c>
      <c r="C16" s="281" t="s">
        <v>2156</v>
      </c>
      <c r="D16" s="281" t="s">
        <v>1683</v>
      </c>
      <c r="E16" s="281" t="s">
        <v>114</v>
      </c>
      <c r="F16" s="281" t="s">
        <v>2092</v>
      </c>
      <c r="G16" s="281" t="s">
        <v>926</v>
      </c>
      <c r="H16" s="281" t="s">
        <v>2112</v>
      </c>
      <c r="I16" s="281" t="s">
        <v>2113</v>
      </c>
      <c r="J16" s="309" t="s">
        <v>2224</v>
      </c>
      <c r="K16" s="280">
        <v>90</v>
      </c>
      <c r="L16" s="305" t="s">
        <v>895</v>
      </c>
      <c r="M16" s="280" t="s">
        <v>455</v>
      </c>
      <c r="N16" s="307" t="s">
        <v>2156</v>
      </c>
    </row>
    <row r="17" spans="1:14">
      <c r="A17" s="281">
        <v>1</v>
      </c>
      <c r="B17" s="281">
        <v>1</v>
      </c>
      <c r="C17" s="281" t="s">
        <v>2156</v>
      </c>
      <c r="D17" s="281" t="s">
        <v>1683</v>
      </c>
      <c r="E17" s="281" t="s">
        <v>114</v>
      </c>
      <c r="F17" s="281" t="s">
        <v>2092</v>
      </c>
      <c r="G17" s="281" t="s">
        <v>926</v>
      </c>
      <c r="H17" s="281" t="s">
        <v>2112</v>
      </c>
      <c r="I17" s="281" t="s">
        <v>2113</v>
      </c>
      <c r="J17" s="305" t="s">
        <v>2225</v>
      </c>
      <c r="K17" s="280">
        <v>73</v>
      </c>
      <c r="L17" s="305" t="s">
        <v>2122</v>
      </c>
      <c r="M17" s="280" t="s">
        <v>449</v>
      </c>
      <c r="N17" s="307" t="s">
        <v>2156</v>
      </c>
    </row>
    <row r="18" spans="1:14">
      <c r="A18" s="281">
        <v>1</v>
      </c>
      <c r="B18" s="281">
        <v>1</v>
      </c>
      <c r="C18" s="281" t="s">
        <v>2156</v>
      </c>
      <c r="D18" s="281" t="s">
        <v>1683</v>
      </c>
      <c r="E18" s="281" t="s">
        <v>114</v>
      </c>
      <c r="F18" s="281" t="s">
        <v>2092</v>
      </c>
      <c r="G18" s="281" t="s">
        <v>926</v>
      </c>
      <c r="H18" s="281" t="s">
        <v>2112</v>
      </c>
      <c r="I18" s="281" t="s">
        <v>2113</v>
      </c>
      <c r="J18" s="305" t="s">
        <v>2226</v>
      </c>
      <c r="K18" s="280">
        <v>60</v>
      </c>
      <c r="L18" s="305" t="s">
        <v>2123</v>
      </c>
      <c r="M18" s="280" t="s">
        <v>380</v>
      </c>
      <c r="N18" s="307" t="s">
        <v>2156</v>
      </c>
    </row>
    <row r="19" spans="1:14">
      <c r="A19" s="281">
        <v>1</v>
      </c>
      <c r="B19" s="281">
        <v>1</v>
      </c>
      <c r="C19" s="281" t="s">
        <v>2156</v>
      </c>
      <c r="D19" s="281" t="s">
        <v>1683</v>
      </c>
      <c r="E19" s="281" t="s">
        <v>114</v>
      </c>
      <c r="F19" s="281" t="s">
        <v>2092</v>
      </c>
      <c r="G19" s="281" t="s">
        <v>926</v>
      </c>
      <c r="H19" s="281" t="s">
        <v>2112</v>
      </c>
      <c r="I19" s="281" t="s">
        <v>2113</v>
      </c>
      <c r="J19" s="309" t="s">
        <v>2226</v>
      </c>
      <c r="K19" s="280">
        <v>68</v>
      </c>
      <c r="L19" s="305" t="s">
        <v>866</v>
      </c>
      <c r="M19" s="280" t="s">
        <v>443</v>
      </c>
      <c r="N19" s="307" t="s">
        <v>2156</v>
      </c>
    </row>
    <row r="20" spans="1:14">
      <c r="A20" s="281">
        <v>1</v>
      </c>
      <c r="B20" s="281">
        <v>1</v>
      </c>
      <c r="C20" s="281" t="s">
        <v>2156</v>
      </c>
      <c r="D20" s="281" t="s">
        <v>1683</v>
      </c>
      <c r="E20" s="281" t="s">
        <v>114</v>
      </c>
      <c r="F20" s="281" t="s">
        <v>2092</v>
      </c>
      <c r="G20" s="281" t="s">
        <v>926</v>
      </c>
      <c r="H20" s="281" t="s">
        <v>2112</v>
      </c>
      <c r="I20" s="281" t="s">
        <v>2113</v>
      </c>
      <c r="J20" s="305" t="s">
        <v>2228</v>
      </c>
      <c r="K20" s="280">
        <v>59</v>
      </c>
      <c r="L20" s="305" t="s">
        <v>2142</v>
      </c>
      <c r="M20" s="280" t="s">
        <v>380</v>
      </c>
      <c r="N20" s="307" t="s">
        <v>2156</v>
      </c>
    </row>
    <row r="21" spans="1:14">
      <c r="A21" s="281">
        <v>1</v>
      </c>
      <c r="B21" s="281">
        <v>1</v>
      </c>
      <c r="C21" s="281" t="s">
        <v>2156</v>
      </c>
      <c r="D21" s="281" t="s">
        <v>1683</v>
      </c>
      <c r="E21" s="281" t="s">
        <v>114</v>
      </c>
      <c r="F21" s="281" t="s">
        <v>2092</v>
      </c>
      <c r="G21" s="281" t="s">
        <v>926</v>
      </c>
      <c r="H21" s="281" t="s">
        <v>2112</v>
      </c>
      <c r="I21" s="281" t="s">
        <v>2113</v>
      </c>
      <c r="J21" s="309" t="s">
        <v>2228</v>
      </c>
      <c r="K21" s="280">
        <v>67</v>
      </c>
      <c r="L21" s="305" t="s">
        <v>865</v>
      </c>
      <c r="M21" s="280" t="s">
        <v>443</v>
      </c>
      <c r="N21" s="307" t="s">
        <v>2156</v>
      </c>
    </row>
    <row r="22" spans="1:14">
      <c r="A22" s="281">
        <v>1</v>
      </c>
      <c r="B22" s="281">
        <v>1</v>
      </c>
      <c r="C22" s="281" t="s">
        <v>2156</v>
      </c>
      <c r="D22" s="281" t="s">
        <v>1683</v>
      </c>
      <c r="E22" s="281" t="s">
        <v>114</v>
      </c>
      <c r="F22" s="281" t="s">
        <v>2092</v>
      </c>
      <c r="G22" s="281" t="s">
        <v>926</v>
      </c>
      <c r="H22" s="281" t="s">
        <v>2112</v>
      </c>
      <c r="I22" s="281" t="s">
        <v>2113</v>
      </c>
      <c r="J22" s="309" t="s">
        <v>2228</v>
      </c>
      <c r="K22" s="280">
        <v>89</v>
      </c>
      <c r="L22" s="305" t="s">
        <v>894</v>
      </c>
      <c r="M22" s="280" t="s">
        <v>455</v>
      </c>
      <c r="N22" s="307" t="s">
        <v>2156</v>
      </c>
    </row>
    <row r="23" spans="1:14">
      <c r="A23" s="281">
        <v>1</v>
      </c>
      <c r="B23" s="281">
        <v>1</v>
      </c>
      <c r="C23" s="281" t="s">
        <v>2156</v>
      </c>
      <c r="D23" s="281" t="s">
        <v>1683</v>
      </c>
      <c r="E23" s="281" t="s">
        <v>114</v>
      </c>
      <c r="F23" s="281" t="s">
        <v>2092</v>
      </c>
      <c r="G23" s="281" t="s">
        <v>926</v>
      </c>
      <c r="H23" s="281" t="s">
        <v>2112</v>
      </c>
      <c r="I23" s="281" t="s">
        <v>2113</v>
      </c>
      <c r="J23" s="305" t="s">
        <v>2229</v>
      </c>
      <c r="K23" s="280">
        <v>82</v>
      </c>
      <c r="L23" s="305" t="s">
        <v>884</v>
      </c>
      <c r="M23" s="280" t="s">
        <v>430</v>
      </c>
      <c r="N23" s="307" t="s">
        <v>2156</v>
      </c>
    </row>
    <row r="24" spans="1:14">
      <c r="A24" s="281">
        <v>1</v>
      </c>
      <c r="B24" s="281">
        <v>1</v>
      </c>
      <c r="C24" s="281" t="s">
        <v>2156</v>
      </c>
      <c r="D24" s="281" t="s">
        <v>1683</v>
      </c>
      <c r="E24" s="281" t="s">
        <v>114</v>
      </c>
      <c r="F24" s="281" t="s">
        <v>2092</v>
      </c>
      <c r="G24" s="281" t="s">
        <v>926</v>
      </c>
      <c r="H24" s="281" t="s">
        <v>2112</v>
      </c>
      <c r="I24" s="281" t="s">
        <v>2113</v>
      </c>
      <c r="J24" s="305" t="s">
        <v>2233</v>
      </c>
      <c r="K24" s="280">
        <v>91</v>
      </c>
      <c r="L24" s="305" t="s">
        <v>896</v>
      </c>
      <c r="M24" s="280" t="s">
        <v>455</v>
      </c>
      <c r="N24" s="307" t="s">
        <v>2156</v>
      </c>
    </row>
    <row r="25" spans="1:14">
      <c r="A25" s="281">
        <v>1</v>
      </c>
      <c r="B25" s="281">
        <v>1</v>
      </c>
      <c r="C25" s="281" t="s">
        <v>2156</v>
      </c>
      <c r="D25" s="281" t="s">
        <v>1683</v>
      </c>
      <c r="E25" s="281" t="s">
        <v>114</v>
      </c>
      <c r="F25" s="281" t="s">
        <v>2092</v>
      </c>
      <c r="G25" s="281" t="s">
        <v>926</v>
      </c>
      <c r="H25" s="281" t="s">
        <v>2112</v>
      </c>
      <c r="I25" s="281" t="s">
        <v>2113</v>
      </c>
      <c r="J25" s="305" t="s">
        <v>2235</v>
      </c>
      <c r="K25" s="280">
        <v>83</v>
      </c>
      <c r="L25" s="305" t="s">
        <v>885</v>
      </c>
      <c r="M25" s="280" t="s">
        <v>430</v>
      </c>
      <c r="N25" s="307" t="s">
        <v>2156</v>
      </c>
    </row>
    <row r="26" spans="1:14">
      <c r="A26" s="281">
        <v>1</v>
      </c>
      <c r="B26" s="281">
        <v>1</v>
      </c>
      <c r="C26" s="281" t="s">
        <v>2156</v>
      </c>
      <c r="D26" s="281" t="s">
        <v>1683</v>
      </c>
      <c r="E26" s="280" t="s">
        <v>123</v>
      </c>
      <c r="F26" s="280" t="s">
        <v>2094</v>
      </c>
      <c r="G26" s="280" t="s">
        <v>926</v>
      </c>
      <c r="H26" s="280" t="s">
        <v>2112</v>
      </c>
      <c r="I26" s="280" t="s">
        <v>2113</v>
      </c>
      <c r="J26" s="305" t="s">
        <v>2227</v>
      </c>
      <c r="K26" s="280">
        <v>86</v>
      </c>
      <c r="L26" s="305" t="s">
        <v>890</v>
      </c>
      <c r="M26" s="280" t="s">
        <v>2102</v>
      </c>
      <c r="N26" s="307" t="s">
        <v>2156</v>
      </c>
    </row>
    <row r="27" spans="1:14">
      <c r="A27" s="281">
        <v>1</v>
      </c>
      <c r="B27" s="281">
        <v>1</v>
      </c>
      <c r="C27" s="281" t="s">
        <v>2156</v>
      </c>
      <c r="D27" s="281" t="s">
        <v>1683</v>
      </c>
      <c r="E27" s="280" t="s">
        <v>111</v>
      </c>
      <c r="F27" s="280" t="s">
        <v>2093</v>
      </c>
      <c r="G27" s="280" t="s">
        <v>2095</v>
      </c>
      <c r="H27" s="280" t="s">
        <v>2112</v>
      </c>
      <c r="I27" s="280" t="s">
        <v>2113</v>
      </c>
      <c r="J27" s="305" t="s">
        <v>2230</v>
      </c>
      <c r="K27" s="280">
        <v>29</v>
      </c>
      <c r="L27" s="305" t="s">
        <v>2167</v>
      </c>
      <c r="M27" s="280" t="s">
        <v>415</v>
      </c>
      <c r="N27" s="307" t="s">
        <v>2156</v>
      </c>
    </row>
    <row r="28" spans="1:14">
      <c r="A28" s="281">
        <v>1</v>
      </c>
      <c r="B28" s="281">
        <v>1</v>
      </c>
      <c r="C28" s="281" t="s">
        <v>2156</v>
      </c>
      <c r="D28" s="281" t="s">
        <v>1683</v>
      </c>
      <c r="E28" s="280" t="s">
        <v>2089</v>
      </c>
      <c r="F28" s="280" t="s">
        <v>2090</v>
      </c>
      <c r="G28" s="280" t="s">
        <v>926</v>
      </c>
      <c r="H28" s="280" t="s">
        <v>2112</v>
      </c>
      <c r="I28" s="280" t="s">
        <v>2113</v>
      </c>
      <c r="J28" s="305" t="s">
        <v>2224</v>
      </c>
      <c r="K28" s="280">
        <v>57</v>
      </c>
      <c r="L28" s="305" t="s">
        <v>849</v>
      </c>
      <c r="M28" s="280" t="s">
        <v>2100</v>
      </c>
      <c r="N28" s="307" t="s">
        <v>2156</v>
      </c>
    </row>
    <row r="29" spans="1:14">
      <c r="A29" s="281">
        <v>1</v>
      </c>
      <c r="B29" s="281">
        <v>1</v>
      </c>
      <c r="C29" s="281" t="s">
        <v>2156</v>
      </c>
      <c r="D29" s="281" t="s">
        <v>1683</v>
      </c>
      <c r="E29" s="281" t="s">
        <v>2089</v>
      </c>
      <c r="F29" s="281" t="s">
        <v>2090</v>
      </c>
      <c r="G29" s="281" t="s">
        <v>926</v>
      </c>
      <c r="H29" s="281" t="s">
        <v>2112</v>
      </c>
      <c r="I29" s="281" t="s">
        <v>2113</v>
      </c>
      <c r="J29" s="305" t="s">
        <v>2233</v>
      </c>
      <c r="K29" s="280">
        <v>50</v>
      </c>
      <c r="L29" s="305" t="s">
        <v>842</v>
      </c>
      <c r="M29" s="280" t="s">
        <v>464</v>
      </c>
      <c r="N29" s="307" t="s">
        <v>2156</v>
      </c>
    </row>
    <row r="30" spans="1:14">
      <c r="A30" s="281">
        <v>1</v>
      </c>
      <c r="B30" s="281">
        <v>1</v>
      </c>
      <c r="C30" s="281" t="s">
        <v>2156</v>
      </c>
      <c r="D30" s="281" t="s">
        <v>1683</v>
      </c>
      <c r="E30" s="281" t="s">
        <v>2089</v>
      </c>
      <c r="F30" s="281" t="s">
        <v>2090</v>
      </c>
      <c r="G30" s="281" t="s">
        <v>926</v>
      </c>
      <c r="H30" s="281" t="s">
        <v>2112</v>
      </c>
      <c r="I30" s="281" t="s">
        <v>2113</v>
      </c>
      <c r="J30" s="309" t="s">
        <v>2233</v>
      </c>
      <c r="K30" s="280">
        <v>56</v>
      </c>
      <c r="L30" s="305" t="s">
        <v>848</v>
      </c>
      <c r="M30" s="280" t="s">
        <v>2100</v>
      </c>
      <c r="N30" s="307" t="s">
        <v>2156</v>
      </c>
    </row>
    <row r="31" spans="1:14">
      <c r="A31" s="281">
        <v>1</v>
      </c>
      <c r="B31" s="281">
        <v>1</v>
      </c>
      <c r="C31" s="281" t="s">
        <v>2156</v>
      </c>
      <c r="D31" s="281" t="s">
        <v>1683</v>
      </c>
      <c r="E31" s="281" t="s">
        <v>2089</v>
      </c>
      <c r="F31" s="281" t="s">
        <v>2090</v>
      </c>
      <c r="G31" s="281" t="s">
        <v>926</v>
      </c>
      <c r="H31" s="281" t="s">
        <v>2112</v>
      </c>
      <c r="I31" s="281" t="s">
        <v>2113</v>
      </c>
      <c r="J31" s="309" t="s">
        <v>2233</v>
      </c>
      <c r="K31" s="280">
        <v>58</v>
      </c>
      <c r="L31" s="305" t="s">
        <v>851</v>
      </c>
      <c r="M31" s="280" t="s">
        <v>395</v>
      </c>
      <c r="N31" s="307" t="s">
        <v>2156</v>
      </c>
    </row>
    <row r="32" spans="1:14">
      <c r="A32" s="281">
        <v>1</v>
      </c>
      <c r="B32" s="280" t="s">
        <v>2156</v>
      </c>
      <c r="C32" s="280">
        <v>1</v>
      </c>
      <c r="D32" s="280" t="s">
        <v>470</v>
      </c>
      <c r="E32" s="280" t="s">
        <v>111</v>
      </c>
      <c r="F32" s="280" t="s">
        <v>2093</v>
      </c>
      <c r="G32" s="280" t="s">
        <v>2099</v>
      </c>
      <c r="H32" s="280" t="s">
        <v>2112</v>
      </c>
      <c r="I32" s="280" t="s">
        <v>2115</v>
      </c>
      <c r="J32" s="305" t="s">
        <v>2240</v>
      </c>
      <c r="K32" s="280">
        <v>376</v>
      </c>
      <c r="L32" s="305" t="s">
        <v>350</v>
      </c>
      <c r="M32" s="280" t="s">
        <v>501</v>
      </c>
      <c r="N32" s="307" t="s">
        <v>2200</v>
      </c>
    </row>
    <row r="33" spans="1:14">
      <c r="A33" s="281">
        <v>1</v>
      </c>
      <c r="B33" s="281" t="s">
        <v>2156</v>
      </c>
      <c r="C33" s="281">
        <v>1</v>
      </c>
      <c r="D33" s="280" t="s">
        <v>1752</v>
      </c>
      <c r="E33" s="280" t="s">
        <v>111</v>
      </c>
      <c r="F33" s="280" t="s">
        <v>117</v>
      </c>
      <c r="G33" s="280" t="s">
        <v>2098</v>
      </c>
      <c r="H33" s="280" t="s">
        <v>2112</v>
      </c>
      <c r="I33" s="280" t="s">
        <v>2113</v>
      </c>
      <c r="J33" s="305" t="s">
        <v>1660</v>
      </c>
      <c r="K33" s="280">
        <v>15</v>
      </c>
      <c r="L33" s="305" t="s">
        <v>2134</v>
      </c>
      <c r="M33" s="280" t="s">
        <v>478</v>
      </c>
      <c r="N33" s="307" t="s">
        <v>2156</v>
      </c>
    </row>
    <row r="34" spans="1:14">
      <c r="A34" s="281">
        <v>1</v>
      </c>
      <c r="B34" s="281" t="s">
        <v>2156</v>
      </c>
      <c r="C34" s="280" t="s">
        <v>2156</v>
      </c>
      <c r="D34" s="280" t="s">
        <v>470</v>
      </c>
      <c r="E34" s="280" t="s">
        <v>108</v>
      </c>
      <c r="F34" s="280" t="s">
        <v>2091</v>
      </c>
      <c r="G34" s="280" t="s">
        <v>926</v>
      </c>
      <c r="H34" s="280" t="s">
        <v>2112</v>
      </c>
      <c r="I34" s="280" t="s">
        <v>2113</v>
      </c>
      <c r="J34" s="305" t="s">
        <v>2231</v>
      </c>
      <c r="K34" s="280">
        <v>39</v>
      </c>
      <c r="L34" s="305" t="s">
        <v>2140</v>
      </c>
      <c r="M34" s="280" t="s">
        <v>541</v>
      </c>
      <c r="N34" s="307" t="s">
        <v>2156</v>
      </c>
    </row>
    <row r="35" spans="1:14">
      <c r="A35" s="281">
        <v>1</v>
      </c>
      <c r="B35" s="281" t="s">
        <v>2156</v>
      </c>
      <c r="C35" s="281" t="s">
        <v>2156</v>
      </c>
      <c r="D35" s="281" t="s">
        <v>470</v>
      </c>
      <c r="E35" s="281" t="s">
        <v>108</v>
      </c>
      <c r="F35" s="281" t="s">
        <v>2091</v>
      </c>
      <c r="G35" s="281" t="s">
        <v>926</v>
      </c>
      <c r="H35" s="281" t="s">
        <v>2112</v>
      </c>
      <c r="I35" s="281" t="s">
        <v>2113</v>
      </c>
      <c r="J35" s="305" t="s">
        <v>2233</v>
      </c>
      <c r="K35" s="280">
        <v>47</v>
      </c>
      <c r="L35" s="305" t="s">
        <v>2121</v>
      </c>
      <c r="M35" s="280" t="s">
        <v>535</v>
      </c>
      <c r="N35" s="307" t="s">
        <v>2156</v>
      </c>
    </row>
    <row r="36" spans="1:14">
      <c r="A36" s="281">
        <v>1</v>
      </c>
      <c r="B36" s="281" t="s">
        <v>2156</v>
      </c>
      <c r="C36" s="281" t="s">
        <v>2156</v>
      </c>
      <c r="D36" s="281" t="s">
        <v>470</v>
      </c>
      <c r="E36" s="281" t="s">
        <v>108</v>
      </c>
      <c r="F36" s="281" t="s">
        <v>2091</v>
      </c>
      <c r="G36" s="281" t="s">
        <v>926</v>
      </c>
      <c r="H36" s="281" t="s">
        <v>2112</v>
      </c>
      <c r="I36" s="281" t="s">
        <v>2113</v>
      </c>
      <c r="J36" s="305" t="s">
        <v>2234</v>
      </c>
      <c r="K36" s="280">
        <v>38</v>
      </c>
      <c r="L36" s="305" t="s">
        <v>2139</v>
      </c>
      <c r="M36" s="280" t="s">
        <v>541</v>
      </c>
      <c r="N36" s="307" t="s">
        <v>2156</v>
      </c>
    </row>
    <row r="37" spans="1:14">
      <c r="A37" s="281">
        <v>1</v>
      </c>
      <c r="B37" s="281" t="s">
        <v>2156</v>
      </c>
      <c r="C37" s="281" t="s">
        <v>2156</v>
      </c>
      <c r="D37" s="281" t="s">
        <v>470</v>
      </c>
      <c r="E37" s="281" t="s">
        <v>108</v>
      </c>
      <c r="F37" s="281" t="s">
        <v>2091</v>
      </c>
      <c r="G37" s="281" t="s">
        <v>926</v>
      </c>
      <c r="H37" s="281" t="s">
        <v>2112</v>
      </c>
      <c r="I37" s="281" t="s">
        <v>2113</v>
      </c>
      <c r="J37" s="305" t="s">
        <v>2171</v>
      </c>
      <c r="K37" s="280">
        <v>41</v>
      </c>
      <c r="L37" s="305" t="s">
        <v>828</v>
      </c>
      <c r="M37" s="280" t="s">
        <v>547</v>
      </c>
      <c r="N37" s="307" t="s">
        <v>2156</v>
      </c>
    </row>
    <row r="38" spans="1:14">
      <c r="A38" s="281">
        <v>1</v>
      </c>
      <c r="B38" s="281" t="s">
        <v>2156</v>
      </c>
      <c r="C38" s="281" t="s">
        <v>2156</v>
      </c>
      <c r="D38" s="281" t="s">
        <v>470</v>
      </c>
      <c r="E38" s="281" t="s">
        <v>108</v>
      </c>
      <c r="F38" s="281" t="s">
        <v>2091</v>
      </c>
      <c r="G38" s="281" t="s">
        <v>926</v>
      </c>
      <c r="H38" s="281" t="s">
        <v>2112</v>
      </c>
      <c r="I38" s="281" t="s">
        <v>2113</v>
      </c>
      <c r="J38" s="305" t="s">
        <v>2156</v>
      </c>
      <c r="K38" s="280">
        <v>45</v>
      </c>
      <c r="L38" s="305" t="s">
        <v>835</v>
      </c>
      <c r="M38" s="280" t="s">
        <v>547</v>
      </c>
      <c r="N38" s="307" t="s">
        <v>2156</v>
      </c>
    </row>
    <row r="39" spans="1:14">
      <c r="A39" s="281">
        <v>1</v>
      </c>
      <c r="B39" s="281" t="s">
        <v>2156</v>
      </c>
      <c r="C39" s="281" t="s">
        <v>2156</v>
      </c>
      <c r="D39" s="281" t="s">
        <v>470</v>
      </c>
      <c r="E39" s="281" t="s">
        <v>108</v>
      </c>
      <c r="F39" s="281" t="s">
        <v>2091</v>
      </c>
      <c r="G39" s="281" t="s">
        <v>926</v>
      </c>
      <c r="H39" s="281" t="s">
        <v>2112</v>
      </c>
      <c r="I39" s="281" t="s">
        <v>2113</v>
      </c>
      <c r="J39" s="309" t="s">
        <v>2156</v>
      </c>
      <c r="K39" s="280">
        <v>46</v>
      </c>
      <c r="L39" s="305" t="s">
        <v>836</v>
      </c>
      <c r="M39" s="280" t="s">
        <v>547</v>
      </c>
      <c r="N39" s="307" t="s">
        <v>2156</v>
      </c>
    </row>
    <row r="40" spans="1:14">
      <c r="A40" s="281">
        <v>1</v>
      </c>
      <c r="B40" s="281" t="s">
        <v>2156</v>
      </c>
      <c r="C40" s="281" t="s">
        <v>2156</v>
      </c>
      <c r="D40" s="281" t="s">
        <v>470</v>
      </c>
      <c r="E40" s="281" t="s">
        <v>108</v>
      </c>
      <c r="F40" s="281" t="s">
        <v>2091</v>
      </c>
      <c r="G40" s="281" t="s">
        <v>926</v>
      </c>
      <c r="H40" s="281" t="s">
        <v>2112</v>
      </c>
      <c r="I40" s="281" t="s">
        <v>2113</v>
      </c>
      <c r="J40" s="309" t="s">
        <v>2156</v>
      </c>
      <c r="K40" s="280">
        <v>48</v>
      </c>
      <c r="L40" s="305" t="s">
        <v>2146</v>
      </c>
      <c r="M40" s="280" t="s">
        <v>535</v>
      </c>
      <c r="N40" s="307" t="s">
        <v>2156</v>
      </c>
    </row>
    <row r="41" spans="1:14">
      <c r="A41" s="281">
        <v>1</v>
      </c>
      <c r="B41" s="281" t="s">
        <v>2156</v>
      </c>
      <c r="C41" s="281" t="s">
        <v>2156</v>
      </c>
      <c r="D41" s="281" t="s">
        <v>470</v>
      </c>
      <c r="E41" s="280" t="s">
        <v>111</v>
      </c>
      <c r="F41" s="280" t="s">
        <v>117</v>
      </c>
      <c r="G41" s="280" t="s">
        <v>1999</v>
      </c>
      <c r="H41" s="280" t="s">
        <v>2112</v>
      </c>
      <c r="I41" s="280" t="s">
        <v>2113</v>
      </c>
      <c r="J41" s="305" t="s">
        <v>2156</v>
      </c>
      <c r="K41" s="280">
        <v>10</v>
      </c>
      <c r="L41" s="305" t="s">
        <v>2136</v>
      </c>
      <c r="M41" s="280" t="s">
        <v>495</v>
      </c>
      <c r="N41" s="307" t="s">
        <v>2156</v>
      </c>
    </row>
    <row r="42" spans="1:14">
      <c r="A42" s="281">
        <v>1</v>
      </c>
      <c r="B42" s="281" t="s">
        <v>2156</v>
      </c>
      <c r="C42" s="281" t="s">
        <v>2156</v>
      </c>
      <c r="D42" s="281" t="s">
        <v>470</v>
      </c>
      <c r="E42" s="281" t="s">
        <v>111</v>
      </c>
      <c r="F42" s="281" t="s">
        <v>117</v>
      </c>
      <c r="G42" s="281" t="s">
        <v>1999</v>
      </c>
      <c r="H42" s="281" t="s">
        <v>2112</v>
      </c>
      <c r="I42" s="281" t="s">
        <v>2113</v>
      </c>
      <c r="J42" s="309" t="s">
        <v>2156</v>
      </c>
      <c r="K42" s="280">
        <v>11</v>
      </c>
      <c r="L42" s="305" t="s">
        <v>2133</v>
      </c>
      <c r="M42" s="280" t="s">
        <v>495</v>
      </c>
      <c r="N42" s="307" t="s">
        <v>2156</v>
      </c>
    </row>
    <row r="43" spans="1:14">
      <c r="A43" s="281">
        <v>1</v>
      </c>
      <c r="B43" s="281" t="s">
        <v>2156</v>
      </c>
      <c r="C43" s="281" t="s">
        <v>2156</v>
      </c>
      <c r="D43" s="281" t="s">
        <v>470</v>
      </c>
      <c r="E43" s="281" t="s">
        <v>111</v>
      </c>
      <c r="F43" s="281" t="s">
        <v>117</v>
      </c>
      <c r="G43" s="281" t="s">
        <v>1999</v>
      </c>
      <c r="H43" s="281" t="s">
        <v>2112</v>
      </c>
      <c r="I43" s="281" t="s">
        <v>2113</v>
      </c>
      <c r="J43" s="309" t="s">
        <v>2156</v>
      </c>
      <c r="K43" s="280">
        <v>19</v>
      </c>
      <c r="L43" s="305" t="s">
        <v>2128</v>
      </c>
      <c r="M43" s="280" t="s">
        <v>471</v>
      </c>
      <c r="N43" s="307" t="s">
        <v>2156</v>
      </c>
    </row>
    <row r="44" spans="1:14">
      <c r="A44" s="281">
        <v>1</v>
      </c>
      <c r="B44" s="281" t="s">
        <v>2156</v>
      </c>
      <c r="C44" s="281" t="s">
        <v>2156</v>
      </c>
      <c r="D44" s="281" t="s">
        <v>470</v>
      </c>
      <c r="E44" s="281" t="s">
        <v>111</v>
      </c>
      <c r="F44" s="281" t="s">
        <v>117</v>
      </c>
      <c r="G44" s="281" t="s">
        <v>1999</v>
      </c>
      <c r="H44" s="281" t="s">
        <v>2112</v>
      </c>
      <c r="I44" s="281" t="s">
        <v>2113</v>
      </c>
      <c r="J44" s="309" t="s">
        <v>2156</v>
      </c>
      <c r="K44" s="280">
        <v>22</v>
      </c>
      <c r="L44" s="305" t="s">
        <v>772</v>
      </c>
      <c r="M44" s="280" t="s">
        <v>506</v>
      </c>
      <c r="N44" s="307" t="s">
        <v>2156</v>
      </c>
    </row>
    <row r="45" spans="1:14">
      <c r="A45" s="281">
        <v>1</v>
      </c>
      <c r="B45" s="281" t="s">
        <v>2156</v>
      </c>
      <c r="C45" s="281" t="s">
        <v>2156</v>
      </c>
      <c r="D45" s="281" t="s">
        <v>470</v>
      </c>
      <c r="E45" s="281" t="s">
        <v>111</v>
      </c>
      <c r="F45" s="281" t="s">
        <v>117</v>
      </c>
      <c r="G45" s="281" t="s">
        <v>1999</v>
      </c>
      <c r="H45" s="281" t="s">
        <v>2112</v>
      </c>
      <c r="I45" s="281" t="s">
        <v>2113</v>
      </c>
      <c r="J45" s="309" t="s">
        <v>2156</v>
      </c>
      <c r="K45" s="280">
        <v>23</v>
      </c>
      <c r="L45" s="305" t="s">
        <v>2132</v>
      </c>
      <c r="M45" s="280" t="s">
        <v>506</v>
      </c>
      <c r="N45" s="307" t="s">
        <v>2156</v>
      </c>
    </row>
    <row r="46" spans="1:14">
      <c r="A46" s="281">
        <v>1</v>
      </c>
      <c r="B46" s="281" t="s">
        <v>2156</v>
      </c>
      <c r="C46" s="281" t="s">
        <v>2156</v>
      </c>
      <c r="D46" s="281" t="s">
        <v>470</v>
      </c>
      <c r="E46" s="281" t="s">
        <v>111</v>
      </c>
      <c r="F46" s="281" t="s">
        <v>117</v>
      </c>
      <c r="G46" s="280" t="s">
        <v>2097</v>
      </c>
      <c r="H46" s="280" t="s">
        <v>2112</v>
      </c>
      <c r="I46" s="280" t="s">
        <v>2113</v>
      </c>
      <c r="J46" s="305" t="s">
        <v>2156</v>
      </c>
      <c r="K46" s="280">
        <v>3</v>
      </c>
      <c r="L46" s="305" t="s">
        <v>2143</v>
      </c>
      <c r="M46" s="280" t="s">
        <v>489</v>
      </c>
      <c r="N46" s="307" t="s">
        <v>2156</v>
      </c>
    </row>
    <row r="47" spans="1:14">
      <c r="A47" s="281">
        <v>1</v>
      </c>
      <c r="B47" s="281" t="s">
        <v>2156</v>
      </c>
      <c r="C47" s="281" t="s">
        <v>2156</v>
      </c>
      <c r="D47" s="281" t="s">
        <v>470</v>
      </c>
      <c r="E47" s="281" t="s">
        <v>111</v>
      </c>
      <c r="F47" s="281" t="s">
        <v>117</v>
      </c>
      <c r="G47" s="281" t="s">
        <v>2097</v>
      </c>
      <c r="H47" s="281" t="s">
        <v>2112</v>
      </c>
      <c r="I47" s="281" t="s">
        <v>2113</v>
      </c>
      <c r="J47" s="309" t="s">
        <v>2156</v>
      </c>
      <c r="K47" s="280">
        <v>7</v>
      </c>
      <c r="L47" s="305" t="s">
        <v>763</v>
      </c>
      <c r="M47" s="280" t="s">
        <v>512</v>
      </c>
      <c r="N47" s="307" t="s">
        <v>2156</v>
      </c>
    </row>
    <row r="48" spans="1:14">
      <c r="A48" s="281">
        <v>1</v>
      </c>
      <c r="B48" s="281" t="s">
        <v>2156</v>
      </c>
      <c r="C48" s="281" t="s">
        <v>2156</v>
      </c>
      <c r="D48" s="281" t="s">
        <v>470</v>
      </c>
      <c r="E48" s="281" t="s">
        <v>111</v>
      </c>
      <c r="F48" s="281" t="s">
        <v>117</v>
      </c>
      <c r="G48" s="281" t="s">
        <v>2097</v>
      </c>
      <c r="H48" s="281" t="s">
        <v>2112</v>
      </c>
      <c r="I48" s="280" t="s">
        <v>2115</v>
      </c>
      <c r="J48" s="305" t="s">
        <v>2156</v>
      </c>
      <c r="K48" s="280">
        <v>374</v>
      </c>
      <c r="L48" s="305" t="s">
        <v>2152</v>
      </c>
      <c r="M48" s="280" t="s">
        <v>489</v>
      </c>
      <c r="N48" s="307" t="s">
        <v>2200</v>
      </c>
    </row>
    <row r="49" spans="1:14">
      <c r="A49" s="281">
        <v>1</v>
      </c>
      <c r="B49" s="281" t="s">
        <v>2156</v>
      </c>
      <c r="C49" s="281" t="s">
        <v>2156</v>
      </c>
      <c r="D49" s="281" t="s">
        <v>470</v>
      </c>
      <c r="E49" s="281" t="s">
        <v>111</v>
      </c>
      <c r="F49" s="280" t="s">
        <v>2093</v>
      </c>
      <c r="G49" s="280" t="s">
        <v>2099</v>
      </c>
      <c r="H49" s="280" t="s">
        <v>2112</v>
      </c>
      <c r="I49" s="280" t="s">
        <v>2113</v>
      </c>
      <c r="J49" s="305" t="s">
        <v>2156</v>
      </c>
      <c r="K49" s="280">
        <v>31</v>
      </c>
      <c r="L49" s="305" t="s">
        <v>2151</v>
      </c>
      <c r="M49" s="280" t="s">
        <v>501</v>
      </c>
      <c r="N49" s="307" t="s">
        <v>2156</v>
      </c>
    </row>
    <row r="50" spans="1:14">
      <c r="A50" s="281">
        <v>1</v>
      </c>
      <c r="B50" s="281" t="s">
        <v>2156</v>
      </c>
      <c r="C50" s="281" t="s">
        <v>2156</v>
      </c>
      <c r="D50" s="280" t="s">
        <v>1745</v>
      </c>
      <c r="E50" s="280" t="s">
        <v>111</v>
      </c>
      <c r="F50" s="280" t="s">
        <v>117</v>
      </c>
      <c r="G50" s="280" t="s">
        <v>2098</v>
      </c>
      <c r="H50" s="280" t="s">
        <v>2112</v>
      </c>
      <c r="I50" s="280" t="s">
        <v>2113</v>
      </c>
      <c r="J50" s="305" t="s">
        <v>2156</v>
      </c>
      <c r="K50" s="280">
        <v>25</v>
      </c>
      <c r="L50" s="305" t="s">
        <v>2130</v>
      </c>
      <c r="M50" s="280" t="s">
        <v>2101</v>
      </c>
      <c r="N50" s="307" t="s">
        <v>2156</v>
      </c>
    </row>
    <row r="51" spans="1:14">
      <c r="A51" s="281">
        <v>1</v>
      </c>
      <c r="B51" s="281" t="s">
        <v>2156</v>
      </c>
      <c r="C51" s="281" t="s">
        <v>2156</v>
      </c>
      <c r="D51" s="281" t="s">
        <v>1745</v>
      </c>
      <c r="E51" s="281" t="s">
        <v>111</v>
      </c>
      <c r="F51" s="281" t="s">
        <v>117</v>
      </c>
      <c r="G51" s="281" t="s">
        <v>2098</v>
      </c>
      <c r="H51" s="281" t="s">
        <v>2112</v>
      </c>
      <c r="I51" s="281" t="s">
        <v>2113</v>
      </c>
      <c r="J51" s="309" t="s">
        <v>2156</v>
      </c>
      <c r="K51" s="280">
        <v>26</v>
      </c>
      <c r="L51" s="305" t="s">
        <v>2135</v>
      </c>
      <c r="M51" s="280" t="s">
        <v>2101</v>
      </c>
      <c r="N51" s="307" t="s">
        <v>2156</v>
      </c>
    </row>
    <row r="52" spans="1:14">
      <c r="A52" s="281">
        <v>1</v>
      </c>
      <c r="B52" s="281" t="s">
        <v>2156</v>
      </c>
      <c r="C52" s="281" t="s">
        <v>2156</v>
      </c>
      <c r="D52" s="281" t="s">
        <v>1745</v>
      </c>
      <c r="E52" s="281" t="s">
        <v>111</v>
      </c>
      <c r="F52" s="280" t="s">
        <v>2093</v>
      </c>
      <c r="G52" s="280" t="s">
        <v>2095</v>
      </c>
      <c r="H52" s="280" t="s">
        <v>2112</v>
      </c>
      <c r="I52" s="280" t="s">
        <v>2115</v>
      </c>
      <c r="J52" s="305" t="s">
        <v>2156</v>
      </c>
      <c r="K52" s="280">
        <v>361</v>
      </c>
      <c r="L52" s="305" t="s">
        <v>347</v>
      </c>
      <c r="M52" s="280" t="s">
        <v>427</v>
      </c>
      <c r="N52" s="307" t="s">
        <v>2200</v>
      </c>
    </row>
    <row r="53" spans="1:14">
      <c r="A53" s="281">
        <v>1</v>
      </c>
      <c r="B53" s="281" t="s">
        <v>2156</v>
      </c>
      <c r="C53" s="281" t="s">
        <v>2156</v>
      </c>
      <c r="D53" s="281" t="s">
        <v>1745</v>
      </c>
      <c r="E53" s="281" t="s">
        <v>111</v>
      </c>
      <c r="F53" s="281" t="s">
        <v>2093</v>
      </c>
      <c r="G53" s="281" t="s">
        <v>2095</v>
      </c>
      <c r="H53" s="281" t="s">
        <v>2112</v>
      </c>
      <c r="I53" s="281" t="s">
        <v>2115</v>
      </c>
      <c r="J53" s="309" t="s">
        <v>2156</v>
      </c>
      <c r="K53" s="280">
        <v>364</v>
      </c>
      <c r="L53" s="305" t="s">
        <v>345</v>
      </c>
      <c r="M53" s="280" t="s">
        <v>435</v>
      </c>
      <c r="N53" s="307" t="s">
        <v>2200</v>
      </c>
    </row>
    <row r="54" spans="1:14">
      <c r="A54" s="281">
        <v>1</v>
      </c>
      <c r="B54" s="281" t="s">
        <v>2156</v>
      </c>
      <c r="C54" s="281" t="s">
        <v>2156</v>
      </c>
      <c r="D54" s="281" t="s">
        <v>1745</v>
      </c>
      <c r="E54" s="281" t="s">
        <v>111</v>
      </c>
      <c r="F54" s="281" t="s">
        <v>2093</v>
      </c>
      <c r="G54" s="280" t="s">
        <v>2096</v>
      </c>
      <c r="H54" s="280" t="s">
        <v>2112</v>
      </c>
      <c r="I54" s="280" t="s">
        <v>2113</v>
      </c>
      <c r="J54" s="305" t="s">
        <v>1644</v>
      </c>
      <c r="K54" s="280">
        <v>36</v>
      </c>
      <c r="L54" s="305" t="s">
        <v>2150</v>
      </c>
      <c r="M54" s="280" t="s">
        <v>403</v>
      </c>
      <c r="N54" s="307" t="s">
        <v>2156</v>
      </c>
    </row>
    <row r="55" spans="1:14">
      <c r="A55" s="281">
        <v>1</v>
      </c>
      <c r="B55" s="281" t="s">
        <v>2156</v>
      </c>
      <c r="C55" s="281" t="s">
        <v>2156</v>
      </c>
      <c r="D55" s="281" t="s">
        <v>1745</v>
      </c>
      <c r="E55" s="281" t="s">
        <v>111</v>
      </c>
      <c r="F55" s="281" t="s">
        <v>2093</v>
      </c>
      <c r="G55" s="281" t="s">
        <v>2096</v>
      </c>
      <c r="H55" s="281" t="s">
        <v>2112</v>
      </c>
      <c r="I55" s="281" t="s">
        <v>2113</v>
      </c>
      <c r="J55" s="305" t="s">
        <v>2156</v>
      </c>
      <c r="K55" s="280">
        <v>35</v>
      </c>
      <c r="L55" s="305" t="s">
        <v>2149</v>
      </c>
      <c r="M55" s="280" t="s">
        <v>403</v>
      </c>
      <c r="N55" s="307" t="s">
        <v>2156</v>
      </c>
    </row>
    <row r="56" spans="1:14">
      <c r="A56" s="281">
        <v>1</v>
      </c>
      <c r="B56" s="281" t="s">
        <v>2156</v>
      </c>
      <c r="C56" s="281" t="s">
        <v>2156</v>
      </c>
      <c r="D56" s="281" t="s">
        <v>1745</v>
      </c>
      <c r="E56" s="281" t="s">
        <v>111</v>
      </c>
      <c r="F56" s="281" t="s">
        <v>2093</v>
      </c>
      <c r="G56" s="281" t="s">
        <v>2096</v>
      </c>
      <c r="H56" s="281" t="s">
        <v>2112</v>
      </c>
      <c r="I56" s="280" t="s">
        <v>2115</v>
      </c>
      <c r="J56" s="305" t="s">
        <v>2156</v>
      </c>
      <c r="K56" s="280">
        <v>354</v>
      </c>
      <c r="L56" s="305" t="s">
        <v>343</v>
      </c>
      <c r="M56" s="280" t="s">
        <v>396</v>
      </c>
      <c r="N56" s="307" t="s">
        <v>2200</v>
      </c>
    </row>
    <row r="57" spans="1:14">
      <c r="A57" s="281">
        <v>1</v>
      </c>
      <c r="B57" s="281" t="s">
        <v>2156</v>
      </c>
      <c r="C57" s="281" t="s">
        <v>2156</v>
      </c>
      <c r="D57" s="280" t="s">
        <v>1683</v>
      </c>
      <c r="E57" s="280" t="s">
        <v>114</v>
      </c>
      <c r="F57" s="280" t="s">
        <v>2092</v>
      </c>
      <c r="G57" s="280" t="s">
        <v>926</v>
      </c>
      <c r="H57" s="280" t="s">
        <v>2112</v>
      </c>
      <c r="I57" s="280" t="s">
        <v>2113</v>
      </c>
      <c r="J57" s="305" t="s">
        <v>2156</v>
      </c>
      <c r="K57" s="280">
        <v>61</v>
      </c>
      <c r="L57" s="305" t="s">
        <v>2141</v>
      </c>
      <c r="M57" s="280" t="s">
        <v>380</v>
      </c>
      <c r="N57" s="307" t="s">
        <v>2156</v>
      </c>
    </row>
    <row r="58" spans="1:14">
      <c r="A58" s="281">
        <v>1</v>
      </c>
      <c r="B58" s="281" t="s">
        <v>2156</v>
      </c>
      <c r="C58" s="281" t="s">
        <v>2156</v>
      </c>
      <c r="D58" s="281" t="s">
        <v>1683</v>
      </c>
      <c r="E58" s="281" t="s">
        <v>114</v>
      </c>
      <c r="F58" s="281" t="s">
        <v>2092</v>
      </c>
      <c r="G58" s="281" t="s">
        <v>926</v>
      </c>
      <c r="H58" s="281" t="s">
        <v>2112</v>
      </c>
      <c r="I58" s="281" t="s">
        <v>2113</v>
      </c>
      <c r="J58" s="309" t="s">
        <v>2156</v>
      </c>
      <c r="K58" s="280">
        <v>64</v>
      </c>
      <c r="L58" s="305" t="s">
        <v>2147</v>
      </c>
      <c r="M58" s="280" t="s">
        <v>458</v>
      </c>
      <c r="N58" s="307" t="s">
        <v>2156</v>
      </c>
    </row>
    <row r="59" spans="1:14">
      <c r="A59" s="281">
        <v>1</v>
      </c>
      <c r="B59" s="281" t="s">
        <v>2156</v>
      </c>
      <c r="C59" s="281" t="s">
        <v>2156</v>
      </c>
      <c r="D59" s="281" t="s">
        <v>1683</v>
      </c>
      <c r="E59" s="281" t="s">
        <v>114</v>
      </c>
      <c r="F59" s="281" t="s">
        <v>2092</v>
      </c>
      <c r="G59" s="281" t="s">
        <v>926</v>
      </c>
      <c r="H59" s="281" t="s">
        <v>2112</v>
      </c>
      <c r="I59" s="281" t="s">
        <v>2113</v>
      </c>
      <c r="J59" s="309" t="s">
        <v>2156</v>
      </c>
      <c r="K59" s="280">
        <v>65</v>
      </c>
      <c r="L59" s="305" t="s">
        <v>862</v>
      </c>
      <c r="M59" s="280" t="s">
        <v>458</v>
      </c>
      <c r="N59" s="307" t="s">
        <v>2156</v>
      </c>
    </row>
    <row r="60" spans="1:14">
      <c r="A60" s="281">
        <v>1</v>
      </c>
      <c r="B60" s="281" t="s">
        <v>2156</v>
      </c>
      <c r="C60" s="281" t="s">
        <v>2156</v>
      </c>
      <c r="D60" s="281" t="s">
        <v>1683</v>
      </c>
      <c r="E60" s="281" t="s">
        <v>114</v>
      </c>
      <c r="F60" s="281" t="s">
        <v>2092</v>
      </c>
      <c r="G60" s="281" t="s">
        <v>926</v>
      </c>
      <c r="H60" s="281" t="s">
        <v>2112</v>
      </c>
      <c r="I60" s="281" t="s">
        <v>2113</v>
      </c>
      <c r="J60" s="309" t="s">
        <v>2156</v>
      </c>
      <c r="K60" s="280">
        <v>66</v>
      </c>
      <c r="L60" s="305" t="s">
        <v>864</v>
      </c>
      <c r="M60" s="280" t="s">
        <v>443</v>
      </c>
      <c r="N60" s="307" t="s">
        <v>2156</v>
      </c>
    </row>
    <row r="61" spans="1:14">
      <c r="A61" s="281">
        <v>1</v>
      </c>
      <c r="B61" s="281" t="s">
        <v>2156</v>
      </c>
      <c r="C61" s="281" t="s">
        <v>2156</v>
      </c>
      <c r="D61" s="281" t="s">
        <v>1683</v>
      </c>
      <c r="E61" s="281" t="s">
        <v>114</v>
      </c>
      <c r="F61" s="281" t="s">
        <v>2092</v>
      </c>
      <c r="G61" s="281" t="s">
        <v>926</v>
      </c>
      <c r="H61" s="281" t="s">
        <v>2112</v>
      </c>
      <c r="I61" s="281" t="s">
        <v>2113</v>
      </c>
      <c r="J61" s="309" t="s">
        <v>2156</v>
      </c>
      <c r="K61" s="280">
        <v>69</v>
      </c>
      <c r="L61" s="305" t="s">
        <v>867</v>
      </c>
      <c r="M61" s="280" t="s">
        <v>443</v>
      </c>
      <c r="N61" s="307" t="s">
        <v>2156</v>
      </c>
    </row>
    <row r="62" spans="1:14">
      <c r="A62" s="281">
        <v>1</v>
      </c>
      <c r="B62" s="281" t="s">
        <v>2156</v>
      </c>
      <c r="C62" s="281" t="s">
        <v>2156</v>
      </c>
      <c r="D62" s="281" t="s">
        <v>1683</v>
      </c>
      <c r="E62" s="281" t="s">
        <v>114</v>
      </c>
      <c r="F62" s="281" t="s">
        <v>2092</v>
      </c>
      <c r="G62" s="281" t="s">
        <v>926</v>
      </c>
      <c r="H62" s="281" t="s">
        <v>2112</v>
      </c>
      <c r="I62" s="281" t="s">
        <v>2113</v>
      </c>
      <c r="J62" s="309" t="s">
        <v>2156</v>
      </c>
      <c r="K62" s="280">
        <v>70</v>
      </c>
      <c r="L62" s="305" t="s">
        <v>868</v>
      </c>
      <c r="M62" s="280" t="s">
        <v>443</v>
      </c>
      <c r="N62" s="307" t="s">
        <v>2156</v>
      </c>
    </row>
    <row r="63" spans="1:14">
      <c r="A63" s="281">
        <v>1</v>
      </c>
      <c r="B63" s="281" t="s">
        <v>2156</v>
      </c>
      <c r="C63" s="281" t="s">
        <v>2156</v>
      </c>
      <c r="D63" s="281" t="s">
        <v>1683</v>
      </c>
      <c r="E63" s="281" t="s">
        <v>114</v>
      </c>
      <c r="F63" s="281" t="s">
        <v>2092</v>
      </c>
      <c r="G63" s="281" t="s">
        <v>926</v>
      </c>
      <c r="H63" s="281" t="s">
        <v>2112</v>
      </c>
      <c r="I63" s="281" t="s">
        <v>2113</v>
      </c>
      <c r="J63" s="309" t="s">
        <v>2156</v>
      </c>
      <c r="K63" s="280">
        <v>71</v>
      </c>
      <c r="L63" s="305" t="s">
        <v>869</v>
      </c>
      <c r="M63" s="280" t="s">
        <v>443</v>
      </c>
      <c r="N63" s="307" t="s">
        <v>2156</v>
      </c>
    </row>
    <row r="64" spans="1:14">
      <c r="A64" s="281">
        <v>1</v>
      </c>
      <c r="B64" s="281" t="s">
        <v>2156</v>
      </c>
      <c r="C64" s="281" t="s">
        <v>2156</v>
      </c>
      <c r="D64" s="281" t="s">
        <v>1683</v>
      </c>
      <c r="E64" s="281" t="s">
        <v>114</v>
      </c>
      <c r="F64" s="281" t="s">
        <v>2092</v>
      </c>
      <c r="G64" s="281" t="s">
        <v>926</v>
      </c>
      <c r="H64" s="281" t="s">
        <v>2112</v>
      </c>
      <c r="I64" s="281" t="s">
        <v>2113</v>
      </c>
      <c r="J64" s="309" t="s">
        <v>2156</v>
      </c>
      <c r="K64" s="280">
        <v>72</v>
      </c>
      <c r="L64" s="305" t="s">
        <v>2126</v>
      </c>
      <c r="M64" s="280" t="s">
        <v>449</v>
      </c>
      <c r="N64" s="307" t="s">
        <v>2156</v>
      </c>
    </row>
    <row r="65" spans="1:14">
      <c r="A65" s="281">
        <v>1</v>
      </c>
      <c r="B65" s="281" t="s">
        <v>2156</v>
      </c>
      <c r="C65" s="281" t="s">
        <v>2156</v>
      </c>
      <c r="D65" s="281" t="s">
        <v>1683</v>
      </c>
      <c r="E65" s="281" t="s">
        <v>114</v>
      </c>
      <c r="F65" s="281" t="s">
        <v>2092</v>
      </c>
      <c r="G65" s="281" t="s">
        <v>926</v>
      </c>
      <c r="H65" s="281" t="s">
        <v>2112</v>
      </c>
      <c r="I65" s="281" t="s">
        <v>2113</v>
      </c>
      <c r="J65" s="309" t="s">
        <v>2156</v>
      </c>
      <c r="K65" s="280">
        <v>74</v>
      </c>
      <c r="L65" s="305" t="s">
        <v>2125</v>
      </c>
      <c r="M65" s="280" t="s">
        <v>449</v>
      </c>
      <c r="N65" s="307" t="s">
        <v>2156</v>
      </c>
    </row>
    <row r="66" spans="1:14">
      <c r="A66" s="281">
        <v>1</v>
      </c>
      <c r="B66" s="281" t="s">
        <v>2156</v>
      </c>
      <c r="C66" s="281" t="s">
        <v>2156</v>
      </c>
      <c r="D66" s="281" t="s">
        <v>1683</v>
      </c>
      <c r="E66" s="281" t="s">
        <v>114</v>
      </c>
      <c r="F66" s="281" t="s">
        <v>2092</v>
      </c>
      <c r="G66" s="281" t="s">
        <v>926</v>
      </c>
      <c r="H66" s="281" t="s">
        <v>2112</v>
      </c>
      <c r="I66" s="281" t="s">
        <v>2113</v>
      </c>
      <c r="J66" s="309" t="s">
        <v>2156</v>
      </c>
      <c r="K66" s="280">
        <v>75</v>
      </c>
      <c r="L66" s="305" t="s">
        <v>2131</v>
      </c>
      <c r="M66" s="280" t="s">
        <v>449</v>
      </c>
      <c r="N66" s="307" t="s">
        <v>2156</v>
      </c>
    </row>
    <row r="67" spans="1:14">
      <c r="A67" s="281">
        <v>1</v>
      </c>
      <c r="B67" s="281" t="s">
        <v>2156</v>
      </c>
      <c r="C67" s="281" t="s">
        <v>2156</v>
      </c>
      <c r="D67" s="281" t="s">
        <v>1683</v>
      </c>
      <c r="E67" s="281" t="s">
        <v>114</v>
      </c>
      <c r="F67" s="281" t="s">
        <v>2092</v>
      </c>
      <c r="G67" s="281" t="s">
        <v>926</v>
      </c>
      <c r="H67" s="281" t="s">
        <v>2112</v>
      </c>
      <c r="I67" s="281" t="s">
        <v>2113</v>
      </c>
      <c r="J67" s="309" t="s">
        <v>2156</v>
      </c>
      <c r="K67" s="280">
        <v>77</v>
      </c>
      <c r="L67" s="305" t="s">
        <v>877</v>
      </c>
      <c r="M67" s="280" t="s">
        <v>376</v>
      </c>
      <c r="N67" s="307" t="s">
        <v>2156</v>
      </c>
    </row>
    <row r="68" spans="1:14">
      <c r="A68" s="281">
        <v>1</v>
      </c>
      <c r="B68" s="281" t="s">
        <v>2156</v>
      </c>
      <c r="C68" s="281" t="s">
        <v>2156</v>
      </c>
      <c r="D68" s="281" t="s">
        <v>1683</v>
      </c>
      <c r="E68" s="281" t="s">
        <v>114</v>
      </c>
      <c r="F68" s="281" t="s">
        <v>2092</v>
      </c>
      <c r="G68" s="281" t="s">
        <v>926</v>
      </c>
      <c r="H68" s="281" t="s">
        <v>2112</v>
      </c>
      <c r="I68" s="281" t="s">
        <v>2113</v>
      </c>
      <c r="J68" s="309" t="s">
        <v>2156</v>
      </c>
      <c r="K68" s="280">
        <v>78</v>
      </c>
      <c r="L68" s="305" t="s">
        <v>878</v>
      </c>
      <c r="M68" s="280" t="s">
        <v>376</v>
      </c>
      <c r="N68" s="307" t="s">
        <v>2156</v>
      </c>
    </row>
    <row r="69" spans="1:14">
      <c r="A69" s="281">
        <v>1</v>
      </c>
      <c r="B69" s="281" t="s">
        <v>2156</v>
      </c>
      <c r="C69" s="281" t="s">
        <v>2156</v>
      </c>
      <c r="D69" s="281" t="s">
        <v>1683</v>
      </c>
      <c r="E69" s="281" t="s">
        <v>114</v>
      </c>
      <c r="F69" s="281" t="s">
        <v>2092</v>
      </c>
      <c r="G69" s="281" t="s">
        <v>926</v>
      </c>
      <c r="H69" s="281" t="s">
        <v>2112</v>
      </c>
      <c r="I69" s="281" t="s">
        <v>2113</v>
      </c>
      <c r="J69" s="309" t="s">
        <v>2156</v>
      </c>
      <c r="K69" s="280">
        <v>79</v>
      </c>
      <c r="L69" s="305" t="s">
        <v>880</v>
      </c>
      <c r="M69" s="280" t="s">
        <v>430</v>
      </c>
      <c r="N69" s="307" t="s">
        <v>2156</v>
      </c>
    </row>
    <row r="70" spans="1:14">
      <c r="A70" s="281">
        <v>1</v>
      </c>
      <c r="B70" s="281" t="s">
        <v>2156</v>
      </c>
      <c r="C70" s="281" t="s">
        <v>2156</v>
      </c>
      <c r="D70" s="281" t="s">
        <v>1683</v>
      </c>
      <c r="E70" s="281" t="s">
        <v>114</v>
      </c>
      <c r="F70" s="281" t="s">
        <v>2092</v>
      </c>
      <c r="G70" s="281" t="s">
        <v>926</v>
      </c>
      <c r="H70" s="281" t="s">
        <v>2112</v>
      </c>
      <c r="I70" s="281" t="s">
        <v>2113</v>
      </c>
      <c r="J70" s="309" t="s">
        <v>2156</v>
      </c>
      <c r="K70" s="280">
        <v>80</v>
      </c>
      <c r="L70" s="305" t="s">
        <v>2145</v>
      </c>
      <c r="M70" s="280" t="s">
        <v>430</v>
      </c>
      <c r="N70" s="307" t="s">
        <v>2156</v>
      </c>
    </row>
    <row r="71" spans="1:14">
      <c r="A71" s="281">
        <v>1</v>
      </c>
      <c r="B71" s="281" t="s">
        <v>2156</v>
      </c>
      <c r="C71" s="281" t="s">
        <v>2156</v>
      </c>
      <c r="D71" s="281" t="s">
        <v>1683</v>
      </c>
      <c r="E71" s="281" t="s">
        <v>114</v>
      </c>
      <c r="F71" s="281" t="s">
        <v>2092</v>
      </c>
      <c r="G71" s="281" t="s">
        <v>926</v>
      </c>
      <c r="H71" s="281" t="s">
        <v>2112</v>
      </c>
      <c r="I71" s="281" t="s">
        <v>2113</v>
      </c>
      <c r="J71" s="309" t="s">
        <v>2156</v>
      </c>
      <c r="K71" s="280">
        <v>81</v>
      </c>
      <c r="L71" s="305" t="s">
        <v>883</v>
      </c>
      <c r="M71" s="280" t="s">
        <v>430</v>
      </c>
      <c r="N71" s="307" t="s">
        <v>2156</v>
      </c>
    </row>
    <row r="72" spans="1:14">
      <c r="A72" s="281">
        <v>1</v>
      </c>
      <c r="B72" s="281" t="s">
        <v>2156</v>
      </c>
      <c r="C72" s="281" t="s">
        <v>2156</v>
      </c>
      <c r="D72" s="281" t="s">
        <v>1683</v>
      </c>
      <c r="E72" s="281" t="s">
        <v>114</v>
      </c>
      <c r="F72" s="281" t="s">
        <v>2092</v>
      </c>
      <c r="G72" s="281" t="s">
        <v>926</v>
      </c>
      <c r="H72" s="281" t="s">
        <v>2112</v>
      </c>
      <c r="I72" s="281" t="s">
        <v>2113</v>
      </c>
      <c r="J72" s="309" t="s">
        <v>2156</v>
      </c>
      <c r="K72" s="280">
        <v>87</v>
      </c>
      <c r="L72" s="305" t="s">
        <v>892</v>
      </c>
      <c r="M72" s="280" t="s">
        <v>455</v>
      </c>
      <c r="N72" s="307" t="s">
        <v>2156</v>
      </c>
    </row>
    <row r="73" spans="1:14">
      <c r="A73" s="281">
        <v>1</v>
      </c>
      <c r="B73" s="281" t="s">
        <v>2156</v>
      </c>
      <c r="C73" s="281" t="s">
        <v>2156</v>
      </c>
      <c r="D73" s="281" t="s">
        <v>1683</v>
      </c>
      <c r="E73" s="281" t="s">
        <v>114</v>
      </c>
      <c r="F73" s="281" t="s">
        <v>2092</v>
      </c>
      <c r="G73" s="281" t="s">
        <v>926</v>
      </c>
      <c r="H73" s="281" t="s">
        <v>2112</v>
      </c>
      <c r="I73" s="281" t="s">
        <v>2113</v>
      </c>
      <c r="J73" s="309" t="s">
        <v>2156</v>
      </c>
      <c r="K73" s="280">
        <v>88</v>
      </c>
      <c r="L73" s="305" t="s">
        <v>893</v>
      </c>
      <c r="M73" s="280" t="s">
        <v>455</v>
      </c>
      <c r="N73" s="307" t="s">
        <v>2156</v>
      </c>
    </row>
    <row r="74" spans="1:14">
      <c r="A74" s="281">
        <v>1</v>
      </c>
      <c r="B74" s="281" t="s">
        <v>2156</v>
      </c>
      <c r="C74" s="281" t="s">
        <v>2156</v>
      </c>
      <c r="D74" s="281" t="s">
        <v>1683</v>
      </c>
      <c r="E74" s="280" t="s">
        <v>123</v>
      </c>
      <c r="F74" s="280" t="s">
        <v>2094</v>
      </c>
      <c r="G74" s="280" t="s">
        <v>926</v>
      </c>
      <c r="H74" s="280" t="s">
        <v>2112</v>
      </c>
      <c r="I74" s="280" t="s">
        <v>2113</v>
      </c>
      <c r="J74" s="305" t="s">
        <v>2156</v>
      </c>
      <c r="K74" s="280">
        <v>84</v>
      </c>
      <c r="L74" s="305" t="s">
        <v>887</v>
      </c>
      <c r="M74" s="280" t="s">
        <v>2102</v>
      </c>
      <c r="N74" s="307" t="s">
        <v>2156</v>
      </c>
    </row>
    <row r="75" spans="1:14">
      <c r="A75" s="281">
        <v>1</v>
      </c>
      <c r="B75" s="281" t="s">
        <v>2156</v>
      </c>
      <c r="C75" s="281" t="s">
        <v>2156</v>
      </c>
      <c r="D75" s="281" t="s">
        <v>1683</v>
      </c>
      <c r="E75" s="281" t="s">
        <v>123</v>
      </c>
      <c r="F75" s="281" t="s">
        <v>2094</v>
      </c>
      <c r="G75" s="281" t="s">
        <v>926</v>
      </c>
      <c r="H75" s="281" t="s">
        <v>2112</v>
      </c>
      <c r="I75" s="281" t="s">
        <v>2113</v>
      </c>
      <c r="J75" s="309" t="s">
        <v>2156</v>
      </c>
      <c r="K75" s="280">
        <v>85</v>
      </c>
      <c r="L75" s="305" t="s">
        <v>2137</v>
      </c>
      <c r="M75" s="280" t="s">
        <v>2102</v>
      </c>
      <c r="N75" s="307" t="s">
        <v>2156</v>
      </c>
    </row>
    <row r="76" spans="1:14">
      <c r="A76" s="281">
        <v>1</v>
      </c>
      <c r="B76" s="281" t="s">
        <v>2156</v>
      </c>
      <c r="C76" s="281" t="s">
        <v>2156</v>
      </c>
      <c r="D76" s="281" t="s">
        <v>1683</v>
      </c>
      <c r="E76" s="280" t="s">
        <v>111</v>
      </c>
      <c r="F76" s="280" t="s">
        <v>2093</v>
      </c>
      <c r="G76" s="280" t="s">
        <v>2095</v>
      </c>
      <c r="H76" s="280" t="s">
        <v>2112</v>
      </c>
      <c r="I76" s="280" t="s">
        <v>2113</v>
      </c>
      <c r="J76" s="305" t="s">
        <v>2156</v>
      </c>
      <c r="K76" s="280">
        <v>27</v>
      </c>
      <c r="L76" s="305" t="s">
        <v>2127</v>
      </c>
      <c r="M76" s="280" t="s">
        <v>415</v>
      </c>
      <c r="N76" s="307" t="s">
        <v>2156</v>
      </c>
    </row>
    <row r="77" spans="1:14">
      <c r="A77" s="281">
        <v>1</v>
      </c>
      <c r="B77" s="281" t="s">
        <v>2156</v>
      </c>
      <c r="C77" s="281" t="s">
        <v>2156</v>
      </c>
      <c r="D77" s="281" t="s">
        <v>1683</v>
      </c>
      <c r="E77" s="281" t="s">
        <v>111</v>
      </c>
      <c r="F77" s="281" t="s">
        <v>2093</v>
      </c>
      <c r="G77" s="281" t="s">
        <v>2095</v>
      </c>
      <c r="H77" s="281" t="s">
        <v>2112</v>
      </c>
      <c r="I77" s="281" t="s">
        <v>2113</v>
      </c>
      <c r="J77" s="309" t="s">
        <v>2156</v>
      </c>
      <c r="K77" s="280">
        <v>30</v>
      </c>
      <c r="L77" s="305" t="s">
        <v>2169</v>
      </c>
      <c r="M77" s="280" t="s">
        <v>415</v>
      </c>
      <c r="N77" s="307" t="s">
        <v>2156</v>
      </c>
    </row>
    <row r="78" spans="1:14">
      <c r="A78" s="281">
        <v>1</v>
      </c>
      <c r="B78" s="281" t="s">
        <v>2156</v>
      </c>
      <c r="C78" s="281" t="s">
        <v>2156</v>
      </c>
      <c r="D78" s="281" t="s">
        <v>1683</v>
      </c>
      <c r="E78" s="281" t="s">
        <v>111</v>
      </c>
      <c r="F78" s="281" t="s">
        <v>2093</v>
      </c>
      <c r="G78" s="280" t="s">
        <v>2096</v>
      </c>
      <c r="H78" s="280" t="s">
        <v>2112</v>
      </c>
      <c r="I78" s="280" t="s">
        <v>2113</v>
      </c>
      <c r="J78" s="305" t="s">
        <v>2243</v>
      </c>
      <c r="K78" s="280">
        <v>33</v>
      </c>
      <c r="L78" s="305" t="s">
        <v>2148</v>
      </c>
      <c r="M78" s="280" t="s">
        <v>409</v>
      </c>
      <c r="N78" s="307" t="s">
        <v>2156</v>
      </c>
    </row>
    <row r="79" spans="1:14">
      <c r="A79" s="281">
        <v>1</v>
      </c>
      <c r="B79" s="281" t="s">
        <v>2156</v>
      </c>
      <c r="C79" s="281" t="s">
        <v>2156</v>
      </c>
      <c r="D79" s="281" t="s">
        <v>1683</v>
      </c>
      <c r="E79" s="281" t="s">
        <v>111</v>
      </c>
      <c r="F79" s="281" t="s">
        <v>2093</v>
      </c>
      <c r="G79" s="281" t="s">
        <v>2096</v>
      </c>
      <c r="H79" s="281" t="s">
        <v>2112</v>
      </c>
      <c r="I79" s="280" t="s">
        <v>2115</v>
      </c>
      <c r="J79" s="305" t="s">
        <v>2156</v>
      </c>
      <c r="K79" s="280">
        <v>352</v>
      </c>
      <c r="L79" s="305" t="s">
        <v>348</v>
      </c>
      <c r="M79" s="280" t="s">
        <v>392</v>
      </c>
      <c r="N79" s="307" t="s">
        <v>2200</v>
      </c>
    </row>
    <row r="80" spans="1:14">
      <c r="A80" s="281">
        <v>1</v>
      </c>
      <c r="B80" s="281" t="s">
        <v>2156</v>
      </c>
      <c r="C80" s="281" t="s">
        <v>2156</v>
      </c>
      <c r="D80" s="281" t="s">
        <v>1683</v>
      </c>
      <c r="E80" s="280" t="s">
        <v>2089</v>
      </c>
      <c r="F80" s="280" t="s">
        <v>2090</v>
      </c>
      <c r="G80" s="280" t="s">
        <v>926</v>
      </c>
      <c r="H80" s="280" t="s">
        <v>2112</v>
      </c>
      <c r="I80" s="280" t="s">
        <v>2113</v>
      </c>
      <c r="J80" s="305" t="s">
        <v>2243</v>
      </c>
      <c r="K80" s="280">
        <v>55</v>
      </c>
      <c r="L80" s="305" t="s">
        <v>847</v>
      </c>
      <c r="M80" s="280" t="s">
        <v>2100</v>
      </c>
      <c r="N80" s="307" t="s">
        <v>2156</v>
      </c>
    </row>
    <row r="81" spans="1:14">
      <c r="A81" s="281">
        <v>1</v>
      </c>
      <c r="B81" s="281" t="s">
        <v>2156</v>
      </c>
      <c r="C81" s="281" t="s">
        <v>2156</v>
      </c>
      <c r="D81" s="280" t="s">
        <v>1752</v>
      </c>
      <c r="E81" s="280" t="s">
        <v>111</v>
      </c>
      <c r="F81" s="280" t="s">
        <v>117</v>
      </c>
      <c r="G81" s="280" t="s">
        <v>2098</v>
      </c>
      <c r="H81" s="280" t="s">
        <v>2112</v>
      </c>
      <c r="I81" s="280" t="s">
        <v>2113</v>
      </c>
      <c r="J81" s="305" t="s">
        <v>2156</v>
      </c>
      <c r="K81" s="280">
        <v>14</v>
      </c>
      <c r="L81" s="305" t="s">
        <v>2120</v>
      </c>
      <c r="M81" s="280" t="s">
        <v>478</v>
      </c>
      <c r="N81" s="307" t="s">
        <v>2156</v>
      </c>
    </row>
    <row r="82" spans="1:14">
      <c r="A82" s="281">
        <v>1</v>
      </c>
      <c r="B82" s="281" t="s">
        <v>2156</v>
      </c>
      <c r="C82" s="281" t="s">
        <v>2156</v>
      </c>
      <c r="D82" s="280" t="s">
        <v>1861</v>
      </c>
      <c r="E82" s="280" t="s">
        <v>1578</v>
      </c>
      <c r="F82" s="280" t="s">
        <v>187</v>
      </c>
      <c r="G82" s="280" t="s">
        <v>926</v>
      </c>
      <c r="H82" s="280" t="s">
        <v>2112</v>
      </c>
      <c r="I82" s="280" t="s">
        <v>2114</v>
      </c>
      <c r="J82" s="305" t="s">
        <v>2156</v>
      </c>
      <c r="K82" s="280">
        <v>107</v>
      </c>
      <c r="L82" s="305" t="s">
        <v>1960</v>
      </c>
      <c r="M82" s="280" t="s">
        <v>646</v>
      </c>
      <c r="N82" s="307" t="s">
        <v>2201</v>
      </c>
    </row>
    <row r="83" spans="1:14">
      <c r="A83" s="281">
        <v>1</v>
      </c>
      <c r="B83" s="281" t="s">
        <v>2156</v>
      </c>
      <c r="C83" s="281" t="s">
        <v>2156</v>
      </c>
      <c r="D83" s="281" t="s">
        <v>1861</v>
      </c>
      <c r="E83" s="281" t="s">
        <v>1578</v>
      </c>
      <c r="F83" s="281" t="s">
        <v>187</v>
      </c>
      <c r="G83" s="281" t="s">
        <v>926</v>
      </c>
      <c r="H83" s="281" t="s">
        <v>2112</v>
      </c>
      <c r="I83" s="281" t="s">
        <v>2114</v>
      </c>
      <c r="J83" s="305" t="s">
        <v>2247</v>
      </c>
      <c r="K83" s="280">
        <v>119</v>
      </c>
      <c r="L83" s="305" t="s">
        <v>577</v>
      </c>
      <c r="M83" s="280" t="s">
        <v>646</v>
      </c>
      <c r="N83" s="307" t="s">
        <v>77</v>
      </c>
    </row>
    <row r="84" spans="1:14">
      <c r="A84" s="280" t="s">
        <v>2156</v>
      </c>
      <c r="B84" s="280">
        <v>1</v>
      </c>
      <c r="C84" s="280">
        <v>1</v>
      </c>
      <c r="D84" s="280" t="s">
        <v>470</v>
      </c>
      <c r="E84" s="280" t="s">
        <v>111</v>
      </c>
      <c r="F84" s="280" t="s">
        <v>117</v>
      </c>
      <c r="G84" s="280" t="s">
        <v>1999</v>
      </c>
      <c r="H84" s="280" t="s">
        <v>2112</v>
      </c>
      <c r="I84" s="280" t="s">
        <v>2114</v>
      </c>
      <c r="J84" s="305" t="s">
        <v>2240</v>
      </c>
      <c r="K84" s="280">
        <v>103</v>
      </c>
      <c r="L84" s="305" t="s">
        <v>1959</v>
      </c>
      <c r="M84" s="280" t="s">
        <v>471</v>
      </c>
      <c r="N84" s="307" t="s">
        <v>77</v>
      </c>
    </row>
    <row r="85" spans="1:14">
      <c r="A85" s="281" t="s">
        <v>2156</v>
      </c>
      <c r="B85" s="280" t="s">
        <v>2156</v>
      </c>
      <c r="C85" s="280">
        <v>1</v>
      </c>
      <c r="D85" s="280" t="s">
        <v>470</v>
      </c>
      <c r="E85" s="280" t="s">
        <v>123</v>
      </c>
      <c r="F85" s="280" t="s">
        <v>2094</v>
      </c>
      <c r="G85" s="280" t="s">
        <v>926</v>
      </c>
      <c r="H85" s="280" t="s">
        <v>2112</v>
      </c>
      <c r="I85" s="280" t="s">
        <v>2115</v>
      </c>
      <c r="J85" s="305" t="s">
        <v>2240</v>
      </c>
      <c r="K85" s="280">
        <v>291</v>
      </c>
      <c r="L85" s="305" t="s">
        <v>533</v>
      </c>
      <c r="M85" s="280" t="s">
        <v>530</v>
      </c>
      <c r="N85" s="307" t="s">
        <v>322</v>
      </c>
    </row>
    <row r="86" spans="1:14">
      <c r="A86" s="281" t="s">
        <v>2156</v>
      </c>
      <c r="B86" s="281" t="s">
        <v>2156</v>
      </c>
      <c r="C86" s="281">
        <v>1</v>
      </c>
      <c r="D86" s="281" t="s">
        <v>470</v>
      </c>
      <c r="E86" s="280" t="s">
        <v>111</v>
      </c>
      <c r="F86" s="280" t="s">
        <v>117</v>
      </c>
      <c r="G86" s="280" t="s">
        <v>1999</v>
      </c>
      <c r="H86" s="280" t="s">
        <v>2112</v>
      </c>
      <c r="I86" s="280" t="s">
        <v>2113</v>
      </c>
      <c r="J86" s="305" t="s">
        <v>2232</v>
      </c>
      <c r="K86" s="280">
        <v>13</v>
      </c>
      <c r="L86" s="305" t="s">
        <v>773</v>
      </c>
      <c r="M86" s="280" t="s">
        <v>495</v>
      </c>
      <c r="N86" s="307" t="s">
        <v>2156</v>
      </c>
    </row>
    <row r="87" spans="1:14">
      <c r="A87" s="281" t="s">
        <v>2156</v>
      </c>
      <c r="B87" s="281" t="s">
        <v>2156</v>
      </c>
      <c r="C87" s="281">
        <v>1</v>
      </c>
      <c r="D87" s="281" t="s">
        <v>470</v>
      </c>
      <c r="E87" s="281" t="s">
        <v>111</v>
      </c>
      <c r="F87" s="281" t="s">
        <v>117</v>
      </c>
      <c r="G87" s="281" t="s">
        <v>1999</v>
      </c>
      <c r="H87" s="281" t="s">
        <v>2112</v>
      </c>
      <c r="I87" s="281" t="s">
        <v>2113</v>
      </c>
      <c r="J87" s="309" t="s">
        <v>2232</v>
      </c>
      <c r="K87" s="280">
        <v>18</v>
      </c>
      <c r="L87" s="305" t="s">
        <v>2158</v>
      </c>
      <c r="M87" s="280" t="s">
        <v>471</v>
      </c>
      <c r="N87" s="307" t="s">
        <v>2156</v>
      </c>
    </row>
    <row r="88" spans="1:14">
      <c r="A88" s="281" t="s">
        <v>2156</v>
      </c>
      <c r="B88" s="281" t="s">
        <v>2156</v>
      </c>
      <c r="C88" s="281">
        <v>1</v>
      </c>
      <c r="D88" s="281" t="s">
        <v>470</v>
      </c>
      <c r="E88" s="281" t="s">
        <v>111</v>
      </c>
      <c r="F88" s="281" t="s">
        <v>117</v>
      </c>
      <c r="G88" s="281" t="s">
        <v>1999</v>
      </c>
      <c r="H88" s="281" t="s">
        <v>2112</v>
      </c>
      <c r="I88" s="280" t="s">
        <v>2115</v>
      </c>
      <c r="J88" s="305" t="s">
        <v>2240</v>
      </c>
      <c r="K88" s="280">
        <v>281</v>
      </c>
      <c r="L88" s="305" t="s">
        <v>1978</v>
      </c>
      <c r="M88" s="280" t="s">
        <v>471</v>
      </c>
      <c r="N88" s="307" t="s">
        <v>322</v>
      </c>
    </row>
    <row r="89" spans="1:14">
      <c r="A89" s="281" t="s">
        <v>2156</v>
      </c>
      <c r="B89" s="281" t="s">
        <v>2156</v>
      </c>
      <c r="C89" s="281">
        <v>1</v>
      </c>
      <c r="D89" s="281" t="s">
        <v>470</v>
      </c>
      <c r="E89" s="281" t="s">
        <v>111</v>
      </c>
      <c r="F89" s="281" t="s">
        <v>117</v>
      </c>
      <c r="G89" s="281" t="s">
        <v>1999</v>
      </c>
      <c r="H89" s="281" t="s">
        <v>2112</v>
      </c>
      <c r="I89" s="281" t="s">
        <v>2115</v>
      </c>
      <c r="J89" s="309" t="s">
        <v>2240</v>
      </c>
      <c r="K89" s="280">
        <v>287</v>
      </c>
      <c r="L89" s="305" t="s">
        <v>1979</v>
      </c>
      <c r="M89" s="280" t="s">
        <v>506</v>
      </c>
      <c r="N89" s="307" t="s">
        <v>322</v>
      </c>
    </row>
    <row r="90" spans="1:14">
      <c r="A90" s="281" t="s">
        <v>2156</v>
      </c>
      <c r="B90" s="281" t="s">
        <v>2156</v>
      </c>
      <c r="C90" s="281">
        <v>1</v>
      </c>
      <c r="D90" s="281" t="s">
        <v>470</v>
      </c>
      <c r="E90" s="281" t="s">
        <v>111</v>
      </c>
      <c r="F90" s="281" t="s">
        <v>117</v>
      </c>
      <c r="G90" s="280" t="s">
        <v>2097</v>
      </c>
      <c r="H90" s="280" t="s">
        <v>2112</v>
      </c>
      <c r="I90" s="280" t="s">
        <v>2115</v>
      </c>
      <c r="J90" s="305" t="s">
        <v>2240</v>
      </c>
      <c r="K90" s="280">
        <v>284</v>
      </c>
      <c r="L90" s="305" t="s">
        <v>493</v>
      </c>
      <c r="M90" s="280" t="s">
        <v>489</v>
      </c>
      <c r="N90" s="307" t="s">
        <v>322</v>
      </c>
    </row>
    <row r="91" spans="1:14">
      <c r="A91" s="281" t="s">
        <v>2156</v>
      </c>
      <c r="B91" s="281" t="s">
        <v>2156</v>
      </c>
      <c r="C91" s="281">
        <v>1</v>
      </c>
      <c r="D91" s="281" t="s">
        <v>470</v>
      </c>
      <c r="E91" s="281" t="s">
        <v>111</v>
      </c>
      <c r="F91" s="281" t="s">
        <v>117</v>
      </c>
      <c r="G91" s="281" t="s">
        <v>2097</v>
      </c>
      <c r="H91" s="281" t="s">
        <v>2112</v>
      </c>
      <c r="I91" s="281" t="s">
        <v>2115</v>
      </c>
      <c r="J91" s="309" t="s">
        <v>2240</v>
      </c>
      <c r="K91" s="280">
        <v>288</v>
      </c>
      <c r="L91" s="305" t="s">
        <v>516</v>
      </c>
      <c r="M91" s="280" t="s">
        <v>512</v>
      </c>
      <c r="N91" s="307" t="s">
        <v>322</v>
      </c>
    </row>
    <row r="92" spans="1:14">
      <c r="A92" s="281" t="s">
        <v>2156</v>
      </c>
      <c r="B92" s="281" t="s">
        <v>2156</v>
      </c>
      <c r="C92" s="281">
        <v>1</v>
      </c>
      <c r="D92" s="281" t="s">
        <v>470</v>
      </c>
      <c r="E92" s="281" t="s">
        <v>111</v>
      </c>
      <c r="F92" s="280" t="s">
        <v>2093</v>
      </c>
      <c r="G92" s="280" t="s">
        <v>2154</v>
      </c>
      <c r="H92" s="280" t="s">
        <v>2112</v>
      </c>
      <c r="I92" s="280" t="s">
        <v>2115</v>
      </c>
      <c r="J92" s="305" t="s">
        <v>2240</v>
      </c>
      <c r="K92" s="280">
        <v>297</v>
      </c>
      <c r="L92" s="305" t="s">
        <v>564</v>
      </c>
      <c r="M92" s="280" t="s">
        <v>560</v>
      </c>
      <c r="N92" s="307" t="s">
        <v>322</v>
      </c>
    </row>
    <row r="93" spans="1:14">
      <c r="A93" s="281" t="s">
        <v>2156</v>
      </c>
      <c r="B93" s="281" t="s">
        <v>2156</v>
      </c>
      <c r="C93" s="281">
        <v>1</v>
      </c>
      <c r="D93" s="280" t="s">
        <v>1745</v>
      </c>
      <c r="E93" s="280" t="s">
        <v>111</v>
      </c>
      <c r="F93" s="280" t="s">
        <v>2093</v>
      </c>
      <c r="G93" s="280" t="s">
        <v>2095</v>
      </c>
      <c r="H93" s="280" t="s">
        <v>2112</v>
      </c>
      <c r="I93" s="280" t="s">
        <v>2115</v>
      </c>
      <c r="J93" s="305" t="s">
        <v>2240</v>
      </c>
      <c r="K93" s="280">
        <v>271</v>
      </c>
      <c r="L93" s="305" t="s">
        <v>429</v>
      </c>
      <c r="M93" s="280" t="s">
        <v>427</v>
      </c>
      <c r="N93" s="307" t="s">
        <v>322</v>
      </c>
    </row>
    <row r="94" spans="1:14">
      <c r="A94" s="281" t="s">
        <v>2156</v>
      </c>
      <c r="B94" s="281" t="s">
        <v>2156</v>
      </c>
      <c r="C94" s="281">
        <v>1</v>
      </c>
      <c r="D94" s="281" t="s">
        <v>1745</v>
      </c>
      <c r="E94" s="281" t="s">
        <v>111</v>
      </c>
      <c r="F94" s="281" t="s">
        <v>2093</v>
      </c>
      <c r="G94" s="280" t="s">
        <v>2096</v>
      </c>
      <c r="H94" s="280" t="s">
        <v>2112</v>
      </c>
      <c r="I94" s="280" t="s">
        <v>2115</v>
      </c>
      <c r="J94" s="305" t="s">
        <v>2240</v>
      </c>
      <c r="K94" s="280">
        <v>266</v>
      </c>
      <c r="L94" s="305" t="s">
        <v>2245</v>
      </c>
      <c r="M94" s="280" t="s">
        <v>403</v>
      </c>
      <c r="N94" s="307" t="s">
        <v>322</v>
      </c>
    </row>
    <row r="95" spans="1:14">
      <c r="A95" s="286" t="s">
        <v>2156</v>
      </c>
      <c r="B95" s="286" t="s">
        <v>2156</v>
      </c>
      <c r="C95" s="286">
        <v>1</v>
      </c>
      <c r="D95" s="282" t="s">
        <v>1683</v>
      </c>
      <c r="E95" s="282" t="s">
        <v>111</v>
      </c>
      <c r="F95" s="282" t="s">
        <v>2093</v>
      </c>
      <c r="G95" s="282" t="s">
        <v>2095</v>
      </c>
      <c r="H95" s="282" t="s">
        <v>2112</v>
      </c>
      <c r="I95" s="282" t="s">
        <v>2115</v>
      </c>
      <c r="J95" s="306" t="s">
        <v>2240</v>
      </c>
      <c r="K95" s="282">
        <v>268</v>
      </c>
      <c r="L95" s="306" t="s">
        <v>418</v>
      </c>
      <c r="M95" s="282" t="s">
        <v>415</v>
      </c>
      <c r="N95" s="308" t="s">
        <v>322</v>
      </c>
    </row>
  </sheetData>
  <phoneticPr fontId="1"/>
  <conditionalFormatting sqref="A1:XFD1048576">
    <cfRule type="containsText" dxfId="3585" priority="1" operator="containsText" text="(空白)">
      <formula>NOT(ISERROR(SEARCH("(空白)",A1)))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E317A-A6F1-41FB-9C0D-7D3B393450C6}">
  <sheetPr>
    <tabColor theme="9"/>
  </sheetPr>
  <dimension ref="A1:AA562"/>
  <sheetViews>
    <sheetView zoomScaleNormal="100" workbookViewId="0">
      <pane xSplit="7" ySplit="6" topLeftCell="H7" activePane="bottomRight" state="frozen"/>
      <selection pane="topRight" activeCell="F1" sqref="F1"/>
      <selection pane="bottomLeft" activeCell="A7" sqref="A7"/>
      <selection pane="bottomRight"/>
    </sheetView>
  </sheetViews>
  <sheetFormatPr defaultRowHeight="11.4" outlineLevelCol="1"/>
  <cols>
    <col min="1" max="1" width="2.7265625" style="301" customWidth="1"/>
    <col min="2" max="2" width="5.1796875" style="248" hidden="1" customWidth="1" outlineLevel="1"/>
    <col min="3" max="3" width="2.7265625" style="301" customWidth="1" collapsed="1"/>
    <col min="4" max="4" width="5.1796875" style="293" customWidth="1"/>
    <col min="5" max="5" width="3.6328125" style="249" customWidth="1"/>
    <col min="6" max="7" width="7.6328125" style="252" customWidth="1"/>
    <col min="8" max="15" width="3.453125" style="265" customWidth="1"/>
    <col min="16" max="17" width="3.453125" style="251" customWidth="1"/>
    <col min="18" max="18" width="50.6328125" style="108" customWidth="1"/>
    <col min="19" max="19" width="3.6328125" style="312" customWidth="1"/>
    <col min="20" max="20" width="35.6328125" style="108" customWidth="1"/>
    <col min="21" max="21" width="5.1796875" style="293" customWidth="1"/>
    <col min="22" max="27" width="6.1796875" style="243" customWidth="1" outlineLevel="1"/>
    <col min="28" max="16384" width="8.7265625" style="107"/>
  </cols>
  <sheetData>
    <row r="1" spans="1:27" s="258" customFormat="1">
      <c r="A1" s="299"/>
      <c r="B1" s="253"/>
      <c r="C1" s="299"/>
      <c r="D1" s="291"/>
      <c r="E1" s="254" t="s">
        <v>2061</v>
      </c>
      <c r="H1" s="262"/>
      <c r="I1" s="262"/>
      <c r="J1" s="262"/>
      <c r="K1" s="262"/>
      <c r="L1" s="262"/>
      <c r="M1" s="262"/>
      <c r="N1" s="262"/>
      <c r="O1" s="262"/>
      <c r="P1" s="263" t="s">
        <v>2010</v>
      </c>
      <c r="Q1" s="263"/>
      <c r="R1" s="255">
        <v>561</v>
      </c>
      <c r="S1" s="255"/>
      <c r="T1" s="256"/>
      <c r="U1" s="291"/>
      <c r="V1" s="257"/>
      <c r="W1" s="257"/>
      <c r="X1" s="257"/>
      <c r="Y1" s="257"/>
      <c r="Z1" s="257"/>
      <c r="AA1" s="257"/>
    </row>
    <row r="2" spans="1:27" s="258" customFormat="1">
      <c r="A2" s="299"/>
      <c r="B2" s="253"/>
      <c r="C2" s="299"/>
      <c r="D2" s="291"/>
      <c r="E2" s="254" t="s">
        <v>2062</v>
      </c>
      <c r="F2" s="255"/>
      <c r="G2" s="255"/>
      <c r="H2" s="262"/>
      <c r="I2" s="262"/>
      <c r="J2" s="262"/>
      <c r="K2" s="262"/>
      <c r="L2" s="262"/>
      <c r="M2" s="262"/>
      <c r="N2" s="262"/>
      <c r="O2" s="262"/>
      <c r="P2" s="263" t="s">
        <v>2009</v>
      </c>
      <c r="Q2" s="263"/>
      <c r="R2" s="256"/>
      <c r="S2" s="261"/>
      <c r="T2" s="256"/>
      <c r="U2" s="291"/>
      <c r="V2" s="257"/>
      <c r="W2" s="257"/>
      <c r="X2" s="257"/>
      <c r="Y2" s="257"/>
      <c r="Z2" s="257"/>
      <c r="AA2" s="257"/>
    </row>
    <row r="3" spans="1:27" s="258" customFormat="1">
      <c r="A3" s="299"/>
      <c r="B3" s="253"/>
      <c r="C3" s="299"/>
      <c r="D3" s="291"/>
      <c r="E3" s="254" t="s">
        <v>2063</v>
      </c>
      <c r="F3" s="255"/>
      <c r="G3" s="255"/>
      <c r="H3" s="262"/>
      <c r="I3" s="262"/>
      <c r="J3" s="262"/>
      <c r="K3" s="262"/>
      <c r="L3" s="262"/>
      <c r="M3" s="262"/>
      <c r="N3" s="262"/>
      <c r="O3" s="262"/>
      <c r="P3" s="263" t="s">
        <v>2055</v>
      </c>
      <c r="Q3" s="263"/>
      <c r="R3" s="256"/>
      <c r="S3" s="261"/>
      <c r="T3" s="256"/>
      <c r="U3" s="291"/>
      <c r="V3" s="257"/>
      <c r="W3" s="257"/>
      <c r="X3" s="257"/>
      <c r="Y3" s="257"/>
      <c r="Z3" s="257"/>
      <c r="AA3" s="257"/>
    </row>
    <row r="4" spans="1:27" s="258" customFormat="1">
      <c r="A4" s="299"/>
      <c r="B4" s="253"/>
      <c r="C4" s="299"/>
      <c r="D4" s="291"/>
      <c r="E4" s="254"/>
      <c r="F4" s="255"/>
      <c r="G4" s="255"/>
      <c r="H4" s="262"/>
      <c r="I4" s="262"/>
      <c r="J4" s="262"/>
      <c r="K4" s="262"/>
      <c r="L4" s="262"/>
      <c r="M4" s="262"/>
      <c r="N4" s="262"/>
      <c r="O4" s="262"/>
      <c r="P4" s="263" t="s">
        <v>2011</v>
      </c>
      <c r="Q4" s="263"/>
      <c r="R4" s="256" t="s">
        <v>2066</v>
      </c>
      <c r="S4" s="261"/>
      <c r="T4" s="256"/>
      <c r="U4" s="291"/>
      <c r="V4" s="257"/>
      <c r="W4" s="257"/>
      <c r="X4" s="257"/>
      <c r="Y4" s="257"/>
      <c r="Z4" s="257"/>
      <c r="AA4" s="257"/>
    </row>
    <row r="5" spans="1:27" s="258" customFormat="1">
      <c r="A5" s="299"/>
      <c r="B5" s="253"/>
      <c r="C5" s="299"/>
      <c r="D5" s="291"/>
      <c r="E5" s="254"/>
      <c r="F5" s="255"/>
      <c r="G5" s="255"/>
      <c r="H5" s="262"/>
      <c r="I5" s="262"/>
      <c r="J5" s="262"/>
      <c r="K5" s="262"/>
      <c r="L5" s="262"/>
      <c r="M5" s="262"/>
      <c r="N5" s="262"/>
      <c r="O5" s="262"/>
      <c r="P5" s="263" t="s">
        <v>2012</v>
      </c>
      <c r="Q5" s="263"/>
      <c r="R5" s="256" t="s">
        <v>2065</v>
      </c>
      <c r="S5" s="261"/>
      <c r="T5" s="256"/>
      <c r="U5" s="291"/>
      <c r="V5" s="257"/>
      <c r="W5" s="257"/>
      <c r="X5" s="257"/>
      <c r="Y5" s="257"/>
      <c r="Z5" s="257"/>
      <c r="AA5" s="257"/>
    </row>
    <row r="6" spans="1:27" s="256" customFormat="1" ht="27">
      <c r="A6" s="300" t="s">
        <v>2238</v>
      </c>
      <c r="B6" s="259" t="s">
        <v>899</v>
      </c>
      <c r="C6" s="292" t="s">
        <v>2239</v>
      </c>
      <c r="D6" s="292" t="s">
        <v>2088</v>
      </c>
      <c r="E6" s="260" t="s">
        <v>2001</v>
      </c>
      <c r="F6" s="261" t="s">
        <v>2198</v>
      </c>
      <c r="G6" s="261" t="s">
        <v>2164</v>
      </c>
      <c r="H6" s="288" t="s">
        <v>2006</v>
      </c>
      <c r="I6" s="288" t="s">
        <v>897</v>
      </c>
      <c r="J6" s="288" t="s">
        <v>2015</v>
      </c>
      <c r="K6" s="288" t="s">
        <v>2157</v>
      </c>
      <c r="L6" s="260" t="s">
        <v>2014</v>
      </c>
      <c r="M6" s="313" t="s">
        <v>2246</v>
      </c>
      <c r="N6" s="260" t="s">
        <v>2087</v>
      </c>
      <c r="O6" s="260" t="s">
        <v>2017</v>
      </c>
      <c r="P6" s="296" t="s">
        <v>2018</v>
      </c>
      <c r="Q6" s="296" t="s">
        <v>2109</v>
      </c>
      <c r="R6" s="256" t="s">
        <v>901</v>
      </c>
      <c r="S6" s="261" t="s">
        <v>2215</v>
      </c>
      <c r="T6" s="256" t="s">
        <v>2222</v>
      </c>
      <c r="U6" s="292" t="s">
        <v>2000</v>
      </c>
      <c r="V6" s="257" t="s">
        <v>900</v>
      </c>
      <c r="W6" s="257" t="s">
        <v>1019</v>
      </c>
      <c r="X6" s="257" t="s">
        <v>1020</v>
      </c>
      <c r="Y6" s="257" t="s">
        <v>1021</v>
      </c>
      <c r="Z6" s="257" t="s">
        <v>1998</v>
      </c>
      <c r="AA6" s="257" t="s">
        <v>1073</v>
      </c>
    </row>
    <row r="7" spans="1:27">
      <c r="A7" s="301">
        <v>1</v>
      </c>
      <c r="B7" s="248">
        <v>45746</v>
      </c>
      <c r="H7" s="265">
        <v>1</v>
      </c>
      <c r="I7" s="265">
        <v>1</v>
      </c>
      <c r="J7" s="265">
        <v>1</v>
      </c>
      <c r="R7" s="108" t="s">
        <v>756</v>
      </c>
      <c r="S7" s="310"/>
      <c r="V7" s="243" t="s">
        <v>489</v>
      </c>
      <c r="W7" s="243" t="str">
        <f>VLOOKUP(V7,名簿!A:L,3,FALSE)</f>
        <v>技術製造部</v>
      </c>
      <c r="X7" s="243" t="str">
        <f>VLOOKUP(V7,名簿!A:L,4,FALSE)</f>
        <v>生産管理課</v>
      </c>
      <c r="Y7" s="243" t="str">
        <f>VLOOKUP(V7,名簿!A:L,5,FALSE)</f>
        <v>生産管理事務</v>
      </c>
      <c r="Z7" s="243" t="str">
        <f>VLOOKUP(V7,名簿!A:L,11,FALSE)</f>
        <v>本社</v>
      </c>
      <c r="AA7" s="243" t="str">
        <f>VLOOKUP(V7,名簿!A:L,12,FALSE)</f>
        <v>3F/シンク前</v>
      </c>
    </row>
    <row r="8" spans="1:27">
      <c r="A8" s="301">
        <v>2</v>
      </c>
      <c r="B8" s="248">
        <v>45746</v>
      </c>
      <c r="G8" s="252" t="s">
        <v>2160</v>
      </c>
      <c r="H8" s="265">
        <v>1</v>
      </c>
      <c r="I8" s="265">
        <v>1</v>
      </c>
      <c r="J8" s="265">
        <v>1</v>
      </c>
      <c r="R8" s="245" t="s">
        <v>757</v>
      </c>
      <c r="S8" s="310"/>
      <c r="V8" s="243" t="s">
        <v>489</v>
      </c>
      <c r="W8" s="243" t="str">
        <f>VLOOKUP(V8,名簿!A:L,3,FALSE)</f>
        <v>技術製造部</v>
      </c>
      <c r="X8" s="243" t="str">
        <f>VLOOKUP(V8,名簿!A:L,4,FALSE)</f>
        <v>生産管理課</v>
      </c>
      <c r="Y8" s="243" t="str">
        <f>VLOOKUP(V8,名簿!A:L,5,FALSE)</f>
        <v>生産管理事務</v>
      </c>
      <c r="Z8" s="243" t="str">
        <f>VLOOKUP(V8,名簿!A:L,11,FALSE)</f>
        <v>本社</v>
      </c>
      <c r="AA8" s="243" t="str">
        <f>VLOOKUP(V8,名簿!A:L,12,FALSE)</f>
        <v>3F/シンク前</v>
      </c>
    </row>
    <row r="9" spans="1:27">
      <c r="A9" s="301">
        <v>3</v>
      </c>
      <c r="B9" s="248">
        <v>45746</v>
      </c>
      <c r="H9" s="265">
        <v>1</v>
      </c>
      <c r="I9" s="265">
        <v>1</v>
      </c>
      <c r="R9" s="108" t="s">
        <v>758</v>
      </c>
      <c r="S9" s="310"/>
      <c r="V9" s="243" t="s">
        <v>489</v>
      </c>
      <c r="W9" s="243" t="str">
        <f>VLOOKUP(V9,名簿!A:L,3,FALSE)</f>
        <v>技術製造部</v>
      </c>
      <c r="X9" s="243" t="str">
        <f>VLOOKUP(V9,名簿!A:L,4,FALSE)</f>
        <v>生産管理課</v>
      </c>
      <c r="Y9" s="243" t="str">
        <f>VLOOKUP(V9,名簿!A:L,5,FALSE)</f>
        <v>生産管理事務</v>
      </c>
      <c r="Z9" s="243" t="str">
        <f>VLOOKUP(V9,名簿!A:L,11,FALSE)</f>
        <v>本社</v>
      </c>
      <c r="AA9" s="243" t="str">
        <f>VLOOKUP(V9,名簿!A:L,12,FALSE)</f>
        <v>3F/シンク前</v>
      </c>
    </row>
    <row r="10" spans="1:27">
      <c r="A10" s="301">
        <v>4</v>
      </c>
      <c r="B10" s="248">
        <v>45746</v>
      </c>
      <c r="G10" s="252" t="s">
        <v>2160</v>
      </c>
      <c r="H10" s="265">
        <v>1</v>
      </c>
      <c r="I10" s="265">
        <v>1</v>
      </c>
      <c r="J10" s="265">
        <v>1</v>
      </c>
      <c r="R10" s="245" t="s">
        <v>760</v>
      </c>
      <c r="S10" s="310"/>
      <c r="V10" s="243" t="s">
        <v>512</v>
      </c>
      <c r="W10" s="243" t="str">
        <f>VLOOKUP(V10,名簿!A:L,3,FALSE)</f>
        <v>技術製造部</v>
      </c>
      <c r="X10" s="243" t="str">
        <f>VLOOKUP(V10,名簿!A:L,4,FALSE)</f>
        <v>生産管理課</v>
      </c>
      <c r="Y10" s="243" t="str">
        <f>VLOOKUP(V10,名簿!A:L,5,FALSE)</f>
        <v>生産管理事務</v>
      </c>
      <c r="Z10" s="243" t="str">
        <f>VLOOKUP(V10,名簿!A:L,11,FALSE)</f>
        <v>本社</v>
      </c>
      <c r="AA10" s="243" t="str">
        <f>VLOOKUP(V10,名簿!A:L,12,FALSE)</f>
        <v>3F/シンク前</v>
      </c>
    </row>
    <row r="11" spans="1:27">
      <c r="A11" s="301">
        <v>5</v>
      </c>
      <c r="B11" s="248">
        <v>45746</v>
      </c>
      <c r="G11" s="252" t="s">
        <v>2184</v>
      </c>
      <c r="H11" s="265">
        <v>1</v>
      </c>
      <c r="I11" s="265">
        <v>1</v>
      </c>
      <c r="J11" s="265">
        <v>1</v>
      </c>
      <c r="R11" s="108" t="s">
        <v>761</v>
      </c>
      <c r="S11" s="310"/>
      <c r="V11" s="243" t="s">
        <v>512</v>
      </c>
      <c r="W11" s="243" t="str">
        <f>VLOOKUP(V11,名簿!A:L,3,FALSE)</f>
        <v>技術製造部</v>
      </c>
      <c r="X11" s="243" t="str">
        <f>VLOOKUP(V11,名簿!A:L,4,FALSE)</f>
        <v>生産管理課</v>
      </c>
      <c r="Y11" s="243" t="str">
        <f>VLOOKUP(V11,名簿!A:L,5,FALSE)</f>
        <v>生産管理事務</v>
      </c>
      <c r="Z11" s="243" t="str">
        <f>VLOOKUP(V11,名簿!A:L,11,FALSE)</f>
        <v>本社</v>
      </c>
      <c r="AA11" s="243" t="str">
        <f>VLOOKUP(V11,名簿!A:L,12,FALSE)</f>
        <v>3F/シンク前</v>
      </c>
    </row>
    <row r="12" spans="1:27">
      <c r="A12" s="301">
        <v>6</v>
      </c>
      <c r="B12" s="248">
        <v>45746</v>
      </c>
      <c r="G12" s="252" t="s">
        <v>2184</v>
      </c>
      <c r="H12" s="265">
        <v>1</v>
      </c>
      <c r="I12" s="265">
        <v>1</v>
      </c>
      <c r="J12" s="265">
        <v>1</v>
      </c>
      <c r="R12" s="108" t="s">
        <v>762</v>
      </c>
      <c r="S12" s="310"/>
      <c r="V12" s="243" t="s">
        <v>512</v>
      </c>
      <c r="W12" s="243" t="str">
        <f>VLOOKUP(V12,名簿!A:L,3,FALSE)</f>
        <v>技術製造部</v>
      </c>
      <c r="X12" s="243" t="str">
        <f>VLOOKUP(V12,名簿!A:L,4,FALSE)</f>
        <v>生産管理課</v>
      </c>
      <c r="Y12" s="243" t="str">
        <f>VLOOKUP(V12,名簿!A:L,5,FALSE)</f>
        <v>生産管理事務</v>
      </c>
      <c r="Z12" s="243" t="str">
        <f>VLOOKUP(V12,名簿!A:L,11,FALSE)</f>
        <v>本社</v>
      </c>
      <c r="AA12" s="243" t="str">
        <f>VLOOKUP(V12,名簿!A:L,12,FALSE)</f>
        <v>3F/シンク前</v>
      </c>
    </row>
    <row r="13" spans="1:27">
      <c r="A13" s="301">
        <v>7</v>
      </c>
      <c r="B13" s="248">
        <v>45746</v>
      </c>
      <c r="H13" s="265">
        <v>1</v>
      </c>
      <c r="I13" s="265">
        <v>1</v>
      </c>
      <c r="R13" s="108" t="s">
        <v>763</v>
      </c>
      <c r="S13" s="310"/>
      <c r="V13" s="243" t="s">
        <v>512</v>
      </c>
      <c r="W13" s="243" t="str">
        <f>VLOOKUP(V13,名簿!A:L,3,FALSE)</f>
        <v>技術製造部</v>
      </c>
      <c r="X13" s="243" t="str">
        <f>VLOOKUP(V13,名簿!A:L,4,FALSE)</f>
        <v>生産管理課</v>
      </c>
      <c r="Y13" s="243" t="str">
        <f>VLOOKUP(V13,名簿!A:L,5,FALSE)</f>
        <v>生産管理事務</v>
      </c>
      <c r="Z13" s="243" t="str">
        <f>VLOOKUP(V13,名簿!A:L,11,FALSE)</f>
        <v>本社</v>
      </c>
      <c r="AA13" s="243" t="str">
        <f>VLOOKUP(V13,名簿!A:L,12,FALSE)</f>
        <v>3F/シンク前</v>
      </c>
    </row>
    <row r="14" spans="1:27" ht="22.8">
      <c r="A14" s="301">
        <v>8</v>
      </c>
      <c r="B14" s="248">
        <v>45746</v>
      </c>
      <c r="K14" s="265">
        <v>1</v>
      </c>
      <c r="R14" s="108" t="s">
        <v>902</v>
      </c>
      <c r="S14" s="310"/>
      <c r="V14" s="243" t="s">
        <v>489</v>
      </c>
      <c r="W14" s="243" t="str">
        <f>VLOOKUP(V14,名簿!A:L,3,FALSE)</f>
        <v>技術製造部</v>
      </c>
      <c r="X14" s="243" t="str">
        <f>VLOOKUP(V14,名簿!A:L,4,FALSE)</f>
        <v>生産管理課</v>
      </c>
      <c r="Y14" s="243" t="str">
        <f>VLOOKUP(V14,名簿!A:L,5,FALSE)</f>
        <v>生産管理事務</v>
      </c>
      <c r="Z14" s="243" t="str">
        <f>VLOOKUP(V14,名簿!A:L,11,FALSE)</f>
        <v>本社</v>
      </c>
      <c r="AA14" s="243" t="str">
        <f>VLOOKUP(V14,名簿!A:L,12,FALSE)</f>
        <v>3F/シンク前</v>
      </c>
    </row>
    <row r="15" spans="1:27" ht="22.8">
      <c r="A15" s="301">
        <v>9</v>
      </c>
      <c r="B15" s="248">
        <v>45746</v>
      </c>
      <c r="K15" s="265">
        <v>1</v>
      </c>
      <c r="R15" s="108" t="s">
        <v>902</v>
      </c>
      <c r="S15" s="310"/>
      <c r="V15" s="243" t="s">
        <v>512</v>
      </c>
      <c r="W15" s="243" t="str">
        <f>VLOOKUP(V15,名簿!A:L,3,FALSE)</f>
        <v>技術製造部</v>
      </c>
      <c r="X15" s="243" t="str">
        <f>VLOOKUP(V15,名簿!A:L,4,FALSE)</f>
        <v>生産管理課</v>
      </c>
      <c r="Y15" s="243" t="str">
        <f>VLOOKUP(V15,名簿!A:L,5,FALSE)</f>
        <v>生産管理事務</v>
      </c>
      <c r="Z15" s="243" t="str">
        <f>VLOOKUP(V15,名簿!A:L,11,FALSE)</f>
        <v>本社</v>
      </c>
      <c r="AA15" s="243" t="str">
        <f>VLOOKUP(V15,名簿!A:L,12,FALSE)</f>
        <v>3F/シンク前</v>
      </c>
    </row>
    <row r="16" spans="1:27">
      <c r="A16" s="301">
        <v>10</v>
      </c>
      <c r="B16" s="248">
        <v>45746</v>
      </c>
      <c r="H16" s="265">
        <v>1</v>
      </c>
      <c r="I16" s="265">
        <v>1</v>
      </c>
      <c r="R16" s="108" t="s">
        <v>768</v>
      </c>
      <c r="S16" s="310"/>
      <c r="V16" s="243" t="s">
        <v>1996</v>
      </c>
      <c r="W16" s="243" t="str">
        <f>VLOOKUP(V16,名簿!A:L,3,FALSE)</f>
        <v>技術製造部</v>
      </c>
      <c r="X16" s="243" t="str">
        <f>VLOOKUP(V16,名簿!A:L,4,FALSE)</f>
        <v>生産管理課</v>
      </c>
      <c r="Y16" s="243" t="str">
        <f>VLOOKUP(V16,名簿!A:L,5,FALSE)</f>
        <v>生産管理</v>
      </c>
      <c r="Z16" s="243" t="str">
        <f>VLOOKUP(V16,名簿!A:L,11,FALSE)</f>
        <v>本社</v>
      </c>
      <c r="AA16" s="243" t="str">
        <f>VLOOKUP(V16,名簿!A:L,12,FALSE)</f>
        <v>3F/シンク前</v>
      </c>
    </row>
    <row r="17" spans="1:27" ht="22.8">
      <c r="A17" s="301">
        <v>11</v>
      </c>
      <c r="B17" s="248">
        <v>45746</v>
      </c>
      <c r="H17" s="265">
        <v>1</v>
      </c>
      <c r="I17" s="265">
        <v>1</v>
      </c>
      <c r="R17" s="108" t="s">
        <v>903</v>
      </c>
      <c r="S17" s="310"/>
      <c r="V17" s="243" t="s">
        <v>1996</v>
      </c>
      <c r="W17" s="243" t="str">
        <f>VLOOKUP(V17,名簿!A:L,3,FALSE)</f>
        <v>技術製造部</v>
      </c>
      <c r="X17" s="243" t="str">
        <f>VLOOKUP(V17,名簿!A:L,4,FALSE)</f>
        <v>生産管理課</v>
      </c>
      <c r="Y17" s="243" t="str">
        <f>VLOOKUP(V17,名簿!A:L,5,FALSE)</f>
        <v>生産管理</v>
      </c>
      <c r="Z17" s="243" t="str">
        <f>VLOOKUP(V17,名簿!A:L,11,FALSE)</f>
        <v>本社</v>
      </c>
      <c r="AA17" s="243" t="str">
        <f>VLOOKUP(V17,名簿!A:L,12,FALSE)</f>
        <v>3F/シンク前</v>
      </c>
    </row>
    <row r="18" spans="1:27">
      <c r="A18" s="301">
        <v>12</v>
      </c>
      <c r="B18" s="248">
        <v>45746</v>
      </c>
      <c r="H18" s="265">
        <v>1</v>
      </c>
      <c r="I18" s="265">
        <v>1</v>
      </c>
      <c r="J18" s="265">
        <v>1</v>
      </c>
      <c r="R18" s="108" t="s">
        <v>772</v>
      </c>
      <c r="S18" s="310"/>
      <c r="V18" s="243" t="s">
        <v>1996</v>
      </c>
      <c r="W18" s="243" t="str">
        <f>VLOOKUP(V18,名簿!A:L,3,FALSE)</f>
        <v>技術製造部</v>
      </c>
      <c r="X18" s="243" t="str">
        <f>VLOOKUP(V18,名簿!A:L,4,FALSE)</f>
        <v>生産管理課</v>
      </c>
      <c r="Y18" s="243" t="str">
        <f>VLOOKUP(V18,名簿!A:L,5,FALSE)</f>
        <v>生産管理</v>
      </c>
      <c r="Z18" s="243" t="str">
        <f>VLOOKUP(V18,名簿!A:L,11,FALSE)</f>
        <v>本社</v>
      </c>
      <c r="AA18" s="243" t="str">
        <f>VLOOKUP(V18,名簿!A:L,12,FALSE)</f>
        <v>3F/シンク前</v>
      </c>
    </row>
    <row r="19" spans="1:27">
      <c r="A19" s="301">
        <v>13</v>
      </c>
      <c r="B19" s="248">
        <v>45746</v>
      </c>
      <c r="G19" s="252" t="s">
        <v>2162</v>
      </c>
      <c r="H19" s="265">
        <v>1</v>
      </c>
      <c r="K19" s="265">
        <v>1</v>
      </c>
      <c r="O19" s="265">
        <v>1</v>
      </c>
      <c r="R19" s="108" t="s">
        <v>2161</v>
      </c>
      <c r="S19" s="310"/>
      <c r="V19" s="243" t="s">
        <v>1996</v>
      </c>
      <c r="W19" s="243" t="str">
        <f>VLOOKUP(V19,名簿!A:L,3,FALSE)</f>
        <v>技術製造部</v>
      </c>
      <c r="X19" s="243" t="str">
        <f>VLOOKUP(V19,名簿!A:L,4,FALSE)</f>
        <v>生産管理課</v>
      </c>
      <c r="Y19" s="243" t="str">
        <f>VLOOKUP(V19,名簿!A:L,5,FALSE)</f>
        <v>生産管理</v>
      </c>
      <c r="Z19" s="243" t="str">
        <f>VLOOKUP(V19,名簿!A:L,11,FALSE)</f>
        <v>本社</v>
      </c>
      <c r="AA19" s="243" t="str">
        <f>VLOOKUP(V19,名簿!A:L,12,FALSE)</f>
        <v>3F/シンク前</v>
      </c>
    </row>
    <row r="20" spans="1:27">
      <c r="A20" s="301">
        <v>14</v>
      </c>
      <c r="B20" s="248">
        <v>45746</v>
      </c>
      <c r="H20" s="265">
        <v>1</v>
      </c>
      <c r="I20" s="265">
        <v>1</v>
      </c>
      <c r="R20" s="108" t="s">
        <v>775</v>
      </c>
      <c r="S20" s="310"/>
      <c r="V20" s="243" t="s">
        <v>478</v>
      </c>
      <c r="W20" s="243" t="str">
        <f>VLOOKUP(V20,名簿!A:L,3,FALSE)</f>
        <v>技術製造部</v>
      </c>
      <c r="X20" s="243" t="str">
        <f>VLOOKUP(V20,名簿!A:L,4,FALSE)</f>
        <v>生産管理課</v>
      </c>
      <c r="Y20" s="243" t="str">
        <f>VLOOKUP(V20,名簿!A:L,5,FALSE)</f>
        <v>物流</v>
      </c>
      <c r="Z20" s="243" t="str">
        <f>VLOOKUP(V20,名簿!A:L,11,FALSE)</f>
        <v>第一倉庫</v>
      </c>
      <c r="AA20" s="243" t="str">
        <f>VLOOKUP(V20,名簿!A:L,12,FALSE)</f>
        <v>1F/南西角</v>
      </c>
    </row>
    <row r="21" spans="1:27">
      <c r="A21" s="301">
        <v>15</v>
      </c>
      <c r="B21" s="248">
        <v>45746</v>
      </c>
      <c r="G21" s="252" t="s">
        <v>2242</v>
      </c>
      <c r="H21" s="265">
        <v>1</v>
      </c>
      <c r="I21" s="265">
        <v>1</v>
      </c>
      <c r="K21" s="265">
        <v>1</v>
      </c>
      <c r="R21" s="108" t="s">
        <v>904</v>
      </c>
      <c r="S21" s="310"/>
      <c r="V21" s="243" t="s">
        <v>478</v>
      </c>
      <c r="W21" s="243" t="str">
        <f>VLOOKUP(V21,名簿!A:L,3,FALSE)</f>
        <v>技術製造部</v>
      </c>
      <c r="X21" s="243" t="str">
        <f>VLOOKUP(V21,名簿!A:L,4,FALSE)</f>
        <v>生産管理課</v>
      </c>
      <c r="Y21" s="243" t="str">
        <f>VLOOKUP(V21,名簿!A:L,5,FALSE)</f>
        <v>物流</v>
      </c>
      <c r="Z21" s="243" t="str">
        <f>VLOOKUP(V21,名簿!A:L,11,FALSE)</f>
        <v>第一倉庫</v>
      </c>
      <c r="AA21" s="243" t="str">
        <f>VLOOKUP(V21,名簿!A:L,12,FALSE)</f>
        <v>1F/南西角</v>
      </c>
    </row>
    <row r="22" spans="1:27">
      <c r="A22" s="301">
        <v>16</v>
      </c>
      <c r="B22" s="248">
        <v>45746</v>
      </c>
      <c r="G22" s="252" t="s">
        <v>2163</v>
      </c>
      <c r="I22" s="265">
        <v>1</v>
      </c>
      <c r="J22" s="265">
        <v>1</v>
      </c>
      <c r="R22" s="245" t="s">
        <v>905</v>
      </c>
      <c r="S22" s="310"/>
      <c r="V22" s="243" t="s">
        <v>471</v>
      </c>
      <c r="W22" s="243" t="str">
        <f>VLOOKUP(V22,名簿!A:L,3,FALSE)</f>
        <v>技術製造部</v>
      </c>
      <c r="X22" s="243" t="str">
        <f>VLOOKUP(V22,名簿!A:L,4,FALSE)</f>
        <v>生産管理課</v>
      </c>
      <c r="Y22" s="243" t="str">
        <f>VLOOKUP(V22,名簿!A:L,5,FALSE)</f>
        <v>生産管理</v>
      </c>
      <c r="Z22" s="243" t="str">
        <f>VLOOKUP(V22,名簿!A:L,11,FALSE)</f>
        <v>本社</v>
      </c>
      <c r="AA22" s="243" t="str">
        <f>VLOOKUP(V22,名簿!A:L,12,FALSE)</f>
        <v>3F/シンク前</v>
      </c>
    </row>
    <row r="23" spans="1:27">
      <c r="A23" s="301">
        <v>17</v>
      </c>
      <c r="B23" s="248">
        <v>45746</v>
      </c>
      <c r="G23" s="252" t="s">
        <v>2160</v>
      </c>
      <c r="H23" s="265">
        <v>1</v>
      </c>
      <c r="I23" s="265">
        <v>1</v>
      </c>
      <c r="J23" s="265">
        <v>1</v>
      </c>
      <c r="R23" s="245" t="s">
        <v>781</v>
      </c>
      <c r="S23" s="310"/>
      <c r="V23" s="243" t="s">
        <v>471</v>
      </c>
      <c r="W23" s="243" t="str">
        <f>VLOOKUP(V23,名簿!A:L,3,FALSE)</f>
        <v>技術製造部</v>
      </c>
      <c r="X23" s="243" t="str">
        <f>VLOOKUP(V23,名簿!A:L,4,FALSE)</f>
        <v>生産管理課</v>
      </c>
      <c r="Y23" s="243" t="str">
        <f>VLOOKUP(V23,名簿!A:L,5,FALSE)</f>
        <v>生産管理</v>
      </c>
      <c r="Z23" s="243" t="str">
        <f>VLOOKUP(V23,名簿!A:L,11,FALSE)</f>
        <v>本社</v>
      </c>
      <c r="AA23" s="243" t="str">
        <f>VLOOKUP(V23,名簿!A:L,12,FALSE)</f>
        <v>3F/シンク前</v>
      </c>
    </row>
    <row r="24" spans="1:27" ht="22.8">
      <c r="A24" s="301">
        <v>18</v>
      </c>
      <c r="B24" s="248">
        <v>45746</v>
      </c>
      <c r="G24" s="252" t="s">
        <v>2162</v>
      </c>
      <c r="H24" s="265">
        <v>1</v>
      </c>
      <c r="K24" s="265">
        <v>1</v>
      </c>
      <c r="O24" s="265">
        <v>1</v>
      </c>
      <c r="R24" s="108" t="s">
        <v>2159</v>
      </c>
      <c r="S24" s="310"/>
      <c r="V24" s="243" t="s">
        <v>471</v>
      </c>
      <c r="W24" s="243" t="str">
        <f>VLOOKUP(V24,名簿!A:L,3,FALSE)</f>
        <v>技術製造部</v>
      </c>
      <c r="X24" s="243" t="str">
        <f>VLOOKUP(V24,名簿!A:L,4,FALSE)</f>
        <v>生産管理課</v>
      </c>
      <c r="Y24" s="243" t="str">
        <f>VLOOKUP(V24,名簿!A:L,5,FALSE)</f>
        <v>生産管理</v>
      </c>
      <c r="Z24" s="243" t="str">
        <f>VLOOKUP(V24,名簿!A:L,11,FALSE)</f>
        <v>本社</v>
      </c>
      <c r="AA24" s="243" t="str">
        <f>VLOOKUP(V24,名簿!A:L,12,FALSE)</f>
        <v>3F/シンク前</v>
      </c>
    </row>
    <row r="25" spans="1:27">
      <c r="A25" s="301">
        <v>19</v>
      </c>
      <c r="B25" s="248">
        <v>45746</v>
      </c>
      <c r="H25" s="265">
        <v>1</v>
      </c>
      <c r="I25" s="265">
        <v>1</v>
      </c>
      <c r="R25" s="108" t="s">
        <v>785</v>
      </c>
      <c r="S25" s="310"/>
      <c r="V25" s="243" t="s">
        <v>471</v>
      </c>
      <c r="W25" s="243" t="str">
        <f>VLOOKUP(V25,名簿!A:L,3,FALSE)</f>
        <v>技術製造部</v>
      </c>
      <c r="X25" s="243" t="str">
        <f>VLOOKUP(V25,名簿!A:L,4,FALSE)</f>
        <v>生産管理課</v>
      </c>
      <c r="Y25" s="243" t="str">
        <f>VLOOKUP(V25,名簿!A:L,5,FALSE)</f>
        <v>生産管理</v>
      </c>
      <c r="Z25" s="243" t="str">
        <f>VLOOKUP(V25,名簿!A:L,11,FALSE)</f>
        <v>本社</v>
      </c>
      <c r="AA25" s="243" t="str">
        <f>VLOOKUP(V25,名簿!A:L,12,FALSE)</f>
        <v>3F/シンク前</v>
      </c>
    </row>
    <row r="26" spans="1:27" ht="22.8">
      <c r="A26" s="301">
        <v>20</v>
      </c>
      <c r="B26" s="248">
        <v>45746</v>
      </c>
      <c r="H26" s="265">
        <v>1</v>
      </c>
      <c r="I26" s="265">
        <v>1</v>
      </c>
      <c r="J26" s="265">
        <v>1</v>
      </c>
      <c r="R26" s="245" t="s">
        <v>906</v>
      </c>
      <c r="S26" s="310"/>
      <c r="V26" s="243" t="s">
        <v>471</v>
      </c>
      <c r="W26" s="243" t="str">
        <f>VLOOKUP(V26,名簿!A:L,3,FALSE)</f>
        <v>技術製造部</v>
      </c>
      <c r="X26" s="243" t="str">
        <f>VLOOKUP(V26,名簿!A:L,4,FALSE)</f>
        <v>生産管理課</v>
      </c>
      <c r="Y26" s="243" t="str">
        <f>VLOOKUP(V26,名簿!A:L,5,FALSE)</f>
        <v>生産管理</v>
      </c>
      <c r="Z26" s="243" t="str">
        <f>VLOOKUP(V26,名簿!A:L,11,FALSE)</f>
        <v>本社</v>
      </c>
      <c r="AA26" s="243" t="str">
        <f>VLOOKUP(V26,名簿!A:L,12,FALSE)</f>
        <v>3F/シンク前</v>
      </c>
    </row>
    <row r="27" spans="1:27">
      <c r="A27" s="301">
        <v>21</v>
      </c>
      <c r="B27" s="248">
        <v>45746</v>
      </c>
      <c r="G27" s="252" t="s">
        <v>2163</v>
      </c>
      <c r="I27" s="265">
        <v>1</v>
      </c>
      <c r="J27" s="265">
        <v>1</v>
      </c>
      <c r="R27" s="245" t="s">
        <v>789</v>
      </c>
      <c r="S27" s="310"/>
      <c r="V27" s="243" t="s">
        <v>506</v>
      </c>
      <c r="W27" s="243" t="str">
        <f>VLOOKUP(V27,名簿!A:L,3,FALSE)</f>
        <v>技術製造部</v>
      </c>
      <c r="X27" s="243" t="str">
        <f>VLOOKUP(V27,名簿!A:L,4,FALSE)</f>
        <v>生産管理課</v>
      </c>
      <c r="Y27" s="243" t="str">
        <f>VLOOKUP(V27,名簿!A:L,5,FALSE)</f>
        <v>生産管理</v>
      </c>
      <c r="Z27" s="243" t="str">
        <f>VLOOKUP(V27,名簿!A:L,11,FALSE)</f>
        <v>本社</v>
      </c>
      <c r="AA27" s="243" t="str">
        <f>VLOOKUP(V27,名簿!A:L,12,FALSE)</f>
        <v>3F/シンク前</v>
      </c>
    </row>
    <row r="28" spans="1:27">
      <c r="A28" s="301">
        <v>22</v>
      </c>
      <c r="B28" s="248">
        <v>45746</v>
      </c>
      <c r="H28" s="265">
        <v>1</v>
      </c>
      <c r="I28" s="265">
        <v>1</v>
      </c>
      <c r="R28" s="108" t="s">
        <v>772</v>
      </c>
      <c r="S28" s="310"/>
      <c r="V28" s="243" t="s">
        <v>506</v>
      </c>
      <c r="W28" s="243" t="str">
        <f>VLOOKUP(V28,名簿!A:L,3,FALSE)</f>
        <v>技術製造部</v>
      </c>
      <c r="X28" s="243" t="str">
        <f>VLOOKUP(V28,名簿!A:L,4,FALSE)</f>
        <v>生産管理課</v>
      </c>
      <c r="Y28" s="243" t="str">
        <f>VLOOKUP(V28,名簿!A:L,5,FALSE)</f>
        <v>生産管理</v>
      </c>
      <c r="Z28" s="243" t="str">
        <f>VLOOKUP(V28,名簿!A:L,11,FALSE)</f>
        <v>本社</v>
      </c>
      <c r="AA28" s="243" t="str">
        <f>VLOOKUP(V28,名簿!A:L,12,FALSE)</f>
        <v>3F/シンク前</v>
      </c>
    </row>
    <row r="29" spans="1:27" ht="22.8">
      <c r="A29" s="301">
        <v>23</v>
      </c>
      <c r="B29" s="248">
        <v>45746</v>
      </c>
      <c r="H29" s="265">
        <v>1</v>
      </c>
      <c r="I29" s="265">
        <v>1</v>
      </c>
      <c r="R29" s="108" t="s">
        <v>907</v>
      </c>
      <c r="S29" s="310"/>
      <c r="V29" s="243" t="s">
        <v>506</v>
      </c>
      <c r="W29" s="243" t="str">
        <f>VLOOKUP(V29,名簿!A:L,3,FALSE)</f>
        <v>技術製造部</v>
      </c>
      <c r="X29" s="243" t="str">
        <f>VLOOKUP(V29,名簿!A:L,4,FALSE)</f>
        <v>生産管理課</v>
      </c>
      <c r="Y29" s="243" t="str">
        <f>VLOOKUP(V29,名簿!A:L,5,FALSE)</f>
        <v>生産管理</v>
      </c>
      <c r="Z29" s="243" t="str">
        <f>VLOOKUP(V29,名簿!A:L,11,FALSE)</f>
        <v>本社</v>
      </c>
      <c r="AA29" s="243" t="str">
        <f>VLOOKUP(V29,名簿!A:L,12,FALSE)</f>
        <v>3F/シンク前</v>
      </c>
    </row>
    <row r="30" spans="1:27">
      <c r="A30" s="301">
        <v>24</v>
      </c>
      <c r="B30" s="248">
        <v>45746</v>
      </c>
      <c r="G30" s="252" t="s">
        <v>2165</v>
      </c>
      <c r="I30" s="265">
        <v>1</v>
      </c>
      <c r="J30" s="265">
        <v>1</v>
      </c>
      <c r="R30" s="245" t="s">
        <v>792</v>
      </c>
      <c r="S30" s="310"/>
      <c r="V30" s="243" t="s">
        <v>506</v>
      </c>
      <c r="W30" s="243" t="str">
        <f>VLOOKUP(V30,名簿!A:L,3,FALSE)</f>
        <v>技術製造部</v>
      </c>
      <c r="X30" s="243" t="str">
        <f>VLOOKUP(V30,名簿!A:L,4,FALSE)</f>
        <v>生産管理課</v>
      </c>
      <c r="Y30" s="243" t="str">
        <f>VLOOKUP(V30,名簿!A:L,5,FALSE)</f>
        <v>生産管理</v>
      </c>
      <c r="Z30" s="243" t="str">
        <f>VLOOKUP(V30,名簿!A:L,11,FALSE)</f>
        <v>本社</v>
      </c>
      <c r="AA30" s="243" t="str">
        <f>VLOOKUP(V30,名簿!A:L,12,FALSE)</f>
        <v>3F/シンク前</v>
      </c>
    </row>
    <row r="31" spans="1:27" ht="22.8">
      <c r="A31" s="301">
        <v>25</v>
      </c>
      <c r="B31" s="248">
        <v>45746</v>
      </c>
      <c r="H31" s="265">
        <v>1</v>
      </c>
      <c r="I31" s="265">
        <v>1</v>
      </c>
      <c r="R31" s="108" t="s">
        <v>794</v>
      </c>
      <c r="S31" s="310"/>
      <c r="V31" s="243" t="s">
        <v>1261</v>
      </c>
      <c r="W31" s="243" t="str">
        <f>VLOOKUP(V31,名簿!A:L,3,FALSE)</f>
        <v>技術製造部</v>
      </c>
      <c r="X31" s="243" t="str">
        <f>VLOOKUP(V31,名簿!A:L,4,FALSE)</f>
        <v>生産管理課</v>
      </c>
      <c r="Y31" s="243" t="str">
        <f>VLOOKUP(V31,名簿!A:L,5,FALSE)</f>
        <v>物流</v>
      </c>
      <c r="Z31" s="243" t="str">
        <f>VLOOKUP(V31,名簿!A:L,11,FALSE)</f>
        <v>コスメファクトリー</v>
      </c>
      <c r="AA31" s="243" t="str">
        <f>VLOOKUP(V31,名簿!A:L,12,FALSE)</f>
        <v>1F/事務所</v>
      </c>
    </row>
    <row r="32" spans="1:27" ht="22.8">
      <c r="A32" s="301">
        <v>26</v>
      </c>
      <c r="B32" s="248">
        <v>45746</v>
      </c>
      <c r="H32" s="265">
        <v>1</v>
      </c>
      <c r="I32" s="265">
        <v>1</v>
      </c>
      <c r="R32" s="108" t="s">
        <v>2007</v>
      </c>
      <c r="S32" s="310"/>
      <c r="V32" s="243" t="s">
        <v>1261</v>
      </c>
      <c r="W32" s="243" t="str">
        <f>VLOOKUP(V32,名簿!A:L,3,FALSE)</f>
        <v>技術製造部</v>
      </c>
      <c r="X32" s="243" t="str">
        <f>VLOOKUP(V32,名簿!A:L,4,FALSE)</f>
        <v>生産管理課</v>
      </c>
      <c r="Y32" s="243" t="str">
        <f>VLOOKUP(V32,名簿!A:L,5,FALSE)</f>
        <v>物流</v>
      </c>
      <c r="Z32" s="243" t="str">
        <f>VLOOKUP(V32,名簿!A:L,11,FALSE)</f>
        <v>コスメファクトリー</v>
      </c>
      <c r="AA32" s="243" t="str">
        <f>VLOOKUP(V32,名簿!A:L,12,FALSE)</f>
        <v>1F/事務所</v>
      </c>
    </row>
    <row r="33" spans="1:27">
      <c r="A33" s="301">
        <v>27</v>
      </c>
      <c r="B33" s="248">
        <v>45746</v>
      </c>
      <c r="H33" s="265">
        <v>1</v>
      </c>
      <c r="I33" s="265">
        <v>1</v>
      </c>
      <c r="R33" s="108" t="s">
        <v>798</v>
      </c>
      <c r="S33" s="310"/>
      <c r="V33" s="243" t="s">
        <v>1994</v>
      </c>
      <c r="W33" s="243" t="str">
        <f>VLOOKUP(V33,名簿!A:L,3,FALSE)</f>
        <v>技術製造部</v>
      </c>
      <c r="X33" s="243" t="str">
        <f>VLOOKUP(V33,名簿!A:L,4,FALSE)</f>
        <v>製造課</v>
      </c>
      <c r="Y33" s="243" t="str">
        <f>VLOOKUP(V33,名簿!A:L,5,FALSE)</f>
        <v>バルク・顆粒</v>
      </c>
      <c r="Z33" s="243" t="str">
        <f>VLOOKUP(V33,名簿!A:L,11,FALSE)</f>
        <v>コスメラボラトリー</v>
      </c>
      <c r="AA33" s="243" t="str">
        <f>VLOOKUP(V33,名簿!A:L,12,FALSE)</f>
        <v>2F/事務所</v>
      </c>
    </row>
    <row r="34" spans="1:27">
      <c r="A34" s="301">
        <v>28</v>
      </c>
      <c r="B34" s="248">
        <v>45746</v>
      </c>
      <c r="G34" s="252" t="s">
        <v>2166</v>
      </c>
      <c r="H34" s="265">
        <v>1</v>
      </c>
      <c r="I34" s="265">
        <v>1</v>
      </c>
      <c r="J34" s="265">
        <v>1</v>
      </c>
      <c r="K34" s="265">
        <v>1</v>
      </c>
      <c r="R34" s="246" t="s">
        <v>908</v>
      </c>
      <c r="S34" s="310"/>
      <c r="V34" s="243" t="s">
        <v>1994</v>
      </c>
      <c r="W34" s="243" t="str">
        <f>VLOOKUP(V34,名簿!A:L,3,FALSE)</f>
        <v>技術製造部</v>
      </c>
      <c r="X34" s="243" t="str">
        <f>VLOOKUP(V34,名簿!A:L,4,FALSE)</f>
        <v>製造課</v>
      </c>
      <c r="Y34" s="243" t="str">
        <f>VLOOKUP(V34,名簿!A:L,5,FALSE)</f>
        <v>バルク・顆粒</v>
      </c>
      <c r="Z34" s="243" t="str">
        <f>VLOOKUP(V34,名簿!A:L,11,FALSE)</f>
        <v>コスメラボラトリー</v>
      </c>
      <c r="AA34" s="243" t="str">
        <f>VLOOKUP(V34,名簿!A:L,12,FALSE)</f>
        <v>2F/事務所</v>
      </c>
    </row>
    <row r="35" spans="1:27" ht="22.8">
      <c r="A35" s="301">
        <v>29</v>
      </c>
      <c r="B35" s="248">
        <v>45746</v>
      </c>
      <c r="D35" s="293">
        <v>46098</v>
      </c>
      <c r="G35" s="252" t="s">
        <v>2168</v>
      </c>
      <c r="H35" s="265">
        <v>1</v>
      </c>
      <c r="I35" s="265">
        <v>1</v>
      </c>
      <c r="J35" s="265">
        <v>1</v>
      </c>
      <c r="R35" s="108" t="s">
        <v>909</v>
      </c>
      <c r="S35" s="312" t="s">
        <v>2216</v>
      </c>
      <c r="T35" s="108" t="s">
        <v>2408</v>
      </c>
      <c r="V35" s="243" t="s">
        <v>1994</v>
      </c>
      <c r="W35" s="243" t="str">
        <f>VLOOKUP(V35,名簿!A:L,3,FALSE)</f>
        <v>技術製造部</v>
      </c>
      <c r="X35" s="243" t="str">
        <f>VLOOKUP(V35,名簿!A:L,4,FALSE)</f>
        <v>製造課</v>
      </c>
      <c r="Y35" s="243" t="str">
        <f>VLOOKUP(V35,名簿!A:L,5,FALSE)</f>
        <v>バルク・顆粒</v>
      </c>
      <c r="Z35" s="243" t="str">
        <f>VLOOKUP(V35,名簿!A:L,11,FALSE)</f>
        <v>コスメラボラトリー</v>
      </c>
      <c r="AA35" s="243" t="str">
        <f>VLOOKUP(V35,名簿!A:L,12,FALSE)</f>
        <v>2F/事務所</v>
      </c>
    </row>
    <row r="36" spans="1:27" ht="22.8">
      <c r="A36" s="301">
        <v>30</v>
      </c>
      <c r="B36" s="248">
        <v>45746</v>
      </c>
      <c r="H36" s="265">
        <v>1</v>
      </c>
      <c r="I36" s="265">
        <v>1</v>
      </c>
      <c r="R36" s="245" t="s">
        <v>2170</v>
      </c>
      <c r="S36" s="310"/>
      <c r="V36" s="243" t="s">
        <v>1994</v>
      </c>
      <c r="W36" s="243" t="str">
        <f>VLOOKUP(V36,名簿!A:L,3,FALSE)</f>
        <v>技術製造部</v>
      </c>
      <c r="X36" s="243" t="str">
        <f>VLOOKUP(V36,名簿!A:L,4,FALSE)</f>
        <v>製造課</v>
      </c>
      <c r="Y36" s="243" t="str">
        <f>VLOOKUP(V36,名簿!A:L,5,FALSE)</f>
        <v>バルク・顆粒</v>
      </c>
      <c r="Z36" s="243" t="str">
        <f>VLOOKUP(V36,名簿!A:L,11,FALSE)</f>
        <v>コスメラボラトリー</v>
      </c>
      <c r="AA36" s="243" t="str">
        <f>VLOOKUP(V36,名簿!A:L,12,FALSE)</f>
        <v>2F/事務所</v>
      </c>
    </row>
    <row r="37" spans="1:27" ht="22.8">
      <c r="A37" s="301">
        <v>31</v>
      </c>
      <c r="B37" s="248">
        <v>45746</v>
      </c>
      <c r="H37" s="265">
        <v>1</v>
      </c>
      <c r="I37" s="265">
        <v>1</v>
      </c>
      <c r="R37" s="108" t="s">
        <v>911</v>
      </c>
      <c r="S37" s="310"/>
      <c r="V37" s="243" t="s">
        <v>501</v>
      </c>
      <c r="W37" s="243" t="str">
        <f>VLOOKUP(V37,名簿!A:L,3,FALSE)</f>
        <v>技術製造部</v>
      </c>
      <c r="X37" s="243" t="str">
        <f>VLOOKUP(V37,名簿!A:L,4,FALSE)</f>
        <v>製造課</v>
      </c>
      <c r="Y37" s="243" t="str">
        <f>VLOOKUP(V37,名簿!A:L,5,FALSE)</f>
        <v>粉体</v>
      </c>
      <c r="Z37" s="243" t="str">
        <f>VLOOKUP(V37,名簿!A:L,11,FALSE)</f>
        <v>本社</v>
      </c>
      <c r="AA37" s="243" t="str">
        <f>VLOOKUP(V37,名簿!A:L,12,FALSE)</f>
        <v>3F/シンク前</v>
      </c>
    </row>
    <row r="38" spans="1:27" ht="34.200000000000003">
      <c r="A38" s="301">
        <v>32</v>
      </c>
      <c r="B38" s="248">
        <v>45746</v>
      </c>
      <c r="G38" s="252" t="s">
        <v>2172</v>
      </c>
      <c r="K38" s="265">
        <v>1</v>
      </c>
      <c r="P38" s="251">
        <v>4</v>
      </c>
      <c r="R38" s="245" t="s">
        <v>910</v>
      </c>
      <c r="S38" s="310" t="s">
        <v>2332</v>
      </c>
      <c r="T38" s="108" t="s">
        <v>2578</v>
      </c>
      <c r="V38" s="243" t="s">
        <v>501</v>
      </c>
      <c r="W38" s="243" t="str">
        <f>VLOOKUP(V38,名簿!A:L,3,FALSE)</f>
        <v>技術製造部</v>
      </c>
      <c r="X38" s="243" t="str">
        <f>VLOOKUP(V38,名簿!A:L,4,FALSE)</f>
        <v>製造課</v>
      </c>
      <c r="Y38" s="243" t="str">
        <f>VLOOKUP(V38,名簿!A:L,5,FALSE)</f>
        <v>粉体</v>
      </c>
      <c r="Z38" s="243" t="str">
        <f>VLOOKUP(V38,名簿!A:L,11,FALSE)</f>
        <v>本社</v>
      </c>
      <c r="AA38" s="243" t="str">
        <f>VLOOKUP(V38,名簿!A:L,12,FALSE)</f>
        <v>3F/シンク前</v>
      </c>
    </row>
    <row r="39" spans="1:27" ht="22.8">
      <c r="A39" s="301">
        <v>33</v>
      </c>
      <c r="B39" s="248">
        <v>45746</v>
      </c>
      <c r="G39" s="252" t="s">
        <v>2244</v>
      </c>
      <c r="H39" s="265">
        <v>1</v>
      </c>
      <c r="I39" s="265">
        <v>1</v>
      </c>
      <c r="R39" s="108" t="s">
        <v>913</v>
      </c>
      <c r="S39" s="310"/>
      <c r="V39" s="243" t="s">
        <v>898</v>
      </c>
      <c r="W39" s="243" t="str">
        <f>VLOOKUP(V39,名簿!A:L,3,FALSE)</f>
        <v>技術製造部</v>
      </c>
      <c r="X39" s="243" t="str">
        <f>VLOOKUP(V39,名簿!A:L,4,FALSE)</f>
        <v>製造課</v>
      </c>
      <c r="Y39" s="243" t="str">
        <f>VLOOKUP(V39,名簿!A:L,5,FALSE)</f>
        <v>充填包装</v>
      </c>
      <c r="Z39" s="243" t="str">
        <f>VLOOKUP(V39,名簿!A:L,11,FALSE)</f>
        <v>コスメラボラトリー</v>
      </c>
      <c r="AA39" s="243" t="str">
        <f>VLOOKUP(V39,名簿!A:L,12,FALSE)</f>
        <v>2F/事務所</v>
      </c>
    </row>
    <row r="40" spans="1:27">
      <c r="A40" s="301">
        <v>34</v>
      </c>
      <c r="B40" s="248">
        <v>45746</v>
      </c>
      <c r="G40" s="252" t="s">
        <v>2186</v>
      </c>
      <c r="I40" s="265">
        <v>1</v>
      </c>
      <c r="R40" s="247" t="s">
        <v>912</v>
      </c>
      <c r="S40" s="310"/>
      <c r="V40" s="243" t="s">
        <v>898</v>
      </c>
      <c r="W40" s="243" t="str">
        <f>VLOOKUP(V40,名簿!A:L,3,FALSE)</f>
        <v>技術製造部</v>
      </c>
      <c r="X40" s="243" t="str">
        <f>VLOOKUP(V40,名簿!A:L,4,FALSE)</f>
        <v>製造課</v>
      </c>
      <c r="Y40" s="243" t="str">
        <f>VLOOKUP(V40,名簿!A:L,5,FALSE)</f>
        <v>充填包装</v>
      </c>
      <c r="Z40" s="243" t="str">
        <f>VLOOKUP(V40,名簿!A:L,11,FALSE)</f>
        <v>コスメラボラトリー</v>
      </c>
      <c r="AA40" s="243" t="str">
        <f>VLOOKUP(V40,名簿!A:L,12,FALSE)</f>
        <v>2F/事務所</v>
      </c>
    </row>
    <row r="41" spans="1:27">
      <c r="A41" s="301">
        <v>35</v>
      </c>
      <c r="B41" s="248">
        <v>45746</v>
      </c>
      <c r="H41" s="265">
        <v>1</v>
      </c>
      <c r="I41" s="265">
        <v>1</v>
      </c>
      <c r="R41" s="108" t="s">
        <v>818</v>
      </c>
      <c r="S41" s="310"/>
      <c r="V41" s="243" t="s">
        <v>403</v>
      </c>
      <c r="W41" s="243" t="str">
        <f>VLOOKUP(V41,名簿!A:L,3,FALSE)</f>
        <v>技術製造部</v>
      </c>
      <c r="X41" s="243" t="str">
        <f>VLOOKUP(V41,名簿!A:L,4,FALSE)</f>
        <v>製造課</v>
      </c>
      <c r="Y41" s="243" t="str">
        <f>VLOOKUP(V41,名簿!A:L,5,FALSE)</f>
        <v>充填包装</v>
      </c>
      <c r="Z41" s="243" t="str">
        <f>VLOOKUP(V41,名簿!A:L,11,FALSE)</f>
        <v>コスメファクトリー</v>
      </c>
      <c r="AA41" s="243" t="str">
        <f>VLOOKUP(V41,名簿!A:L,12,FALSE)</f>
        <v>2F/充填ライン南</v>
      </c>
    </row>
    <row r="42" spans="1:27" ht="22.8">
      <c r="A42" s="301">
        <v>36</v>
      </c>
      <c r="B42" s="248">
        <v>45746</v>
      </c>
      <c r="G42" s="252" t="s">
        <v>2173</v>
      </c>
      <c r="H42" s="265">
        <v>1</v>
      </c>
      <c r="I42" s="265">
        <v>1</v>
      </c>
      <c r="R42" s="246" t="s">
        <v>914</v>
      </c>
      <c r="S42" s="310"/>
      <c r="V42" s="243" t="s">
        <v>403</v>
      </c>
      <c r="W42" s="243" t="str">
        <f>VLOOKUP(V42,名簿!A:L,3,FALSE)</f>
        <v>技術製造部</v>
      </c>
      <c r="X42" s="243" t="str">
        <f>VLOOKUP(V42,名簿!A:L,4,FALSE)</f>
        <v>製造課</v>
      </c>
      <c r="Y42" s="243" t="str">
        <f>VLOOKUP(V42,名簿!A:L,5,FALSE)</f>
        <v>充填包装</v>
      </c>
      <c r="Z42" s="243" t="str">
        <f>VLOOKUP(V42,名簿!A:L,11,FALSE)</f>
        <v>コスメファクトリー</v>
      </c>
      <c r="AA42" s="243" t="str">
        <f>VLOOKUP(V42,名簿!A:L,12,FALSE)</f>
        <v>2F/充填ライン南</v>
      </c>
    </row>
    <row r="43" spans="1:27">
      <c r="A43" s="301">
        <v>37</v>
      </c>
      <c r="B43" s="248">
        <v>45746</v>
      </c>
      <c r="D43" s="293">
        <v>45818</v>
      </c>
      <c r="E43" s="249">
        <v>1</v>
      </c>
      <c r="H43" s="265">
        <v>1</v>
      </c>
      <c r="R43" s="108" t="s">
        <v>822</v>
      </c>
      <c r="S43" s="310"/>
      <c r="T43" s="108" t="s">
        <v>2013</v>
      </c>
      <c r="U43" s="293">
        <v>45944</v>
      </c>
      <c r="V43" s="243" t="s">
        <v>541</v>
      </c>
      <c r="W43" s="243" t="str">
        <f>VLOOKUP(V43,名簿!A:L,3,FALSE)</f>
        <v>管理部</v>
      </c>
      <c r="X43" s="243" t="str">
        <f>VLOOKUP(V43,名簿!A:L,4,FALSE)</f>
        <v>管理課</v>
      </c>
      <c r="Y43" s="243" t="str">
        <f>VLOOKUP(V43,名簿!A:L,5,FALSE)</f>
        <v>-</v>
      </c>
      <c r="Z43" s="243" t="str">
        <f>VLOOKUP(V43,名簿!A:L,11,FALSE)</f>
        <v>本社</v>
      </c>
      <c r="AA43" s="243" t="str">
        <f>VLOOKUP(V43,名簿!A:L,12,FALSE)</f>
        <v>3F/シンク前</v>
      </c>
    </row>
    <row r="44" spans="1:27" ht="22.8">
      <c r="A44" s="301">
        <v>38</v>
      </c>
      <c r="B44" s="248">
        <v>45746</v>
      </c>
      <c r="G44" s="252" t="s">
        <v>2174</v>
      </c>
      <c r="H44" s="265">
        <v>1</v>
      </c>
      <c r="I44" s="265">
        <v>1</v>
      </c>
      <c r="R44" s="108" t="s">
        <v>823</v>
      </c>
      <c r="S44" s="310"/>
      <c r="V44" s="243" t="s">
        <v>541</v>
      </c>
      <c r="W44" s="243" t="str">
        <f>VLOOKUP(V44,名簿!A:L,3,FALSE)</f>
        <v>管理部</v>
      </c>
      <c r="X44" s="243" t="str">
        <f>VLOOKUP(V44,名簿!A:L,4,FALSE)</f>
        <v>管理課</v>
      </c>
      <c r="Y44" s="243" t="str">
        <f>VLOOKUP(V44,名簿!A:L,5,FALSE)</f>
        <v>-</v>
      </c>
      <c r="Z44" s="243" t="str">
        <f>VLOOKUP(V44,名簿!A:L,11,FALSE)</f>
        <v>本社</v>
      </c>
      <c r="AA44" s="243" t="str">
        <f>VLOOKUP(V44,名簿!A:L,12,FALSE)</f>
        <v>3F/シンク前</v>
      </c>
    </row>
    <row r="45" spans="1:27" ht="22.8">
      <c r="A45" s="301">
        <v>39</v>
      </c>
      <c r="B45" s="248">
        <v>45746</v>
      </c>
      <c r="G45" s="252" t="s">
        <v>2175</v>
      </c>
      <c r="H45" s="265">
        <v>1</v>
      </c>
      <c r="I45" s="265">
        <v>1</v>
      </c>
      <c r="R45" s="108" t="s">
        <v>915</v>
      </c>
      <c r="S45" s="310"/>
      <c r="V45" s="243" t="s">
        <v>541</v>
      </c>
      <c r="W45" s="243" t="str">
        <f>VLOOKUP(V45,名簿!A:L,3,FALSE)</f>
        <v>管理部</v>
      </c>
      <c r="X45" s="243" t="str">
        <f>VLOOKUP(V45,名簿!A:L,4,FALSE)</f>
        <v>管理課</v>
      </c>
      <c r="Y45" s="243" t="str">
        <f>VLOOKUP(V45,名簿!A:L,5,FALSE)</f>
        <v>-</v>
      </c>
      <c r="Z45" s="243" t="str">
        <f>VLOOKUP(V45,名簿!A:L,11,FALSE)</f>
        <v>本社</v>
      </c>
      <c r="AA45" s="243" t="str">
        <f>VLOOKUP(V45,名簿!A:L,12,FALSE)</f>
        <v>3F/シンク前</v>
      </c>
    </row>
    <row r="46" spans="1:27">
      <c r="A46" s="301">
        <v>40</v>
      </c>
      <c r="B46" s="248">
        <v>45746</v>
      </c>
      <c r="D46" s="293">
        <v>45818</v>
      </c>
      <c r="E46" s="249">
        <v>1</v>
      </c>
      <c r="H46" s="265">
        <v>1</v>
      </c>
      <c r="R46" s="108" t="s">
        <v>826</v>
      </c>
      <c r="S46" s="310"/>
      <c r="T46" s="108" t="s">
        <v>2013</v>
      </c>
      <c r="U46" s="293">
        <v>45944</v>
      </c>
      <c r="V46" s="243" t="s">
        <v>541</v>
      </c>
      <c r="W46" s="243" t="str">
        <f>VLOOKUP(V46,名簿!A:L,3,FALSE)</f>
        <v>管理部</v>
      </c>
      <c r="X46" s="243" t="str">
        <f>VLOOKUP(V46,名簿!A:L,4,FALSE)</f>
        <v>管理課</v>
      </c>
      <c r="Y46" s="243" t="str">
        <f>VLOOKUP(V46,名簿!A:L,5,FALSE)</f>
        <v>-</v>
      </c>
      <c r="Z46" s="243" t="str">
        <f>VLOOKUP(V46,名簿!A:L,11,FALSE)</f>
        <v>本社</v>
      </c>
      <c r="AA46" s="243" t="str">
        <f>VLOOKUP(V46,名簿!A:L,12,FALSE)</f>
        <v>3F/シンク前</v>
      </c>
    </row>
    <row r="47" spans="1:27">
      <c r="A47" s="301">
        <v>41</v>
      </c>
      <c r="B47" s="248">
        <v>45746</v>
      </c>
      <c r="G47" s="252" t="s">
        <v>2172</v>
      </c>
      <c r="H47" s="265">
        <v>1</v>
      </c>
      <c r="I47" s="265">
        <v>1</v>
      </c>
      <c r="R47" s="108" t="s">
        <v>828</v>
      </c>
      <c r="S47" s="310"/>
      <c r="V47" s="243" t="s">
        <v>547</v>
      </c>
      <c r="W47" s="243" t="str">
        <f>VLOOKUP(V47,名簿!A:L,3,FALSE)</f>
        <v>管理部</v>
      </c>
      <c r="X47" s="243" t="str">
        <f>VLOOKUP(V47,名簿!A:L,4,FALSE)</f>
        <v>管理課</v>
      </c>
      <c r="Y47" s="243" t="str">
        <f>VLOOKUP(V47,名簿!A:L,5,FALSE)</f>
        <v>-</v>
      </c>
      <c r="Z47" s="243" t="str">
        <f>VLOOKUP(V47,名簿!A:L,11,FALSE)</f>
        <v>本社</v>
      </c>
      <c r="AA47" s="243" t="str">
        <f>VLOOKUP(V47,名簿!A:L,12,FALSE)</f>
        <v>3F/シンク前</v>
      </c>
    </row>
    <row r="48" spans="1:27" ht="22.8">
      <c r="A48" s="301">
        <v>42</v>
      </c>
      <c r="B48" s="248">
        <v>45746</v>
      </c>
      <c r="G48" s="252" t="s">
        <v>2174</v>
      </c>
      <c r="I48" s="265">
        <v>1</v>
      </c>
      <c r="R48" s="108" t="s">
        <v>916</v>
      </c>
      <c r="S48" s="310"/>
      <c r="V48" s="243" t="s">
        <v>547</v>
      </c>
      <c r="W48" s="243" t="str">
        <f>VLOOKUP(V48,名簿!A:L,3,FALSE)</f>
        <v>管理部</v>
      </c>
      <c r="X48" s="243" t="str">
        <f>VLOOKUP(V48,名簿!A:L,4,FALSE)</f>
        <v>管理課</v>
      </c>
      <c r="Y48" s="243" t="str">
        <f>VLOOKUP(V48,名簿!A:L,5,FALSE)</f>
        <v>-</v>
      </c>
      <c r="Z48" s="243" t="str">
        <f>VLOOKUP(V48,名簿!A:L,11,FALSE)</f>
        <v>本社</v>
      </c>
      <c r="AA48" s="243" t="str">
        <f>VLOOKUP(V48,名簿!A:L,12,FALSE)</f>
        <v>3F/シンク前</v>
      </c>
    </row>
    <row r="49" spans="1:27">
      <c r="A49" s="301">
        <v>43</v>
      </c>
      <c r="B49" s="248">
        <v>45746</v>
      </c>
      <c r="G49" s="252" t="s">
        <v>2174</v>
      </c>
      <c r="I49" s="265">
        <v>1</v>
      </c>
      <c r="R49" s="108" t="s">
        <v>832</v>
      </c>
      <c r="S49" s="310"/>
      <c r="V49" s="243" t="s">
        <v>547</v>
      </c>
      <c r="W49" s="243" t="str">
        <f>VLOOKUP(V49,名簿!A:L,3,FALSE)</f>
        <v>管理部</v>
      </c>
      <c r="X49" s="243" t="str">
        <f>VLOOKUP(V49,名簿!A:L,4,FALSE)</f>
        <v>管理課</v>
      </c>
      <c r="Y49" s="243" t="str">
        <f>VLOOKUP(V49,名簿!A:L,5,FALSE)</f>
        <v>-</v>
      </c>
      <c r="Z49" s="243" t="str">
        <f>VLOOKUP(V49,名簿!A:L,11,FALSE)</f>
        <v>本社</v>
      </c>
      <c r="AA49" s="243" t="str">
        <f>VLOOKUP(V49,名簿!A:L,12,FALSE)</f>
        <v>3F/シンク前</v>
      </c>
    </row>
    <row r="50" spans="1:27">
      <c r="A50" s="301">
        <v>44</v>
      </c>
      <c r="B50" s="248">
        <v>45746</v>
      </c>
      <c r="G50" s="252" t="s">
        <v>2176</v>
      </c>
      <c r="I50" s="265">
        <v>1</v>
      </c>
      <c r="J50" s="265">
        <v>1</v>
      </c>
      <c r="R50" s="108" t="s">
        <v>917</v>
      </c>
      <c r="S50" s="310"/>
      <c r="V50" s="243" t="s">
        <v>547</v>
      </c>
      <c r="W50" s="243" t="str">
        <f>VLOOKUP(V50,名簿!A:L,3,FALSE)</f>
        <v>管理部</v>
      </c>
      <c r="X50" s="243" t="str">
        <f>VLOOKUP(V50,名簿!A:L,4,FALSE)</f>
        <v>管理課</v>
      </c>
      <c r="Y50" s="243" t="str">
        <f>VLOOKUP(V50,名簿!A:L,5,FALSE)</f>
        <v>-</v>
      </c>
      <c r="Z50" s="243" t="str">
        <f>VLOOKUP(V50,名簿!A:L,11,FALSE)</f>
        <v>本社</v>
      </c>
      <c r="AA50" s="243" t="str">
        <f>VLOOKUP(V50,名簿!A:L,12,FALSE)</f>
        <v>3F/シンク前</v>
      </c>
    </row>
    <row r="51" spans="1:27">
      <c r="A51" s="301">
        <v>45</v>
      </c>
      <c r="B51" s="248">
        <v>45746</v>
      </c>
      <c r="H51" s="265">
        <v>1</v>
      </c>
      <c r="I51" s="265">
        <v>1</v>
      </c>
      <c r="R51" s="108" t="s">
        <v>835</v>
      </c>
      <c r="S51" s="310"/>
      <c r="V51" s="243" t="s">
        <v>547</v>
      </c>
      <c r="W51" s="243" t="str">
        <f>VLOOKUP(V51,名簿!A:L,3,FALSE)</f>
        <v>管理部</v>
      </c>
      <c r="X51" s="243" t="str">
        <f>VLOOKUP(V51,名簿!A:L,4,FALSE)</f>
        <v>管理課</v>
      </c>
      <c r="Y51" s="243" t="str">
        <f>VLOOKUP(V51,名簿!A:L,5,FALSE)</f>
        <v>-</v>
      </c>
      <c r="Z51" s="243" t="str">
        <f>VLOOKUP(V51,名簿!A:L,11,FALSE)</f>
        <v>本社</v>
      </c>
      <c r="AA51" s="243" t="str">
        <f>VLOOKUP(V51,名簿!A:L,12,FALSE)</f>
        <v>3F/シンク前</v>
      </c>
    </row>
    <row r="52" spans="1:27">
      <c r="A52" s="301">
        <v>46</v>
      </c>
      <c r="B52" s="248">
        <v>45746</v>
      </c>
      <c r="H52" s="265">
        <v>1</v>
      </c>
      <c r="I52" s="265">
        <v>1</v>
      </c>
      <c r="R52" s="108" t="s">
        <v>836</v>
      </c>
      <c r="S52" s="310"/>
      <c r="V52" s="243" t="s">
        <v>547</v>
      </c>
      <c r="W52" s="243" t="str">
        <f>VLOOKUP(V52,名簿!A:L,3,FALSE)</f>
        <v>管理部</v>
      </c>
      <c r="X52" s="243" t="str">
        <f>VLOOKUP(V52,名簿!A:L,4,FALSE)</f>
        <v>管理課</v>
      </c>
      <c r="Y52" s="243" t="str">
        <f>VLOOKUP(V52,名簿!A:L,5,FALSE)</f>
        <v>-</v>
      </c>
      <c r="Z52" s="243" t="str">
        <f>VLOOKUP(V52,名簿!A:L,11,FALSE)</f>
        <v>本社</v>
      </c>
      <c r="AA52" s="243" t="str">
        <f>VLOOKUP(V52,名簿!A:L,12,FALSE)</f>
        <v>3F/シンク前</v>
      </c>
    </row>
    <row r="53" spans="1:27">
      <c r="A53" s="301">
        <v>47</v>
      </c>
      <c r="B53" s="248">
        <v>45746</v>
      </c>
      <c r="G53" s="252" t="s">
        <v>2179</v>
      </c>
      <c r="H53" s="265">
        <v>1</v>
      </c>
      <c r="I53" s="265">
        <v>1</v>
      </c>
      <c r="R53" s="108" t="s">
        <v>838</v>
      </c>
      <c r="S53" s="310"/>
      <c r="V53" s="243" t="s">
        <v>535</v>
      </c>
      <c r="W53" s="243" t="str">
        <f>VLOOKUP(V53,名簿!A:L,3,FALSE)</f>
        <v>管理部</v>
      </c>
      <c r="X53" s="243" t="str">
        <f>VLOOKUP(V53,名簿!A:L,4,FALSE)</f>
        <v>管理課</v>
      </c>
      <c r="Y53" s="243" t="str">
        <f>VLOOKUP(V53,名簿!A:L,5,FALSE)</f>
        <v>-</v>
      </c>
      <c r="Z53" s="243" t="str">
        <f>VLOOKUP(V53,名簿!A:L,11,FALSE)</f>
        <v>本社</v>
      </c>
      <c r="AA53" s="243" t="str">
        <f>VLOOKUP(V53,名簿!A:L,12,FALSE)</f>
        <v>3F/シンク前</v>
      </c>
    </row>
    <row r="54" spans="1:27">
      <c r="A54" s="301">
        <v>48</v>
      </c>
      <c r="B54" s="248">
        <v>45746</v>
      </c>
      <c r="H54" s="265">
        <v>1</v>
      </c>
      <c r="I54" s="265">
        <v>1</v>
      </c>
      <c r="R54" s="108" t="s">
        <v>839</v>
      </c>
      <c r="S54" s="310"/>
      <c r="V54" s="243" t="s">
        <v>535</v>
      </c>
      <c r="W54" s="243" t="str">
        <f>VLOOKUP(V54,名簿!A:L,3,FALSE)</f>
        <v>管理部</v>
      </c>
      <c r="X54" s="243" t="str">
        <f>VLOOKUP(V54,名簿!A:L,4,FALSE)</f>
        <v>管理課</v>
      </c>
      <c r="Y54" s="243" t="str">
        <f>VLOOKUP(V54,名簿!A:L,5,FALSE)</f>
        <v>-</v>
      </c>
      <c r="Z54" s="243" t="str">
        <f>VLOOKUP(V54,名簿!A:L,11,FALSE)</f>
        <v>本社</v>
      </c>
      <c r="AA54" s="243" t="str">
        <f>VLOOKUP(V54,名簿!A:L,12,FALSE)</f>
        <v>3F/シンク前</v>
      </c>
    </row>
    <row r="55" spans="1:27">
      <c r="A55" s="301">
        <v>49</v>
      </c>
      <c r="B55" s="248">
        <v>45746</v>
      </c>
      <c r="D55" s="293">
        <v>45818</v>
      </c>
      <c r="E55" s="249">
        <v>1</v>
      </c>
      <c r="H55" s="265">
        <v>1</v>
      </c>
      <c r="R55" s="108" t="s">
        <v>841</v>
      </c>
      <c r="S55" s="310"/>
      <c r="T55" s="108" t="s">
        <v>2013</v>
      </c>
      <c r="U55" s="293">
        <v>45944</v>
      </c>
      <c r="V55" s="243" t="s">
        <v>464</v>
      </c>
      <c r="W55" s="243" t="str">
        <f>VLOOKUP(V55,名簿!A:L,3,FALSE)</f>
        <v>EC事業部</v>
      </c>
      <c r="X55" s="243" t="str">
        <f>VLOOKUP(V55,名簿!A:L,4,FALSE)</f>
        <v>EC事業課</v>
      </c>
      <c r="Y55" s="243" t="str">
        <f>VLOOKUP(V55,名簿!A:L,5,FALSE)</f>
        <v>-</v>
      </c>
      <c r="Z55" s="243" t="str">
        <f>VLOOKUP(V55,名簿!A:L,11,FALSE)</f>
        <v>コスメラボラトリー</v>
      </c>
      <c r="AA55" s="243" t="str">
        <f>VLOOKUP(V55,名簿!A:L,12,FALSE)</f>
        <v>3F/事務所</v>
      </c>
    </row>
    <row r="56" spans="1:27">
      <c r="A56" s="301">
        <v>50</v>
      </c>
      <c r="B56" s="248">
        <v>45746</v>
      </c>
      <c r="G56" s="252" t="s">
        <v>2179</v>
      </c>
      <c r="H56" s="265">
        <v>1</v>
      </c>
      <c r="I56" s="265">
        <v>1</v>
      </c>
      <c r="J56" s="265">
        <v>1</v>
      </c>
      <c r="R56" s="108" t="s">
        <v>842</v>
      </c>
      <c r="S56" s="310"/>
      <c r="V56" s="243" t="s">
        <v>464</v>
      </c>
      <c r="W56" s="243" t="str">
        <f>VLOOKUP(V56,名簿!A:L,3,FALSE)</f>
        <v>EC事業部</v>
      </c>
      <c r="X56" s="243" t="str">
        <f>VLOOKUP(V56,名簿!A:L,4,FALSE)</f>
        <v>EC事業課</v>
      </c>
      <c r="Y56" s="243" t="str">
        <f>VLOOKUP(V56,名簿!A:L,5,FALSE)</f>
        <v>-</v>
      </c>
      <c r="Z56" s="243" t="str">
        <f>VLOOKUP(V56,名簿!A:L,11,FALSE)</f>
        <v>コスメラボラトリー</v>
      </c>
      <c r="AA56" s="243" t="str">
        <f>VLOOKUP(V56,名簿!A:L,12,FALSE)</f>
        <v>3F/事務所</v>
      </c>
    </row>
    <row r="57" spans="1:27">
      <c r="A57" s="301">
        <v>51</v>
      </c>
      <c r="B57" s="248">
        <v>45746</v>
      </c>
      <c r="I57" s="265">
        <v>1</v>
      </c>
      <c r="J57" s="265">
        <v>1</v>
      </c>
      <c r="R57" s="108" t="s">
        <v>843</v>
      </c>
      <c r="S57" s="310"/>
      <c r="V57" s="243" t="s">
        <v>464</v>
      </c>
      <c r="W57" s="243" t="str">
        <f>VLOOKUP(V57,名簿!A:L,3,FALSE)</f>
        <v>EC事業部</v>
      </c>
      <c r="X57" s="243" t="str">
        <f>VLOOKUP(V57,名簿!A:L,4,FALSE)</f>
        <v>EC事業課</v>
      </c>
      <c r="Y57" s="243" t="str">
        <f>VLOOKUP(V57,名簿!A:L,5,FALSE)</f>
        <v>-</v>
      </c>
      <c r="Z57" s="243" t="str">
        <f>VLOOKUP(V57,名簿!A:L,11,FALSE)</f>
        <v>コスメラボラトリー</v>
      </c>
      <c r="AA57" s="243" t="str">
        <f>VLOOKUP(V57,名簿!A:L,12,FALSE)</f>
        <v>3F/事務所</v>
      </c>
    </row>
    <row r="58" spans="1:27" ht="22.8">
      <c r="A58" s="301">
        <v>52</v>
      </c>
      <c r="B58" s="248">
        <v>45746</v>
      </c>
      <c r="G58" s="252" t="s">
        <v>2172</v>
      </c>
      <c r="K58" s="265">
        <v>1</v>
      </c>
      <c r="P58" s="251">
        <v>4</v>
      </c>
      <c r="R58" s="245" t="s">
        <v>844</v>
      </c>
      <c r="S58" s="310" t="s">
        <v>2332</v>
      </c>
      <c r="T58" s="108" t="s">
        <v>2578</v>
      </c>
      <c r="V58" s="243" t="s">
        <v>464</v>
      </c>
      <c r="W58" s="243" t="str">
        <f>VLOOKUP(V58,名簿!A:L,3,FALSE)</f>
        <v>EC事業部</v>
      </c>
      <c r="X58" s="243" t="str">
        <f>VLOOKUP(V58,名簿!A:L,4,FALSE)</f>
        <v>EC事業課</v>
      </c>
      <c r="Y58" s="243" t="str">
        <f>VLOOKUP(V58,名簿!A:L,5,FALSE)</f>
        <v>-</v>
      </c>
      <c r="Z58" s="243" t="str">
        <f>VLOOKUP(V58,名簿!A:L,11,FALSE)</f>
        <v>コスメラボラトリー</v>
      </c>
      <c r="AA58" s="243" t="str">
        <f>VLOOKUP(V58,名簿!A:L,12,FALSE)</f>
        <v>3F/事務所</v>
      </c>
    </row>
    <row r="59" spans="1:27">
      <c r="A59" s="301">
        <v>53</v>
      </c>
      <c r="B59" s="248">
        <v>45746</v>
      </c>
      <c r="G59" s="252" t="s">
        <v>2177</v>
      </c>
      <c r="K59" s="265">
        <v>1</v>
      </c>
      <c r="R59" s="245" t="s">
        <v>845</v>
      </c>
      <c r="S59" s="310"/>
      <c r="V59" s="243" t="s">
        <v>464</v>
      </c>
      <c r="W59" s="243" t="str">
        <f>VLOOKUP(V59,名簿!A:L,3,FALSE)</f>
        <v>EC事業部</v>
      </c>
      <c r="X59" s="243" t="str">
        <f>VLOOKUP(V59,名簿!A:L,4,FALSE)</f>
        <v>EC事業課</v>
      </c>
      <c r="Y59" s="243" t="str">
        <f>VLOOKUP(V59,名簿!A:L,5,FALSE)</f>
        <v>-</v>
      </c>
      <c r="Z59" s="243" t="str">
        <f>VLOOKUP(V59,名簿!A:L,11,FALSE)</f>
        <v>コスメラボラトリー</v>
      </c>
      <c r="AA59" s="243" t="str">
        <f>VLOOKUP(V59,名簿!A:L,12,FALSE)</f>
        <v>3F/事務所</v>
      </c>
    </row>
    <row r="60" spans="1:27">
      <c r="A60" s="301">
        <v>54</v>
      </c>
      <c r="B60" s="248">
        <v>45746</v>
      </c>
      <c r="G60" s="252" t="s">
        <v>2178</v>
      </c>
      <c r="I60" s="265">
        <v>1</v>
      </c>
      <c r="K60" s="265">
        <v>1</v>
      </c>
      <c r="R60" s="245" t="s">
        <v>846</v>
      </c>
      <c r="S60" s="310"/>
      <c r="V60" s="243" t="s">
        <v>464</v>
      </c>
      <c r="W60" s="243" t="str">
        <f>VLOOKUP(V60,名簿!A:L,3,FALSE)</f>
        <v>EC事業部</v>
      </c>
      <c r="X60" s="243" t="str">
        <f>VLOOKUP(V60,名簿!A:L,4,FALSE)</f>
        <v>EC事業課</v>
      </c>
      <c r="Y60" s="243" t="str">
        <f>VLOOKUP(V60,名簿!A:L,5,FALSE)</f>
        <v>-</v>
      </c>
      <c r="Z60" s="243" t="str">
        <f>VLOOKUP(V60,名簿!A:L,11,FALSE)</f>
        <v>コスメラボラトリー</v>
      </c>
      <c r="AA60" s="243" t="str">
        <f>VLOOKUP(V60,名簿!A:L,12,FALSE)</f>
        <v>3F/事務所</v>
      </c>
    </row>
    <row r="61" spans="1:27">
      <c r="A61" s="301">
        <v>55</v>
      </c>
      <c r="B61" s="248">
        <v>45746</v>
      </c>
      <c r="G61" s="252" t="s">
        <v>2244</v>
      </c>
      <c r="H61" s="265">
        <v>1</v>
      </c>
      <c r="I61" s="265">
        <v>1</v>
      </c>
      <c r="R61" s="108" t="s">
        <v>847</v>
      </c>
      <c r="S61" s="310"/>
      <c r="V61" s="243" t="s">
        <v>1463</v>
      </c>
      <c r="W61" s="243" t="str">
        <f>VLOOKUP(V61,名簿!A:L,3,FALSE)</f>
        <v>EC事業部</v>
      </c>
      <c r="X61" s="243" t="str">
        <f>VLOOKUP(V61,名簿!A:L,4,FALSE)</f>
        <v>EC事業課</v>
      </c>
      <c r="Y61" s="243" t="str">
        <f>VLOOKUP(V61,名簿!A:L,5,FALSE)</f>
        <v>-</v>
      </c>
      <c r="Z61" s="243" t="str">
        <f>VLOOKUP(V61,名簿!A:L,11,FALSE)</f>
        <v>コスメラボラトリー</v>
      </c>
      <c r="AA61" s="243" t="str">
        <f>VLOOKUP(V61,名簿!A:L,12,FALSE)</f>
        <v>3F/事務所</v>
      </c>
    </row>
    <row r="62" spans="1:27">
      <c r="A62" s="301">
        <v>56</v>
      </c>
      <c r="B62" s="248">
        <v>45746</v>
      </c>
      <c r="G62" s="252" t="s">
        <v>2179</v>
      </c>
      <c r="H62" s="265">
        <v>1</v>
      </c>
      <c r="I62" s="265">
        <v>1</v>
      </c>
      <c r="J62" s="265">
        <v>1</v>
      </c>
      <c r="R62" s="108" t="s">
        <v>848</v>
      </c>
      <c r="S62" s="310"/>
      <c r="V62" s="243" t="s">
        <v>1463</v>
      </c>
      <c r="W62" s="243" t="str">
        <f>VLOOKUP(V62,名簿!A:L,3,FALSE)</f>
        <v>EC事業部</v>
      </c>
      <c r="X62" s="243" t="str">
        <f>VLOOKUP(V62,名簿!A:L,4,FALSE)</f>
        <v>EC事業課</v>
      </c>
      <c r="Y62" s="243" t="str">
        <f>VLOOKUP(V62,名簿!A:L,5,FALSE)</f>
        <v>-</v>
      </c>
      <c r="Z62" s="243" t="str">
        <f>VLOOKUP(V62,名簿!A:L,11,FALSE)</f>
        <v>コスメラボラトリー</v>
      </c>
      <c r="AA62" s="243" t="str">
        <f>VLOOKUP(V62,名簿!A:L,12,FALSE)</f>
        <v>3F/事務所</v>
      </c>
    </row>
    <row r="63" spans="1:27">
      <c r="A63" s="301">
        <v>57</v>
      </c>
      <c r="B63" s="248">
        <v>45746</v>
      </c>
      <c r="G63" s="252" t="s">
        <v>2180</v>
      </c>
      <c r="H63" s="265">
        <v>1</v>
      </c>
      <c r="I63" s="265">
        <v>1</v>
      </c>
      <c r="J63" s="265">
        <v>1</v>
      </c>
      <c r="R63" s="108" t="s">
        <v>849</v>
      </c>
      <c r="S63" s="310"/>
      <c r="V63" s="243" t="s">
        <v>1463</v>
      </c>
      <c r="W63" s="243" t="str">
        <f>VLOOKUP(V63,名簿!A:L,3,FALSE)</f>
        <v>EC事業部</v>
      </c>
      <c r="X63" s="243" t="str">
        <f>VLOOKUP(V63,名簿!A:L,4,FALSE)</f>
        <v>EC事業課</v>
      </c>
      <c r="Y63" s="243" t="str">
        <f>VLOOKUP(V63,名簿!A:L,5,FALSE)</f>
        <v>-</v>
      </c>
      <c r="Z63" s="243" t="str">
        <f>VLOOKUP(V63,名簿!A:L,11,FALSE)</f>
        <v>コスメラボラトリー</v>
      </c>
      <c r="AA63" s="243" t="str">
        <f>VLOOKUP(V63,名簿!A:L,12,FALSE)</f>
        <v>3F/事務所</v>
      </c>
    </row>
    <row r="64" spans="1:27">
      <c r="A64" s="301">
        <v>58</v>
      </c>
      <c r="B64" s="248">
        <v>45746</v>
      </c>
      <c r="G64" s="252" t="s">
        <v>2179</v>
      </c>
      <c r="H64" s="265">
        <v>1</v>
      </c>
      <c r="I64" s="265">
        <v>1</v>
      </c>
      <c r="J64" s="265">
        <v>1</v>
      </c>
      <c r="R64" s="108" t="s">
        <v>851</v>
      </c>
      <c r="S64" s="310"/>
      <c r="V64" s="243" t="s">
        <v>395</v>
      </c>
      <c r="W64" s="243" t="str">
        <f>VLOOKUP(V64,名簿!A:L,3,FALSE)</f>
        <v>EC事業部</v>
      </c>
      <c r="X64" s="243" t="str">
        <f>VLOOKUP(V64,名簿!A:L,4,FALSE)</f>
        <v>EC事業課</v>
      </c>
      <c r="Y64" s="243" t="str">
        <f>VLOOKUP(V64,名簿!A:L,5,FALSE)</f>
        <v>-</v>
      </c>
      <c r="Z64" s="243" t="str">
        <f>VLOOKUP(V64,名簿!A:L,11,FALSE)</f>
        <v>コスメラボラトリー</v>
      </c>
      <c r="AA64" s="243" t="str">
        <f>VLOOKUP(V64,名簿!A:L,12,FALSE)</f>
        <v>3F/事務所</v>
      </c>
    </row>
    <row r="65" spans="1:27">
      <c r="A65" s="301">
        <v>59</v>
      </c>
      <c r="B65" s="248">
        <v>45746</v>
      </c>
      <c r="G65" s="252" t="s">
        <v>2181</v>
      </c>
      <c r="H65" s="265">
        <v>1</v>
      </c>
      <c r="I65" s="265">
        <v>1</v>
      </c>
      <c r="J65" s="265">
        <v>1</v>
      </c>
      <c r="R65" s="108" t="s">
        <v>853</v>
      </c>
      <c r="S65" s="310"/>
      <c r="V65" s="243" t="s">
        <v>380</v>
      </c>
      <c r="W65" s="243" t="str">
        <f>VLOOKUP(V65,名簿!A:L,3,FALSE)</f>
        <v>研究開発部</v>
      </c>
      <c r="X65" s="243" t="str">
        <f>VLOOKUP(V65,名簿!A:L,4,FALSE)</f>
        <v>研究開発課</v>
      </c>
      <c r="Y65" s="243" t="str">
        <f>VLOOKUP(V65,名簿!A:L,5,FALSE)</f>
        <v>-</v>
      </c>
      <c r="Z65" s="243" t="str">
        <f>VLOOKUP(V65,名簿!A:L,11,FALSE)</f>
        <v>コスメラボラトリー</v>
      </c>
      <c r="AA65" s="243" t="str">
        <f>VLOOKUP(V65,名簿!A:L,12,FALSE)</f>
        <v>3F/事務所</v>
      </c>
    </row>
    <row r="66" spans="1:27">
      <c r="A66" s="301">
        <v>60</v>
      </c>
      <c r="B66" s="248">
        <v>45746</v>
      </c>
      <c r="G66" s="252" t="s">
        <v>2182</v>
      </c>
      <c r="H66" s="265">
        <v>1</v>
      </c>
      <c r="I66" s="265">
        <v>1</v>
      </c>
      <c r="J66" s="265">
        <v>1</v>
      </c>
      <c r="R66" s="108" t="s">
        <v>854</v>
      </c>
      <c r="S66" s="310"/>
      <c r="V66" s="243" t="s">
        <v>380</v>
      </c>
      <c r="W66" s="243" t="str">
        <f>VLOOKUP(V66,名簿!A:L,3,FALSE)</f>
        <v>研究開発部</v>
      </c>
      <c r="X66" s="243" t="str">
        <f>VLOOKUP(V66,名簿!A:L,4,FALSE)</f>
        <v>研究開発課</v>
      </c>
      <c r="Y66" s="243" t="str">
        <f>VLOOKUP(V66,名簿!A:L,5,FALSE)</f>
        <v>-</v>
      </c>
      <c r="Z66" s="243" t="str">
        <f>VLOOKUP(V66,名簿!A:L,11,FALSE)</f>
        <v>コスメラボラトリー</v>
      </c>
      <c r="AA66" s="243" t="str">
        <f>VLOOKUP(V66,名簿!A:L,12,FALSE)</f>
        <v>3F/事務所</v>
      </c>
    </row>
    <row r="67" spans="1:27">
      <c r="A67" s="301">
        <v>61</v>
      </c>
      <c r="B67" s="248">
        <v>45746</v>
      </c>
      <c r="H67" s="265">
        <v>1</v>
      </c>
      <c r="I67" s="265">
        <v>1</v>
      </c>
      <c r="R67" s="108" t="s">
        <v>855</v>
      </c>
      <c r="S67" s="310"/>
      <c r="V67" s="243" t="s">
        <v>380</v>
      </c>
      <c r="W67" s="243" t="str">
        <f>VLOOKUP(V67,名簿!A:L,3,FALSE)</f>
        <v>研究開発部</v>
      </c>
      <c r="X67" s="243" t="str">
        <f>VLOOKUP(V67,名簿!A:L,4,FALSE)</f>
        <v>研究開発課</v>
      </c>
      <c r="Y67" s="243" t="str">
        <f>VLOOKUP(V67,名簿!A:L,5,FALSE)</f>
        <v>-</v>
      </c>
      <c r="Z67" s="243" t="str">
        <f>VLOOKUP(V67,名簿!A:L,11,FALSE)</f>
        <v>コスメラボラトリー</v>
      </c>
      <c r="AA67" s="243" t="str">
        <f>VLOOKUP(V67,名簿!A:L,12,FALSE)</f>
        <v>3F/事務所</v>
      </c>
    </row>
    <row r="68" spans="1:27">
      <c r="A68" s="301">
        <v>62</v>
      </c>
      <c r="B68" s="248">
        <v>45746</v>
      </c>
      <c r="G68" s="252" t="s">
        <v>2180</v>
      </c>
      <c r="H68" s="265">
        <v>1</v>
      </c>
      <c r="I68" s="265">
        <v>1</v>
      </c>
      <c r="J68" s="265">
        <v>1</v>
      </c>
      <c r="R68" s="108" t="s">
        <v>856</v>
      </c>
      <c r="S68" s="310"/>
      <c r="V68" s="243" t="s">
        <v>380</v>
      </c>
      <c r="W68" s="243" t="str">
        <f>VLOOKUP(V68,名簿!A:L,3,FALSE)</f>
        <v>研究開発部</v>
      </c>
      <c r="X68" s="243" t="str">
        <f>VLOOKUP(V68,名簿!A:L,4,FALSE)</f>
        <v>研究開発課</v>
      </c>
      <c r="Y68" s="243" t="str">
        <f>VLOOKUP(V68,名簿!A:L,5,FALSE)</f>
        <v>-</v>
      </c>
      <c r="Z68" s="243" t="str">
        <f>VLOOKUP(V68,名簿!A:L,11,FALSE)</f>
        <v>コスメラボラトリー</v>
      </c>
      <c r="AA68" s="243" t="str">
        <f>VLOOKUP(V68,名簿!A:L,12,FALSE)</f>
        <v>3F/事務所</v>
      </c>
    </row>
    <row r="69" spans="1:27">
      <c r="A69" s="301">
        <v>63</v>
      </c>
      <c r="B69" s="248">
        <v>45746</v>
      </c>
      <c r="G69" s="252" t="s">
        <v>2163</v>
      </c>
      <c r="I69" s="265">
        <v>1</v>
      </c>
      <c r="J69" s="265">
        <v>1</v>
      </c>
      <c r="R69" s="245" t="s">
        <v>857</v>
      </c>
      <c r="S69" s="310"/>
      <c r="V69" s="243" t="s">
        <v>380</v>
      </c>
      <c r="W69" s="243" t="str">
        <f>VLOOKUP(V69,名簿!A:L,3,FALSE)</f>
        <v>研究開発部</v>
      </c>
      <c r="X69" s="243" t="str">
        <f>VLOOKUP(V69,名簿!A:L,4,FALSE)</f>
        <v>研究開発課</v>
      </c>
      <c r="Y69" s="243" t="str">
        <f>VLOOKUP(V69,名簿!A:L,5,FALSE)</f>
        <v>-</v>
      </c>
      <c r="Z69" s="243" t="str">
        <f>VLOOKUP(V69,名簿!A:L,11,FALSE)</f>
        <v>コスメラボラトリー</v>
      </c>
      <c r="AA69" s="243" t="str">
        <f>VLOOKUP(V69,名簿!A:L,12,FALSE)</f>
        <v>3F/事務所</v>
      </c>
    </row>
    <row r="70" spans="1:27" ht="22.8">
      <c r="A70" s="301">
        <v>64</v>
      </c>
      <c r="B70" s="248">
        <v>45746</v>
      </c>
      <c r="H70" s="265">
        <v>1</v>
      </c>
      <c r="I70" s="265">
        <v>1</v>
      </c>
      <c r="R70" s="108" t="s">
        <v>2008</v>
      </c>
      <c r="S70" s="310"/>
      <c r="V70" s="243" t="s">
        <v>458</v>
      </c>
      <c r="W70" s="243" t="str">
        <f>VLOOKUP(V70,名簿!A:L,3,FALSE)</f>
        <v>研究開発部</v>
      </c>
      <c r="X70" s="243" t="str">
        <f>VLOOKUP(V70,名簿!A:L,4,FALSE)</f>
        <v>研究開発課</v>
      </c>
      <c r="Y70" s="243" t="str">
        <f>VLOOKUP(V70,名簿!A:L,5,FALSE)</f>
        <v>-</v>
      </c>
      <c r="Z70" s="243" t="str">
        <f>VLOOKUP(V70,名簿!A:L,11,FALSE)</f>
        <v>コスメラボラトリー</v>
      </c>
      <c r="AA70" s="243" t="str">
        <f>VLOOKUP(V70,名簿!A:L,12,FALSE)</f>
        <v>3F/事務所</v>
      </c>
    </row>
    <row r="71" spans="1:27">
      <c r="A71" s="301">
        <v>65</v>
      </c>
      <c r="B71" s="248">
        <v>45746</v>
      </c>
      <c r="H71" s="265">
        <v>1</v>
      </c>
      <c r="I71" s="265">
        <v>1</v>
      </c>
      <c r="R71" s="108" t="s">
        <v>862</v>
      </c>
      <c r="S71" s="310"/>
      <c r="V71" s="243" t="s">
        <v>458</v>
      </c>
      <c r="W71" s="243" t="str">
        <f>VLOOKUP(V71,名簿!A:L,3,FALSE)</f>
        <v>研究開発部</v>
      </c>
      <c r="X71" s="243" t="str">
        <f>VLOOKUP(V71,名簿!A:L,4,FALSE)</f>
        <v>研究開発課</v>
      </c>
      <c r="Y71" s="243" t="str">
        <f>VLOOKUP(V71,名簿!A:L,5,FALSE)</f>
        <v>-</v>
      </c>
      <c r="Z71" s="243" t="str">
        <f>VLOOKUP(V71,名簿!A:L,11,FALSE)</f>
        <v>コスメラボラトリー</v>
      </c>
      <c r="AA71" s="243" t="str">
        <f>VLOOKUP(V71,名簿!A:L,12,FALSE)</f>
        <v>3F/事務所</v>
      </c>
    </row>
    <row r="72" spans="1:27">
      <c r="A72" s="301">
        <v>66</v>
      </c>
      <c r="B72" s="248">
        <v>45746</v>
      </c>
      <c r="H72" s="265">
        <v>1</v>
      </c>
      <c r="I72" s="265">
        <v>1</v>
      </c>
      <c r="R72" s="108" t="s">
        <v>864</v>
      </c>
      <c r="S72" s="310"/>
      <c r="V72" s="243" t="s">
        <v>443</v>
      </c>
      <c r="W72" s="243" t="str">
        <f>VLOOKUP(V72,名簿!A:L,3,FALSE)</f>
        <v>研究開発部</v>
      </c>
      <c r="X72" s="243" t="str">
        <f>VLOOKUP(V72,名簿!A:L,4,FALSE)</f>
        <v>研究開発課</v>
      </c>
      <c r="Y72" s="243" t="str">
        <f>VLOOKUP(V72,名簿!A:L,5,FALSE)</f>
        <v>-</v>
      </c>
      <c r="Z72" s="243" t="str">
        <f>VLOOKUP(V72,名簿!A:L,11,FALSE)</f>
        <v>コスメラボラトリー</v>
      </c>
      <c r="AA72" s="243" t="str">
        <f>VLOOKUP(V72,名簿!A:L,12,FALSE)</f>
        <v>3F/事務所</v>
      </c>
    </row>
    <row r="73" spans="1:27">
      <c r="A73" s="301">
        <v>67</v>
      </c>
      <c r="B73" s="248">
        <v>45746</v>
      </c>
      <c r="G73" s="252" t="s">
        <v>2181</v>
      </c>
      <c r="H73" s="265">
        <v>1</v>
      </c>
      <c r="I73" s="265">
        <v>1</v>
      </c>
      <c r="J73" s="265">
        <v>1</v>
      </c>
      <c r="R73" s="108" t="s">
        <v>865</v>
      </c>
      <c r="S73" s="310"/>
      <c r="V73" s="243" t="s">
        <v>443</v>
      </c>
      <c r="W73" s="243" t="str">
        <f>VLOOKUP(V73,名簿!A:L,3,FALSE)</f>
        <v>研究開発部</v>
      </c>
      <c r="X73" s="243" t="str">
        <f>VLOOKUP(V73,名簿!A:L,4,FALSE)</f>
        <v>研究開発課</v>
      </c>
      <c r="Y73" s="243" t="str">
        <f>VLOOKUP(V73,名簿!A:L,5,FALSE)</f>
        <v>-</v>
      </c>
      <c r="Z73" s="243" t="str">
        <f>VLOOKUP(V73,名簿!A:L,11,FALSE)</f>
        <v>コスメラボラトリー</v>
      </c>
      <c r="AA73" s="243" t="str">
        <f>VLOOKUP(V73,名簿!A:L,12,FALSE)</f>
        <v>3F/事務所</v>
      </c>
    </row>
    <row r="74" spans="1:27">
      <c r="A74" s="301">
        <v>68</v>
      </c>
      <c r="B74" s="248">
        <v>45746</v>
      </c>
      <c r="G74" s="252" t="s">
        <v>2182</v>
      </c>
      <c r="H74" s="265">
        <v>1</v>
      </c>
      <c r="I74" s="265">
        <v>1</v>
      </c>
      <c r="J74" s="265">
        <v>1</v>
      </c>
      <c r="R74" s="108" t="s">
        <v>866</v>
      </c>
      <c r="S74" s="310"/>
      <c r="V74" s="243" t="s">
        <v>443</v>
      </c>
      <c r="W74" s="243" t="str">
        <f>VLOOKUP(V74,名簿!A:L,3,FALSE)</f>
        <v>研究開発部</v>
      </c>
      <c r="X74" s="243" t="str">
        <f>VLOOKUP(V74,名簿!A:L,4,FALSE)</f>
        <v>研究開発課</v>
      </c>
      <c r="Y74" s="243" t="str">
        <f>VLOOKUP(V74,名簿!A:L,5,FALSE)</f>
        <v>-</v>
      </c>
      <c r="Z74" s="243" t="str">
        <f>VLOOKUP(V74,名簿!A:L,11,FALSE)</f>
        <v>コスメラボラトリー</v>
      </c>
      <c r="AA74" s="243" t="str">
        <f>VLOOKUP(V74,名簿!A:L,12,FALSE)</f>
        <v>3F/事務所</v>
      </c>
    </row>
    <row r="75" spans="1:27">
      <c r="A75" s="301">
        <v>69</v>
      </c>
      <c r="B75" s="248">
        <v>45746</v>
      </c>
      <c r="H75" s="265">
        <v>1</v>
      </c>
      <c r="I75" s="265">
        <v>1</v>
      </c>
      <c r="R75" s="108" t="s">
        <v>867</v>
      </c>
      <c r="S75" s="310"/>
      <c r="V75" s="243" t="s">
        <v>443</v>
      </c>
      <c r="W75" s="243" t="str">
        <f>VLOOKUP(V75,名簿!A:L,3,FALSE)</f>
        <v>研究開発部</v>
      </c>
      <c r="X75" s="243" t="str">
        <f>VLOOKUP(V75,名簿!A:L,4,FALSE)</f>
        <v>研究開発課</v>
      </c>
      <c r="Y75" s="243" t="str">
        <f>VLOOKUP(V75,名簿!A:L,5,FALSE)</f>
        <v>-</v>
      </c>
      <c r="Z75" s="243" t="str">
        <f>VLOOKUP(V75,名簿!A:L,11,FALSE)</f>
        <v>コスメラボラトリー</v>
      </c>
      <c r="AA75" s="243" t="str">
        <f>VLOOKUP(V75,名簿!A:L,12,FALSE)</f>
        <v>3F/事務所</v>
      </c>
    </row>
    <row r="76" spans="1:27">
      <c r="A76" s="301">
        <v>70</v>
      </c>
      <c r="B76" s="248">
        <v>45746</v>
      </c>
      <c r="H76" s="265">
        <v>1</v>
      </c>
      <c r="I76" s="265">
        <v>1</v>
      </c>
      <c r="R76" s="108" t="s">
        <v>868</v>
      </c>
      <c r="S76" s="310"/>
      <c r="V76" s="243" t="s">
        <v>443</v>
      </c>
      <c r="W76" s="243" t="str">
        <f>VLOOKUP(V76,名簿!A:L,3,FALSE)</f>
        <v>研究開発部</v>
      </c>
      <c r="X76" s="243" t="str">
        <f>VLOOKUP(V76,名簿!A:L,4,FALSE)</f>
        <v>研究開発課</v>
      </c>
      <c r="Y76" s="243" t="str">
        <f>VLOOKUP(V76,名簿!A:L,5,FALSE)</f>
        <v>-</v>
      </c>
      <c r="Z76" s="243" t="str">
        <f>VLOOKUP(V76,名簿!A:L,11,FALSE)</f>
        <v>コスメラボラトリー</v>
      </c>
      <c r="AA76" s="243" t="str">
        <f>VLOOKUP(V76,名簿!A:L,12,FALSE)</f>
        <v>3F/事務所</v>
      </c>
    </row>
    <row r="77" spans="1:27">
      <c r="A77" s="301">
        <v>71</v>
      </c>
      <c r="B77" s="248">
        <v>45746</v>
      </c>
      <c r="H77" s="265">
        <v>1</v>
      </c>
      <c r="I77" s="265">
        <v>1</v>
      </c>
      <c r="R77" s="108" t="s">
        <v>869</v>
      </c>
      <c r="S77" s="310"/>
      <c r="V77" s="243" t="s">
        <v>443</v>
      </c>
      <c r="W77" s="243" t="str">
        <f>VLOOKUP(V77,名簿!A:L,3,FALSE)</f>
        <v>研究開発部</v>
      </c>
      <c r="X77" s="243" t="str">
        <f>VLOOKUP(V77,名簿!A:L,4,FALSE)</f>
        <v>研究開発課</v>
      </c>
      <c r="Y77" s="243" t="str">
        <f>VLOOKUP(V77,名簿!A:L,5,FALSE)</f>
        <v>-</v>
      </c>
      <c r="Z77" s="243" t="str">
        <f>VLOOKUP(V77,名簿!A:L,11,FALSE)</f>
        <v>コスメラボラトリー</v>
      </c>
      <c r="AA77" s="243" t="str">
        <f>VLOOKUP(V77,名簿!A:L,12,FALSE)</f>
        <v>3F/事務所</v>
      </c>
    </row>
    <row r="78" spans="1:27">
      <c r="A78" s="301">
        <v>72</v>
      </c>
      <c r="B78" s="248">
        <v>45746</v>
      </c>
      <c r="H78" s="265">
        <v>1</v>
      </c>
      <c r="I78" s="265">
        <v>1</v>
      </c>
      <c r="R78" s="108" t="s">
        <v>871</v>
      </c>
      <c r="S78" s="310"/>
      <c r="V78" s="243" t="s">
        <v>449</v>
      </c>
      <c r="W78" s="243" t="str">
        <f>VLOOKUP(V78,名簿!A:L,3,FALSE)</f>
        <v>研究開発部</v>
      </c>
      <c r="X78" s="243" t="str">
        <f>VLOOKUP(V78,名簿!A:L,4,FALSE)</f>
        <v>研究開発課</v>
      </c>
      <c r="Y78" s="243" t="str">
        <f>VLOOKUP(V78,名簿!A:L,5,FALSE)</f>
        <v>-</v>
      </c>
      <c r="Z78" s="243" t="str">
        <f>VLOOKUP(V78,名簿!A:L,11,FALSE)</f>
        <v>コスメラボラトリー</v>
      </c>
      <c r="AA78" s="243" t="str">
        <f>VLOOKUP(V78,名簿!A:L,12,FALSE)</f>
        <v>3F/事務所</v>
      </c>
    </row>
    <row r="79" spans="1:27">
      <c r="A79" s="301">
        <v>73</v>
      </c>
      <c r="B79" s="248">
        <v>45746</v>
      </c>
      <c r="G79" s="252" t="s">
        <v>2183</v>
      </c>
      <c r="H79" s="265">
        <v>1</v>
      </c>
      <c r="I79" s="265">
        <v>1</v>
      </c>
      <c r="J79" s="265">
        <v>1</v>
      </c>
      <c r="R79" s="108" t="s">
        <v>872</v>
      </c>
      <c r="S79" s="310"/>
      <c r="V79" s="243" t="s">
        <v>449</v>
      </c>
      <c r="W79" s="243" t="str">
        <f>VLOOKUP(V79,名簿!A:L,3,FALSE)</f>
        <v>研究開発部</v>
      </c>
      <c r="X79" s="243" t="str">
        <f>VLOOKUP(V79,名簿!A:L,4,FALSE)</f>
        <v>研究開発課</v>
      </c>
      <c r="Y79" s="243" t="str">
        <f>VLOOKUP(V79,名簿!A:L,5,FALSE)</f>
        <v>-</v>
      </c>
      <c r="Z79" s="243" t="str">
        <f>VLOOKUP(V79,名簿!A:L,11,FALSE)</f>
        <v>コスメラボラトリー</v>
      </c>
      <c r="AA79" s="243" t="str">
        <f>VLOOKUP(V79,名簿!A:L,12,FALSE)</f>
        <v>3F/事務所</v>
      </c>
    </row>
    <row r="80" spans="1:27" ht="22.8">
      <c r="A80" s="301">
        <v>74</v>
      </c>
      <c r="B80" s="248">
        <v>45746</v>
      </c>
      <c r="H80" s="265">
        <v>1</v>
      </c>
      <c r="I80" s="265">
        <v>1</v>
      </c>
      <c r="R80" s="108" t="s">
        <v>873</v>
      </c>
      <c r="S80" s="310"/>
      <c r="V80" s="243" t="s">
        <v>449</v>
      </c>
      <c r="W80" s="243" t="str">
        <f>VLOOKUP(V80,名簿!A:L,3,FALSE)</f>
        <v>研究開発部</v>
      </c>
      <c r="X80" s="243" t="str">
        <f>VLOOKUP(V80,名簿!A:L,4,FALSE)</f>
        <v>研究開発課</v>
      </c>
      <c r="Y80" s="243" t="str">
        <f>VLOOKUP(V80,名簿!A:L,5,FALSE)</f>
        <v>-</v>
      </c>
      <c r="Z80" s="243" t="str">
        <f>VLOOKUP(V80,名簿!A:L,11,FALSE)</f>
        <v>コスメラボラトリー</v>
      </c>
      <c r="AA80" s="243" t="str">
        <f>VLOOKUP(V80,名簿!A:L,12,FALSE)</f>
        <v>3F/事務所</v>
      </c>
    </row>
    <row r="81" spans="1:27" ht="22.8">
      <c r="A81" s="301">
        <v>75</v>
      </c>
      <c r="B81" s="248">
        <v>45746</v>
      </c>
      <c r="H81" s="265">
        <v>1</v>
      </c>
      <c r="I81" s="265">
        <v>1</v>
      </c>
      <c r="R81" s="108" t="s">
        <v>874</v>
      </c>
      <c r="S81" s="310"/>
      <c r="V81" s="243" t="s">
        <v>449</v>
      </c>
      <c r="W81" s="243" t="str">
        <f>VLOOKUP(V81,名簿!A:L,3,FALSE)</f>
        <v>研究開発部</v>
      </c>
      <c r="X81" s="243" t="str">
        <f>VLOOKUP(V81,名簿!A:L,4,FALSE)</f>
        <v>研究開発課</v>
      </c>
      <c r="Y81" s="243" t="str">
        <f>VLOOKUP(V81,名簿!A:L,5,FALSE)</f>
        <v>-</v>
      </c>
      <c r="Z81" s="243" t="str">
        <f>VLOOKUP(V81,名簿!A:L,11,FALSE)</f>
        <v>コスメラボラトリー</v>
      </c>
      <c r="AA81" s="243" t="str">
        <f>VLOOKUP(V81,名簿!A:L,12,FALSE)</f>
        <v>3F/事務所</v>
      </c>
    </row>
    <row r="82" spans="1:27">
      <c r="A82" s="301">
        <v>76</v>
      </c>
      <c r="B82" s="248">
        <v>45746</v>
      </c>
      <c r="G82" s="252" t="s">
        <v>2165</v>
      </c>
      <c r="I82" s="265">
        <v>1</v>
      </c>
      <c r="J82" s="265">
        <v>1</v>
      </c>
      <c r="R82" s="245" t="s">
        <v>875</v>
      </c>
      <c r="S82" s="310"/>
      <c r="V82" s="243" t="s">
        <v>449</v>
      </c>
      <c r="W82" s="243" t="str">
        <f>VLOOKUP(V82,名簿!A:L,3,FALSE)</f>
        <v>研究開発部</v>
      </c>
      <c r="X82" s="243" t="str">
        <f>VLOOKUP(V82,名簿!A:L,4,FALSE)</f>
        <v>研究開発課</v>
      </c>
      <c r="Y82" s="243" t="str">
        <f>VLOOKUP(V82,名簿!A:L,5,FALSE)</f>
        <v>-</v>
      </c>
      <c r="Z82" s="243" t="str">
        <f>VLOOKUP(V82,名簿!A:L,11,FALSE)</f>
        <v>コスメラボラトリー</v>
      </c>
      <c r="AA82" s="243" t="str">
        <f>VLOOKUP(V82,名簿!A:L,12,FALSE)</f>
        <v>3F/事務所</v>
      </c>
    </row>
    <row r="83" spans="1:27">
      <c r="A83" s="301">
        <v>77</v>
      </c>
      <c r="B83" s="248">
        <v>45746</v>
      </c>
      <c r="H83" s="265">
        <v>1</v>
      </c>
      <c r="I83" s="265">
        <v>1</v>
      </c>
      <c r="R83" s="108" t="s">
        <v>877</v>
      </c>
      <c r="S83" s="310"/>
      <c r="V83" s="243" t="s">
        <v>376</v>
      </c>
      <c r="W83" s="243" t="str">
        <f>VLOOKUP(V83,名簿!A:L,3,FALSE)</f>
        <v>研究開発部</v>
      </c>
      <c r="X83" s="243" t="str">
        <f>VLOOKUP(V83,名簿!A:L,4,FALSE)</f>
        <v>研究開発課</v>
      </c>
      <c r="Y83" s="243" t="str">
        <f>VLOOKUP(V83,名簿!A:L,5,FALSE)</f>
        <v>-</v>
      </c>
      <c r="Z83" s="243" t="str">
        <f>VLOOKUP(V83,名簿!A:L,11,FALSE)</f>
        <v>コスメラボラトリー</v>
      </c>
      <c r="AA83" s="243" t="str">
        <f>VLOOKUP(V83,名簿!A:L,12,FALSE)</f>
        <v>3F/事務所</v>
      </c>
    </row>
    <row r="84" spans="1:27">
      <c r="A84" s="301">
        <v>78</v>
      </c>
      <c r="B84" s="248">
        <v>45746</v>
      </c>
      <c r="H84" s="265">
        <v>1</v>
      </c>
      <c r="I84" s="265">
        <v>1</v>
      </c>
      <c r="R84" s="108" t="s">
        <v>878</v>
      </c>
      <c r="S84" s="310"/>
      <c r="V84" s="243" t="s">
        <v>376</v>
      </c>
      <c r="W84" s="243" t="str">
        <f>VLOOKUP(V84,名簿!A:L,3,FALSE)</f>
        <v>研究開発部</v>
      </c>
      <c r="X84" s="243" t="str">
        <f>VLOOKUP(V84,名簿!A:L,4,FALSE)</f>
        <v>研究開発課</v>
      </c>
      <c r="Y84" s="243" t="str">
        <f>VLOOKUP(V84,名簿!A:L,5,FALSE)</f>
        <v>-</v>
      </c>
      <c r="Z84" s="243" t="str">
        <f>VLOOKUP(V84,名簿!A:L,11,FALSE)</f>
        <v>コスメラボラトリー</v>
      </c>
      <c r="AA84" s="243" t="str">
        <f>VLOOKUP(V84,名簿!A:L,12,FALSE)</f>
        <v>3F/事務所</v>
      </c>
    </row>
    <row r="85" spans="1:27">
      <c r="A85" s="301">
        <v>79</v>
      </c>
      <c r="B85" s="248">
        <v>45746</v>
      </c>
      <c r="H85" s="265">
        <v>1</v>
      </c>
      <c r="I85" s="265">
        <v>1</v>
      </c>
      <c r="R85" s="108" t="s">
        <v>880</v>
      </c>
      <c r="S85" s="310"/>
      <c r="V85" s="243" t="s">
        <v>430</v>
      </c>
      <c r="W85" s="243" t="str">
        <f>VLOOKUP(V85,名簿!A:L,3,FALSE)</f>
        <v>研究開発部</v>
      </c>
      <c r="X85" s="243" t="str">
        <f>VLOOKUP(V85,名簿!A:L,4,FALSE)</f>
        <v>研究開発課</v>
      </c>
      <c r="Y85" s="243" t="str">
        <f>VLOOKUP(V85,名簿!A:L,5,FALSE)</f>
        <v>-</v>
      </c>
      <c r="Z85" s="243" t="str">
        <f>VLOOKUP(V85,名簿!A:L,11,FALSE)</f>
        <v>コスメラボラトリー</v>
      </c>
      <c r="AA85" s="243" t="str">
        <f>VLOOKUP(V85,名簿!A:L,12,FALSE)</f>
        <v>3F/事務所</v>
      </c>
    </row>
    <row r="86" spans="1:27" ht="22.8">
      <c r="A86" s="301">
        <v>80</v>
      </c>
      <c r="B86" s="248">
        <v>45746</v>
      </c>
      <c r="H86" s="265">
        <v>1</v>
      </c>
      <c r="I86" s="265">
        <v>1</v>
      </c>
      <c r="R86" s="108" t="s">
        <v>918</v>
      </c>
      <c r="S86" s="310"/>
      <c r="V86" s="243" t="s">
        <v>430</v>
      </c>
      <c r="W86" s="243" t="str">
        <f>VLOOKUP(V86,名簿!A:L,3,FALSE)</f>
        <v>研究開発部</v>
      </c>
      <c r="X86" s="243" t="str">
        <f>VLOOKUP(V86,名簿!A:L,4,FALSE)</f>
        <v>研究開発課</v>
      </c>
      <c r="Y86" s="243" t="str">
        <f>VLOOKUP(V86,名簿!A:L,5,FALSE)</f>
        <v>-</v>
      </c>
      <c r="Z86" s="243" t="str">
        <f>VLOOKUP(V86,名簿!A:L,11,FALSE)</f>
        <v>コスメラボラトリー</v>
      </c>
      <c r="AA86" s="243" t="str">
        <f>VLOOKUP(V86,名簿!A:L,12,FALSE)</f>
        <v>3F/事務所</v>
      </c>
    </row>
    <row r="87" spans="1:27">
      <c r="A87" s="301">
        <v>81</v>
      </c>
      <c r="B87" s="248">
        <v>45746</v>
      </c>
      <c r="H87" s="265">
        <v>1</v>
      </c>
      <c r="I87" s="265">
        <v>1</v>
      </c>
      <c r="R87" s="108" t="s">
        <v>883</v>
      </c>
      <c r="S87" s="310"/>
      <c r="V87" s="243" t="s">
        <v>430</v>
      </c>
      <c r="W87" s="243" t="str">
        <f>VLOOKUP(V87,名簿!A:L,3,FALSE)</f>
        <v>研究開発部</v>
      </c>
      <c r="X87" s="243" t="str">
        <f>VLOOKUP(V87,名簿!A:L,4,FALSE)</f>
        <v>研究開発課</v>
      </c>
      <c r="Y87" s="243" t="str">
        <f>VLOOKUP(V87,名簿!A:L,5,FALSE)</f>
        <v>-</v>
      </c>
      <c r="Z87" s="243" t="str">
        <f>VLOOKUP(V87,名簿!A:L,11,FALSE)</f>
        <v>コスメラボラトリー</v>
      </c>
      <c r="AA87" s="243" t="str">
        <f>VLOOKUP(V87,名簿!A:L,12,FALSE)</f>
        <v>3F/事務所</v>
      </c>
    </row>
    <row r="88" spans="1:27">
      <c r="A88" s="301">
        <v>82</v>
      </c>
      <c r="B88" s="248">
        <v>45746</v>
      </c>
      <c r="G88" s="252" t="s">
        <v>2184</v>
      </c>
      <c r="H88" s="265">
        <v>1</v>
      </c>
      <c r="I88" s="265">
        <v>1</v>
      </c>
      <c r="J88" s="265">
        <v>1</v>
      </c>
      <c r="R88" s="108" t="s">
        <v>884</v>
      </c>
      <c r="S88" s="310"/>
      <c r="V88" s="243" t="s">
        <v>430</v>
      </c>
      <c r="W88" s="243" t="str">
        <f>VLOOKUP(V88,名簿!A:L,3,FALSE)</f>
        <v>研究開発部</v>
      </c>
      <c r="X88" s="243" t="str">
        <f>VLOOKUP(V88,名簿!A:L,4,FALSE)</f>
        <v>研究開発課</v>
      </c>
      <c r="Y88" s="243" t="str">
        <f>VLOOKUP(V88,名簿!A:L,5,FALSE)</f>
        <v>-</v>
      </c>
      <c r="Z88" s="243" t="str">
        <f>VLOOKUP(V88,名簿!A:L,11,FALSE)</f>
        <v>コスメラボラトリー</v>
      </c>
      <c r="AA88" s="243" t="str">
        <f>VLOOKUP(V88,名簿!A:L,12,FALSE)</f>
        <v>3F/事務所</v>
      </c>
    </row>
    <row r="89" spans="1:27">
      <c r="A89" s="301">
        <v>83</v>
      </c>
      <c r="B89" s="248">
        <v>45746</v>
      </c>
      <c r="G89" s="252" t="s">
        <v>2163</v>
      </c>
      <c r="H89" s="265">
        <v>1</v>
      </c>
      <c r="I89" s="265">
        <v>1</v>
      </c>
      <c r="J89" s="265">
        <v>1</v>
      </c>
      <c r="R89" s="245" t="s">
        <v>885</v>
      </c>
      <c r="S89" s="310"/>
      <c r="V89" s="243" t="s">
        <v>430</v>
      </c>
      <c r="W89" s="243" t="str">
        <f>VLOOKUP(V89,名簿!A:L,3,FALSE)</f>
        <v>研究開発部</v>
      </c>
      <c r="X89" s="243" t="str">
        <f>VLOOKUP(V89,名簿!A:L,4,FALSE)</f>
        <v>研究開発課</v>
      </c>
      <c r="Y89" s="243" t="str">
        <f>VLOOKUP(V89,名簿!A:L,5,FALSE)</f>
        <v>-</v>
      </c>
      <c r="Z89" s="243" t="str">
        <f>VLOOKUP(V89,名簿!A:L,11,FALSE)</f>
        <v>コスメラボラトリー</v>
      </c>
      <c r="AA89" s="243" t="str">
        <f>VLOOKUP(V89,名簿!A:L,12,FALSE)</f>
        <v>3F/事務所</v>
      </c>
    </row>
    <row r="90" spans="1:27">
      <c r="A90" s="301">
        <v>84</v>
      </c>
      <c r="B90" s="248">
        <v>45746</v>
      </c>
      <c r="H90" s="265">
        <v>1</v>
      </c>
      <c r="I90" s="265">
        <v>1</v>
      </c>
      <c r="R90" s="108" t="s">
        <v>887</v>
      </c>
      <c r="S90" s="310"/>
      <c r="V90" s="243" t="s">
        <v>1201</v>
      </c>
      <c r="W90" s="243" t="str">
        <f>VLOOKUP(V90,名簿!A:L,3,FALSE)</f>
        <v>品質保証部</v>
      </c>
      <c r="X90" s="243" t="str">
        <f>VLOOKUP(V90,名簿!A:L,4,FALSE)</f>
        <v>品質管理課</v>
      </c>
      <c r="Y90" s="243" t="str">
        <f>VLOOKUP(V90,名簿!A:L,5,FALSE)</f>
        <v>-</v>
      </c>
      <c r="Z90" s="243" t="str">
        <f>VLOOKUP(V90,名簿!A:L,11,FALSE)</f>
        <v>コスメラボラトリー</v>
      </c>
      <c r="AA90" s="243" t="str">
        <f>VLOOKUP(V90,名簿!A:L,12,FALSE)</f>
        <v>3F/事務所</v>
      </c>
    </row>
    <row r="91" spans="1:27">
      <c r="A91" s="301">
        <v>85</v>
      </c>
      <c r="B91" s="248">
        <v>45746</v>
      </c>
      <c r="H91" s="265">
        <v>1</v>
      </c>
      <c r="I91" s="265">
        <v>1</v>
      </c>
      <c r="R91" s="108" t="s">
        <v>919</v>
      </c>
      <c r="S91" s="310"/>
      <c r="V91" s="243" t="s">
        <v>1201</v>
      </c>
      <c r="W91" s="243" t="str">
        <f>VLOOKUP(V91,名簿!A:L,3,FALSE)</f>
        <v>品質保証部</v>
      </c>
      <c r="X91" s="243" t="str">
        <f>VLOOKUP(V91,名簿!A:L,4,FALSE)</f>
        <v>品質管理課</v>
      </c>
      <c r="Y91" s="243" t="str">
        <f>VLOOKUP(V91,名簿!A:L,5,FALSE)</f>
        <v>-</v>
      </c>
      <c r="Z91" s="243" t="str">
        <f>VLOOKUP(V91,名簿!A:L,11,FALSE)</f>
        <v>コスメラボラトリー</v>
      </c>
      <c r="AA91" s="243" t="str">
        <f>VLOOKUP(V91,名簿!A:L,12,FALSE)</f>
        <v>3F/事務所</v>
      </c>
    </row>
    <row r="92" spans="1:27">
      <c r="A92" s="301">
        <v>86</v>
      </c>
      <c r="B92" s="248">
        <v>45746</v>
      </c>
      <c r="G92" s="252" t="s">
        <v>2185</v>
      </c>
      <c r="H92" s="265">
        <v>1</v>
      </c>
      <c r="I92" s="265">
        <v>1</v>
      </c>
      <c r="J92" s="265">
        <v>1</v>
      </c>
      <c r="R92" s="108" t="s">
        <v>890</v>
      </c>
      <c r="S92" s="310"/>
      <c r="V92" s="243" t="s">
        <v>1201</v>
      </c>
      <c r="W92" s="243" t="str">
        <f>VLOOKUP(V92,名簿!A:L,3,FALSE)</f>
        <v>品質保証部</v>
      </c>
      <c r="X92" s="243" t="str">
        <f>VLOOKUP(V92,名簿!A:L,4,FALSE)</f>
        <v>品質管理課</v>
      </c>
      <c r="Y92" s="243" t="str">
        <f>VLOOKUP(V92,名簿!A:L,5,FALSE)</f>
        <v>-</v>
      </c>
      <c r="Z92" s="243" t="str">
        <f>VLOOKUP(V92,名簿!A:L,11,FALSE)</f>
        <v>コスメラボラトリー</v>
      </c>
      <c r="AA92" s="243" t="str">
        <f>VLOOKUP(V92,名簿!A:L,12,FALSE)</f>
        <v>3F/事務所</v>
      </c>
    </row>
    <row r="93" spans="1:27">
      <c r="A93" s="301">
        <v>87</v>
      </c>
      <c r="B93" s="248">
        <v>45746</v>
      </c>
      <c r="H93" s="265">
        <v>1</v>
      </c>
      <c r="I93" s="265">
        <v>1</v>
      </c>
      <c r="R93" s="108" t="s">
        <v>892</v>
      </c>
      <c r="S93" s="310"/>
      <c r="V93" s="243" t="s">
        <v>455</v>
      </c>
      <c r="W93" s="243" t="str">
        <f>VLOOKUP(V93,名簿!A:L,3,FALSE)</f>
        <v>研究開発部</v>
      </c>
      <c r="X93" s="243" t="str">
        <f>VLOOKUP(V93,名簿!A:L,4,FALSE)</f>
        <v>研究開発課</v>
      </c>
      <c r="Y93" s="243" t="str">
        <f>VLOOKUP(V93,名簿!A:L,5,FALSE)</f>
        <v>-</v>
      </c>
      <c r="Z93" s="243" t="str">
        <f>VLOOKUP(V93,名簿!A:L,11,FALSE)</f>
        <v>コスメラボラトリー</v>
      </c>
      <c r="AA93" s="243" t="str">
        <f>VLOOKUP(V93,名簿!A:L,12,FALSE)</f>
        <v>3F/試験室</v>
      </c>
    </row>
    <row r="94" spans="1:27">
      <c r="A94" s="301">
        <v>88</v>
      </c>
      <c r="B94" s="248">
        <v>45746</v>
      </c>
      <c r="H94" s="265">
        <v>1</v>
      </c>
      <c r="I94" s="265">
        <v>1</v>
      </c>
      <c r="R94" s="108" t="s">
        <v>893</v>
      </c>
      <c r="S94" s="310"/>
      <c r="V94" s="243" t="s">
        <v>455</v>
      </c>
      <c r="W94" s="243" t="str">
        <f>VLOOKUP(V94,名簿!A:L,3,FALSE)</f>
        <v>研究開発部</v>
      </c>
      <c r="X94" s="243" t="str">
        <f>VLOOKUP(V94,名簿!A:L,4,FALSE)</f>
        <v>研究開発課</v>
      </c>
      <c r="Y94" s="243" t="str">
        <f>VLOOKUP(V94,名簿!A:L,5,FALSE)</f>
        <v>-</v>
      </c>
      <c r="Z94" s="243" t="str">
        <f>VLOOKUP(V94,名簿!A:L,11,FALSE)</f>
        <v>コスメラボラトリー</v>
      </c>
      <c r="AA94" s="243" t="str">
        <f>VLOOKUP(V94,名簿!A:L,12,FALSE)</f>
        <v>3F/試験室</v>
      </c>
    </row>
    <row r="95" spans="1:27">
      <c r="A95" s="301">
        <v>89</v>
      </c>
      <c r="B95" s="248">
        <v>45746</v>
      </c>
      <c r="G95" s="252" t="s">
        <v>2181</v>
      </c>
      <c r="H95" s="265">
        <v>1</v>
      </c>
      <c r="I95" s="265">
        <v>1</v>
      </c>
      <c r="J95" s="265">
        <v>1</v>
      </c>
      <c r="R95" s="108" t="s">
        <v>894</v>
      </c>
      <c r="S95" s="310"/>
      <c r="V95" s="243" t="s">
        <v>455</v>
      </c>
      <c r="W95" s="243" t="str">
        <f>VLOOKUP(V95,名簿!A:L,3,FALSE)</f>
        <v>研究開発部</v>
      </c>
      <c r="X95" s="243" t="str">
        <f>VLOOKUP(V95,名簿!A:L,4,FALSE)</f>
        <v>研究開発課</v>
      </c>
      <c r="Y95" s="243" t="str">
        <f>VLOOKUP(V95,名簿!A:L,5,FALSE)</f>
        <v>-</v>
      </c>
      <c r="Z95" s="243" t="str">
        <f>VLOOKUP(V95,名簿!A:L,11,FALSE)</f>
        <v>コスメラボラトリー</v>
      </c>
      <c r="AA95" s="243" t="str">
        <f>VLOOKUP(V95,名簿!A:L,12,FALSE)</f>
        <v>3F/試験室</v>
      </c>
    </row>
    <row r="96" spans="1:27">
      <c r="A96" s="301">
        <v>90</v>
      </c>
      <c r="B96" s="248">
        <v>45746</v>
      </c>
      <c r="G96" s="252" t="s">
        <v>2180</v>
      </c>
      <c r="H96" s="265">
        <v>1</v>
      </c>
      <c r="I96" s="265">
        <v>1</v>
      </c>
      <c r="J96" s="265">
        <v>1</v>
      </c>
      <c r="R96" s="108" t="s">
        <v>895</v>
      </c>
      <c r="S96" s="310"/>
      <c r="V96" s="243" t="s">
        <v>455</v>
      </c>
      <c r="W96" s="243" t="str">
        <f>VLOOKUP(V96,名簿!A:L,3,FALSE)</f>
        <v>研究開発部</v>
      </c>
      <c r="X96" s="243" t="str">
        <f>VLOOKUP(V96,名簿!A:L,4,FALSE)</f>
        <v>研究開発課</v>
      </c>
      <c r="Y96" s="243" t="str">
        <f>VLOOKUP(V96,名簿!A:L,5,FALSE)</f>
        <v>-</v>
      </c>
      <c r="Z96" s="243" t="str">
        <f>VLOOKUP(V96,名簿!A:L,11,FALSE)</f>
        <v>コスメラボラトリー</v>
      </c>
      <c r="AA96" s="243" t="str">
        <f>VLOOKUP(V96,名簿!A:L,12,FALSE)</f>
        <v>3F/試験室</v>
      </c>
    </row>
    <row r="97" spans="1:27">
      <c r="A97" s="301">
        <v>91</v>
      </c>
      <c r="B97" s="248">
        <v>45746</v>
      </c>
      <c r="G97" s="252" t="s">
        <v>2179</v>
      </c>
      <c r="H97" s="265">
        <v>1</v>
      </c>
      <c r="I97" s="265">
        <v>1</v>
      </c>
      <c r="J97" s="265">
        <v>1</v>
      </c>
      <c r="R97" s="108" t="s">
        <v>896</v>
      </c>
      <c r="S97" s="310"/>
      <c r="V97" s="243" t="s">
        <v>455</v>
      </c>
      <c r="W97" s="243" t="str">
        <f>VLOOKUP(V97,名簿!A:L,3,FALSE)</f>
        <v>研究開発部</v>
      </c>
      <c r="X97" s="243" t="str">
        <f>VLOOKUP(V97,名簿!A:L,4,FALSE)</f>
        <v>研究開発課</v>
      </c>
      <c r="Y97" s="243" t="str">
        <f>VLOOKUP(V97,名簿!A:L,5,FALSE)</f>
        <v>-</v>
      </c>
      <c r="Z97" s="243" t="str">
        <f>VLOOKUP(V97,名簿!A:L,11,FALSE)</f>
        <v>コスメラボラトリー</v>
      </c>
      <c r="AA97" s="243" t="str">
        <f>VLOOKUP(V97,名簿!A:L,12,FALSE)</f>
        <v>3F/試験室</v>
      </c>
    </row>
    <row r="98" spans="1:27" ht="22.8">
      <c r="A98" s="301">
        <v>92</v>
      </c>
      <c r="B98" s="248">
        <v>45838</v>
      </c>
      <c r="F98" s="252" t="s">
        <v>19</v>
      </c>
      <c r="G98" s="252" t="s">
        <v>2172</v>
      </c>
      <c r="H98" s="264"/>
      <c r="J98" s="265">
        <v>1</v>
      </c>
      <c r="K98" s="265">
        <v>1</v>
      </c>
      <c r="P98" s="251">
        <v>4</v>
      </c>
      <c r="R98" s="124" t="s">
        <v>20</v>
      </c>
      <c r="S98" s="310" t="s">
        <v>2332</v>
      </c>
      <c r="T98" s="108" t="s">
        <v>2578</v>
      </c>
      <c r="V98" s="243" t="s">
        <v>1997</v>
      </c>
      <c r="W98" s="244" t="s">
        <v>111</v>
      </c>
      <c r="X98" s="244" t="s">
        <v>117</v>
      </c>
      <c r="Y98" s="244" t="s">
        <v>1999</v>
      </c>
      <c r="Z98" s="244" t="s">
        <v>470</v>
      </c>
      <c r="AA98" s="244" t="s">
        <v>1670</v>
      </c>
    </row>
    <row r="99" spans="1:27" ht="22.8">
      <c r="A99" s="301">
        <v>93</v>
      </c>
      <c r="B99" s="248">
        <v>45838</v>
      </c>
      <c r="F99" s="252" t="s">
        <v>19</v>
      </c>
      <c r="G99" s="252" t="s">
        <v>2172</v>
      </c>
      <c r="H99" s="264"/>
      <c r="J99" s="265">
        <v>1</v>
      </c>
      <c r="K99" s="265">
        <v>1</v>
      </c>
      <c r="P99" s="251">
        <v>4</v>
      </c>
      <c r="R99" s="124" t="s">
        <v>24</v>
      </c>
      <c r="S99" s="310" t="s">
        <v>2332</v>
      </c>
      <c r="T99" s="108" t="s">
        <v>2578</v>
      </c>
      <c r="V99" s="243" t="s">
        <v>1997</v>
      </c>
      <c r="W99" s="244" t="s">
        <v>111</v>
      </c>
      <c r="X99" s="244" t="s">
        <v>117</v>
      </c>
      <c r="Y99" s="244" t="s">
        <v>1999</v>
      </c>
      <c r="Z99" s="244" t="s">
        <v>470</v>
      </c>
      <c r="AA99" s="244" t="s">
        <v>1670</v>
      </c>
    </row>
    <row r="100" spans="1:27" ht="22.8">
      <c r="A100" s="301">
        <v>94</v>
      </c>
      <c r="B100" s="248">
        <v>45838</v>
      </c>
      <c r="F100" s="252" t="s">
        <v>19</v>
      </c>
      <c r="G100" s="252" t="s">
        <v>2172</v>
      </c>
      <c r="H100" s="264"/>
      <c r="J100" s="265">
        <v>1</v>
      </c>
      <c r="K100" s="265">
        <v>1</v>
      </c>
      <c r="P100" s="251">
        <v>5</v>
      </c>
      <c r="R100" s="124" t="s">
        <v>25</v>
      </c>
      <c r="S100" s="310" t="s">
        <v>2332</v>
      </c>
      <c r="T100" s="108" t="s">
        <v>2578</v>
      </c>
      <c r="V100" s="243" t="s">
        <v>1995</v>
      </c>
      <c r="W100" s="243" t="str">
        <f>VLOOKUP(V100,名簿!A:L,3,FALSE)</f>
        <v>技術製造部</v>
      </c>
      <c r="X100" s="243" t="str">
        <f>VLOOKUP(V100,名簿!A:L,4,FALSE)</f>
        <v>生産管理課</v>
      </c>
      <c r="Y100" s="243" t="str">
        <f>VLOOKUP(V100,名簿!A:L,5,FALSE)</f>
        <v>生産管理</v>
      </c>
      <c r="Z100" s="243" t="str">
        <f>VLOOKUP(V100,名簿!A:L,11,FALSE)</f>
        <v>本社</v>
      </c>
      <c r="AA100" s="243" t="str">
        <f>VLOOKUP(V100,名簿!A:L,12,FALSE)</f>
        <v>3F/シンク前</v>
      </c>
    </row>
    <row r="101" spans="1:27" ht="22.8">
      <c r="A101" s="301">
        <v>95</v>
      </c>
      <c r="B101" s="248">
        <v>45838</v>
      </c>
      <c r="F101" s="252" t="s">
        <v>19</v>
      </c>
      <c r="G101" s="252" t="s">
        <v>2172</v>
      </c>
      <c r="H101" s="264"/>
      <c r="J101" s="265">
        <v>1</v>
      </c>
      <c r="K101" s="265">
        <v>1</v>
      </c>
      <c r="P101" s="251">
        <v>5</v>
      </c>
      <c r="R101" s="124" t="s">
        <v>27</v>
      </c>
      <c r="S101" s="310" t="s">
        <v>2332</v>
      </c>
      <c r="T101" s="108" t="s">
        <v>2578</v>
      </c>
      <c r="V101" s="243" t="s">
        <v>483</v>
      </c>
      <c r="W101" s="243" t="str">
        <f>VLOOKUP(V101,名簿!A:L,3,FALSE)</f>
        <v>技術製造部</v>
      </c>
      <c r="X101" s="243" t="str">
        <f>VLOOKUP(V101,名簿!A:L,4,FALSE)</f>
        <v>生産管理課</v>
      </c>
      <c r="Y101" s="243" t="str">
        <f>VLOOKUP(V101,名簿!A:L,5,FALSE)</f>
        <v>生産管理</v>
      </c>
      <c r="Z101" s="243" t="str">
        <f>VLOOKUP(V101,名簿!A:L,11,FALSE)</f>
        <v>本社</v>
      </c>
      <c r="AA101" s="243" t="str">
        <f>VLOOKUP(V101,名簿!A:L,12,FALSE)</f>
        <v>3F/シンク前</v>
      </c>
    </row>
    <row r="102" spans="1:27" ht="34.200000000000003">
      <c r="A102" s="301">
        <v>96</v>
      </c>
      <c r="B102" s="248">
        <v>45838</v>
      </c>
      <c r="F102" s="252" t="s">
        <v>19</v>
      </c>
      <c r="H102" s="264"/>
      <c r="J102" s="265">
        <v>1</v>
      </c>
      <c r="K102" s="265">
        <v>1</v>
      </c>
      <c r="O102" s="265">
        <v>1</v>
      </c>
      <c r="P102" s="251">
        <v>5</v>
      </c>
      <c r="R102" s="124" t="s">
        <v>28</v>
      </c>
      <c r="S102" s="311"/>
      <c r="V102" s="243" t="s">
        <v>471</v>
      </c>
      <c r="W102" s="243" t="str">
        <f>VLOOKUP(V102,名簿!A:L,3,FALSE)</f>
        <v>技術製造部</v>
      </c>
      <c r="X102" s="243" t="str">
        <f>VLOOKUP(V102,名簿!A:L,4,FALSE)</f>
        <v>生産管理課</v>
      </c>
      <c r="Y102" s="243" t="str">
        <f>VLOOKUP(V102,名簿!A:L,5,FALSE)</f>
        <v>生産管理</v>
      </c>
      <c r="Z102" s="243" t="str">
        <f>VLOOKUP(V102,名簿!A:L,11,FALSE)</f>
        <v>本社</v>
      </c>
      <c r="AA102" s="243" t="str">
        <f>VLOOKUP(V102,名簿!A:L,12,FALSE)</f>
        <v>3F/シンク前</v>
      </c>
    </row>
    <row r="103" spans="1:27">
      <c r="A103" s="301">
        <v>97</v>
      </c>
      <c r="B103" s="248">
        <v>45838</v>
      </c>
      <c r="F103" s="252" t="s">
        <v>30</v>
      </c>
      <c r="H103" s="264"/>
      <c r="J103" s="265">
        <v>1</v>
      </c>
      <c r="K103" s="265">
        <v>1</v>
      </c>
      <c r="L103" s="265">
        <v>1</v>
      </c>
      <c r="O103" s="265">
        <v>1</v>
      </c>
      <c r="P103" s="251">
        <v>5</v>
      </c>
      <c r="R103" s="124" t="s">
        <v>31</v>
      </c>
      <c r="S103" s="311"/>
      <c r="V103" s="243" t="s">
        <v>1997</v>
      </c>
      <c r="W103" s="244" t="s">
        <v>111</v>
      </c>
      <c r="X103" s="244" t="s">
        <v>117</v>
      </c>
      <c r="Y103" s="244" t="s">
        <v>1999</v>
      </c>
      <c r="Z103" s="244" t="s">
        <v>470</v>
      </c>
      <c r="AA103" s="244" t="s">
        <v>1670</v>
      </c>
    </row>
    <row r="104" spans="1:27" ht="22.8">
      <c r="A104" s="301">
        <v>98</v>
      </c>
      <c r="B104" s="248">
        <v>45838</v>
      </c>
      <c r="F104" s="252" t="s">
        <v>30</v>
      </c>
      <c r="H104" s="264"/>
      <c r="J104" s="265">
        <v>1</v>
      </c>
      <c r="L104" s="265">
        <v>1</v>
      </c>
      <c r="O104" s="265">
        <v>1</v>
      </c>
      <c r="P104" s="251">
        <v>5</v>
      </c>
      <c r="R104" s="124" t="s">
        <v>32</v>
      </c>
      <c r="S104" s="311"/>
      <c r="V104" s="243" t="s">
        <v>483</v>
      </c>
      <c r="W104" s="243" t="str">
        <f>VLOOKUP(V104,名簿!A:L,3,FALSE)</f>
        <v>技術製造部</v>
      </c>
      <c r="X104" s="243" t="str">
        <f>VLOOKUP(V104,名簿!A:L,4,FALSE)</f>
        <v>生産管理課</v>
      </c>
      <c r="Y104" s="243" t="str">
        <f>VLOOKUP(V104,名簿!A:L,5,FALSE)</f>
        <v>生産管理</v>
      </c>
      <c r="Z104" s="243" t="str">
        <f>VLOOKUP(V104,名簿!A:L,11,FALSE)</f>
        <v>本社</v>
      </c>
      <c r="AA104" s="243" t="str">
        <f>VLOOKUP(V104,名簿!A:L,12,FALSE)</f>
        <v>3F/シンク前</v>
      </c>
    </row>
    <row r="105" spans="1:27">
      <c r="A105" s="301">
        <v>99</v>
      </c>
      <c r="B105" s="248">
        <v>45838</v>
      </c>
      <c r="F105" s="252" t="s">
        <v>30</v>
      </c>
      <c r="G105" s="252" t="s">
        <v>2248</v>
      </c>
      <c r="H105" s="264"/>
      <c r="J105" s="265">
        <v>1</v>
      </c>
      <c r="K105" s="265">
        <v>1</v>
      </c>
      <c r="L105" s="265">
        <v>1</v>
      </c>
      <c r="M105" s="265">
        <v>1</v>
      </c>
      <c r="O105" s="265">
        <v>1</v>
      </c>
      <c r="P105" s="251">
        <v>4</v>
      </c>
      <c r="R105" s="124" t="s">
        <v>33</v>
      </c>
      <c r="S105" s="311"/>
      <c r="V105" s="243" t="s">
        <v>471</v>
      </c>
      <c r="W105" s="243" t="str">
        <f>VLOOKUP(V105,名簿!A:L,3,FALSE)</f>
        <v>技術製造部</v>
      </c>
      <c r="X105" s="243" t="str">
        <f>VLOOKUP(V105,名簿!A:L,4,FALSE)</f>
        <v>生産管理課</v>
      </c>
      <c r="Y105" s="243" t="str">
        <f>VLOOKUP(V105,名簿!A:L,5,FALSE)</f>
        <v>生産管理</v>
      </c>
      <c r="Z105" s="243" t="str">
        <f>VLOOKUP(V105,名簿!A:L,11,FALSE)</f>
        <v>本社</v>
      </c>
      <c r="AA105" s="243" t="str">
        <f>VLOOKUP(V105,名簿!A:L,12,FALSE)</f>
        <v>3F/シンク前</v>
      </c>
    </row>
    <row r="106" spans="1:27">
      <c r="A106" s="301">
        <v>100</v>
      </c>
      <c r="B106" s="248">
        <v>45838</v>
      </c>
      <c r="F106" s="252" t="s">
        <v>77</v>
      </c>
      <c r="H106" s="264"/>
      <c r="K106" s="265">
        <v>1</v>
      </c>
      <c r="L106" s="265">
        <v>1</v>
      </c>
      <c r="P106" s="251">
        <v>5</v>
      </c>
      <c r="R106" s="124" t="s">
        <v>35</v>
      </c>
      <c r="S106" s="311"/>
      <c r="V106" s="243" t="s">
        <v>1997</v>
      </c>
      <c r="W106" s="244" t="s">
        <v>111</v>
      </c>
      <c r="X106" s="244" t="s">
        <v>117</v>
      </c>
      <c r="Y106" s="244" t="s">
        <v>1999</v>
      </c>
      <c r="Z106" s="244" t="s">
        <v>470</v>
      </c>
      <c r="AA106" s="244" t="s">
        <v>1670</v>
      </c>
    </row>
    <row r="107" spans="1:27" ht="22.8">
      <c r="A107" s="301">
        <v>101</v>
      </c>
      <c r="B107" s="248">
        <v>45838</v>
      </c>
      <c r="F107" s="252" t="s">
        <v>77</v>
      </c>
      <c r="H107" s="264"/>
      <c r="K107" s="265">
        <v>1</v>
      </c>
      <c r="L107" s="265">
        <v>1</v>
      </c>
      <c r="O107" s="265">
        <v>1</v>
      </c>
      <c r="P107" s="251">
        <v>5</v>
      </c>
      <c r="R107" s="124" t="s">
        <v>36</v>
      </c>
      <c r="S107" s="311"/>
      <c r="V107" s="243" t="s">
        <v>483</v>
      </c>
      <c r="W107" s="243" t="str">
        <f>VLOOKUP(V107,名簿!A:L,3,FALSE)</f>
        <v>技術製造部</v>
      </c>
      <c r="X107" s="243" t="str">
        <f>VLOOKUP(V107,名簿!A:L,4,FALSE)</f>
        <v>生産管理課</v>
      </c>
      <c r="Y107" s="243" t="str">
        <f>VLOOKUP(V107,名簿!A:L,5,FALSE)</f>
        <v>生産管理</v>
      </c>
      <c r="Z107" s="243" t="str">
        <f>VLOOKUP(V107,名簿!A:L,11,FALSE)</f>
        <v>本社</v>
      </c>
      <c r="AA107" s="243" t="str">
        <f>VLOOKUP(V107,名簿!A:L,12,FALSE)</f>
        <v>3F/シンク前</v>
      </c>
    </row>
    <row r="108" spans="1:27">
      <c r="A108" s="301">
        <v>102</v>
      </c>
      <c r="B108" s="248">
        <v>45838</v>
      </c>
      <c r="F108" s="252" t="s">
        <v>77</v>
      </c>
      <c r="G108" s="252" t="s">
        <v>2187</v>
      </c>
      <c r="H108" s="264"/>
      <c r="K108" s="265">
        <v>1</v>
      </c>
      <c r="L108" s="265">
        <v>1</v>
      </c>
      <c r="O108" s="265">
        <v>1</v>
      </c>
      <c r="P108" s="251">
        <v>5</v>
      </c>
      <c r="R108" s="124" t="s">
        <v>37</v>
      </c>
      <c r="S108" s="311"/>
      <c r="V108" s="243" t="s">
        <v>483</v>
      </c>
      <c r="W108" s="243" t="str">
        <f>VLOOKUP(V108,名簿!A:L,3,FALSE)</f>
        <v>技術製造部</v>
      </c>
      <c r="X108" s="243" t="str">
        <f>VLOOKUP(V108,名簿!A:L,4,FALSE)</f>
        <v>生産管理課</v>
      </c>
      <c r="Y108" s="243" t="str">
        <f>VLOOKUP(V108,名簿!A:L,5,FALSE)</f>
        <v>生産管理</v>
      </c>
      <c r="Z108" s="243" t="str">
        <f>VLOOKUP(V108,名簿!A:L,11,FALSE)</f>
        <v>本社</v>
      </c>
      <c r="AA108" s="243" t="str">
        <f>VLOOKUP(V108,名簿!A:L,12,FALSE)</f>
        <v>3F/シンク前</v>
      </c>
    </row>
    <row r="109" spans="1:27" ht="34.200000000000003">
      <c r="A109" s="301">
        <v>103</v>
      </c>
      <c r="B109" s="248">
        <v>45838</v>
      </c>
      <c r="F109" s="252" t="s">
        <v>77</v>
      </c>
      <c r="G109" s="252" t="s">
        <v>2241</v>
      </c>
      <c r="H109" s="264">
        <v>1</v>
      </c>
      <c r="J109" s="265">
        <v>1</v>
      </c>
      <c r="K109" s="265">
        <v>1</v>
      </c>
      <c r="L109" s="265">
        <v>1</v>
      </c>
      <c r="M109" s="265">
        <v>1</v>
      </c>
      <c r="P109" s="251">
        <v>4</v>
      </c>
      <c r="R109" s="124" t="s">
        <v>1959</v>
      </c>
      <c r="S109" s="311"/>
      <c r="V109" s="243" t="s">
        <v>471</v>
      </c>
      <c r="W109" s="243" t="str">
        <f>VLOOKUP(V109,名簿!A:L,3,FALSE)</f>
        <v>技術製造部</v>
      </c>
      <c r="X109" s="243" t="str">
        <f>VLOOKUP(V109,名簿!A:L,4,FALSE)</f>
        <v>生産管理課</v>
      </c>
      <c r="Y109" s="243" t="str">
        <f>VLOOKUP(V109,名簿!A:L,5,FALSE)</f>
        <v>生産管理</v>
      </c>
      <c r="Z109" s="243" t="str">
        <f>VLOOKUP(V109,名簿!A:L,11,FALSE)</f>
        <v>本社</v>
      </c>
      <c r="AA109" s="243" t="str">
        <f>VLOOKUP(V109,名簿!A:L,12,FALSE)</f>
        <v>3F/シンク前</v>
      </c>
    </row>
    <row r="110" spans="1:27" ht="22.8">
      <c r="A110" s="301">
        <v>104</v>
      </c>
      <c r="B110" s="248">
        <v>45838</v>
      </c>
      <c r="F110" s="252" t="s">
        <v>30</v>
      </c>
      <c r="G110" s="252" t="s">
        <v>2188</v>
      </c>
      <c r="H110" s="264"/>
      <c r="I110" s="265">
        <v>1</v>
      </c>
      <c r="J110" s="265">
        <v>1</v>
      </c>
      <c r="O110" s="265">
        <v>1</v>
      </c>
      <c r="P110" s="251">
        <v>4</v>
      </c>
      <c r="R110" s="124" t="s">
        <v>39</v>
      </c>
      <c r="S110" s="311"/>
      <c r="V110" s="243" t="s">
        <v>575</v>
      </c>
      <c r="W110" s="243" t="str">
        <f>VLOOKUP(V110,名簿!A:L,3,FALSE)</f>
        <v>企画営業部</v>
      </c>
      <c r="X110" s="243" t="str">
        <f>VLOOKUP(V110,名簿!A:L,4,FALSE)</f>
        <v>-</v>
      </c>
      <c r="Y110" s="243" t="str">
        <f>VLOOKUP(V110,名簿!A:L,5,FALSE)</f>
        <v>-</v>
      </c>
      <c r="Z110" s="243" t="str">
        <f>VLOOKUP(V110,名簿!A:L,11,FALSE)</f>
        <v>東京営業所</v>
      </c>
      <c r="AA110" s="243" t="str">
        <f>VLOOKUP(V110,名簿!A:L,12,FALSE)</f>
        <v>-</v>
      </c>
    </row>
    <row r="111" spans="1:27">
      <c r="A111" s="301">
        <v>105</v>
      </c>
      <c r="B111" s="248">
        <v>45838</v>
      </c>
      <c r="F111" s="252" t="s">
        <v>30</v>
      </c>
      <c r="G111" s="252" t="s">
        <v>2188</v>
      </c>
      <c r="H111" s="264"/>
      <c r="I111" s="265">
        <v>1</v>
      </c>
      <c r="J111" s="265">
        <v>1</v>
      </c>
      <c r="O111" s="265">
        <v>1</v>
      </c>
      <c r="P111" s="251">
        <v>4</v>
      </c>
      <c r="R111" s="124" t="s">
        <v>43</v>
      </c>
      <c r="S111" s="311"/>
      <c r="V111" s="243" t="s">
        <v>575</v>
      </c>
      <c r="W111" s="243" t="str">
        <f>VLOOKUP(V111,名簿!A:L,3,FALSE)</f>
        <v>企画営業部</v>
      </c>
      <c r="X111" s="243" t="str">
        <f>VLOOKUP(V111,名簿!A:L,4,FALSE)</f>
        <v>-</v>
      </c>
      <c r="Y111" s="243" t="str">
        <f>VLOOKUP(V111,名簿!A:L,5,FALSE)</f>
        <v>-</v>
      </c>
      <c r="Z111" s="243" t="str">
        <f>VLOOKUP(V111,名簿!A:L,11,FALSE)</f>
        <v>東京営業所</v>
      </c>
      <c r="AA111" s="243" t="str">
        <f>VLOOKUP(V111,名簿!A:L,12,FALSE)</f>
        <v>-</v>
      </c>
    </row>
    <row r="112" spans="1:27" ht="22.8">
      <c r="A112" s="301">
        <v>106</v>
      </c>
      <c r="B112" s="248">
        <v>45838</v>
      </c>
      <c r="F112" s="252" t="s">
        <v>30</v>
      </c>
      <c r="G112" s="252" t="s">
        <v>2181</v>
      </c>
      <c r="H112" s="264"/>
      <c r="I112" s="265">
        <v>1</v>
      </c>
      <c r="J112" s="265">
        <v>1</v>
      </c>
      <c r="O112" s="265">
        <v>1</v>
      </c>
      <c r="P112" s="251">
        <v>4</v>
      </c>
      <c r="R112" s="124" t="s">
        <v>2016</v>
      </c>
      <c r="S112" s="311"/>
      <c r="V112" s="243" t="s">
        <v>575</v>
      </c>
      <c r="W112" s="243" t="str">
        <f>VLOOKUP(V112,名簿!A:L,3,FALSE)</f>
        <v>企画営業部</v>
      </c>
      <c r="X112" s="243" t="str">
        <f>VLOOKUP(V112,名簿!A:L,4,FALSE)</f>
        <v>-</v>
      </c>
      <c r="Y112" s="243" t="str">
        <f>VLOOKUP(V112,名簿!A:L,5,FALSE)</f>
        <v>-</v>
      </c>
      <c r="Z112" s="243" t="str">
        <f>VLOOKUP(V112,名簿!A:L,11,FALSE)</f>
        <v>東京営業所</v>
      </c>
      <c r="AA112" s="243" t="str">
        <f>VLOOKUP(V112,名簿!A:L,12,FALSE)</f>
        <v>-</v>
      </c>
    </row>
    <row r="113" spans="1:27">
      <c r="A113" s="301">
        <v>107</v>
      </c>
      <c r="B113" s="248">
        <v>45838</v>
      </c>
      <c r="F113" s="252" t="s">
        <v>30</v>
      </c>
      <c r="H113" s="264">
        <v>1</v>
      </c>
      <c r="I113" s="265">
        <v>1</v>
      </c>
      <c r="P113" s="251">
        <v>3</v>
      </c>
      <c r="R113" s="124" t="s">
        <v>1960</v>
      </c>
      <c r="S113" s="311"/>
      <c r="V113" s="243" t="s">
        <v>576</v>
      </c>
      <c r="W113" s="243" t="str">
        <f>VLOOKUP(V113,名簿!A:L,3,FALSE)</f>
        <v>企画営業部</v>
      </c>
      <c r="X113" s="243" t="str">
        <f>VLOOKUP(V113,名簿!A:L,4,FALSE)</f>
        <v>営業課</v>
      </c>
      <c r="Y113" s="243" t="str">
        <f>VLOOKUP(V113,名簿!A:L,5,FALSE)</f>
        <v>-</v>
      </c>
      <c r="Z113" s="243" t="str">
        <f>VLOOKUP(V113,名簿!A:L,11,FALSE)</f>
        <v>東京営業所</v>
      </c>
      <c r="AA113" s="243" t="str">
        <f>VLOOKUP(V113,名簿!A:L,12,FALSE)</f>
        <v>-</v>
      </c>
    </row>
    <row r="114" spans="1:27" ht="22.8">
      <c r="A114" s="301">
        <v>108</v>
      </c>
      <c r="B114" s="248">
        <v>45838</v>
      </c>
      <c r="F114" s="252" t="s">
        <v>30</v>
      </c>
      <c r="G114" s="252" t="s">
        <v>2188</v>
      </c>
      <c r="H114" s="264"/>
      <c r="J114" s="265">
        <v>1</v>
      </c>
      <c r="K114" s="265">
        <v>1</v>
      </c>
      <c r="O114" s="265">
        <v>1</v>
      </c>
      <c r="P114" s="251">
        <v>5</v>
      </c>
      <c r="R114" s="124" t="s">
        <v>1961</v>
      </c>
      <c r="S114" s="311"/>
      <c r="V114" s="243" t="s">
        <v>576</v>
      </c>
      <c r="W114" s="243" t="str">
        <f>VLOOKUP(V114,名簿!A:L,3,FALSE)</f>
        <v>企画営業部</v>
      </c>
      <c r="X114" s="243" t="str">
        <f>VLOOKUP(V114,名簿!A:L,4,FALSE)</f>
        <v>営業課</v>
      </c>
      <c r="Y114" s="243" t="str">
        <f>VLOOKUP(V114,名簿!A:L,5,FALSE)</f>
        <v>-</v>
      </c>
      <c r="Z114" s="243" t="str">
        <f>VLOOKUP(V114,名簿!A:L,11,FALSE)</f>
        <v>東京営業所</v>
      </c>
      <c r="AA114" s="243" t="str">
        <f>VLOOKUP(V114,名簿!A:L,12,FALSE)</f>
        <v>-</v>
      </c>
    </row>
    <row r="115" spans="1:27">
      <c r="A115" s="301">
        <v>109</v>
      </c>
      <c r="B115" s="248">
        <v>45838</v>
      </c>
      <c r="F115" s="252" t="s">
        <v>50</v>
      </c>
      <c r="G115" s="252" t="s">
        <v>2189</v>
      </c>
      <c r="H115" s="264"/>
      <c r="J115" s="265">
        <v>1</v>
      </c>
      <c r="K115" s="265">
        <v>1</v>
      </c>
      <c r="O115" s="265">
        <v>1</v>
      </c>
      <c r="P115" s="251">
        <v>5</v>
      </c>
      <c r="R115" s="124" t="s">
        <v>1962</v>
      </c>
      <c r="S115" s="311"/>
      <c r="V115" s="243" t="s">
        <v>576</v>
      </c>
      <c r="W115" s="243" t="str">
        <f>VLOOKUP(V115,名簿!A:L,3,FALSE)</f>
        <v>企画営業部</v>
      </c>
      <c r="X115" s="243" t="str">
        <f>VLOOKUP(V115,名簿!A:L,4,FALSE)</f>
        <v>営業課</v>
      </c>
      <c r="Y115" s="243" t="str">
        <f>VLOOKUP(V115,名簿!A:L,5,FALSE)</f>
        <v>-</v>
      </c>
      <c r="Z115" s="243" t="str">
        <f>VLOOKUP(V115,名簿!A:L,11,FALSE)</f>
        <v>東京営業所</v>
      </c>
      <c r="AA115" s="243" t="str">
        <f>VLOOKUP(V115,名簿!A:L,12,FALSE)</f>
        <v>-</v>
      </c>
    </row>
    <row r="116" spans="1:27" ht="22.8">
      <c r="A116" s="301">
        <v>110</v>
      </c>
      <c r="B116" s="248">
        <v>45838</v>
      </c>
      <c r="F116" s="252" t="s">
        <v>50</v>
      </c>
      <c r="G116" s="252" t="s">
        <v>2190</v>
      </c>
      <c r="H116" s="264"/>
      <c r="J116" s="265">
        <v>1</v>
      </c>
      <c r="K116" s="265">
        <v>1</v>
      </c>
      <c r="O116" s="265">
        <v>1</v>
      </c>
      <c r="P116" s="251">
        <v>5</v>
      </c>
      <c r="R116" s="124" t="s">
        <v>1963</v>
      </c>
      <c r="S116" s="311"/>
      <c r="V116" s="243" t="s">
        <v>576</v>
      </c>
      <c r="W116" s="243" t="str">
        <f>VLOOKUP(V116,名簿!A:L,3,FALSE)</f>
        <v>企画営業部</v>
      </c>
      <c r="X116" s="243" t="str">
        <f>VLOOKUP(V116,名簿!A:L,4,FALSE)</f>
        <v>営業課</v>
      </c>
      <c r="Y116" s="243" t="str">
        <f>VLOOKUP(V116,名簿!A:L,5,FALSE)</f>
        <v>-</v>
      </c>
      <c r="Z116" s="243" t="str">
        <f>VLOOKUP(V116,名簿!A:L,11,FALSE)</f>
        <v>東京営業所</v>
      </c>
      <c r="AA116" s="243" t="str">
        <f>VLOOKUP(V116,名簿!A:L,12,FALSE)</f>
        <v>-</v>
      </c>
    </row>
    <row r="117" spans="1:27">
      <c r="A117" s="301">
        <v>111</v>
      </c>
      <c r="B117" s="248">
        <v>45838</v>
      </c>
      <c r="F117" s="252" t="s">
        <v>50</v>
      </c>
      <c r="G117" s="252" t="s">
        <v>2193</v>
      </c>
      <c r="H117" s="264"/>
      <c r="I117" s="265">
        <v>1</v>
      </c>
      <c r="J117" s="265">
        <v>1</v>
      </c>
      <c r="P117" s="251">
        <v>4</v>
      </c>
      <c r="R117" s="124" t="s">
        <v>1964</v>
      </c>
      <c r="S117" s="311"/>
      <c r="V117" s="243" t="s">
        <v>576</v>
      </c>
      <c r="W117" s="243" t="str">
        <f>VLOOKUP(V117,名簿!A:L,3,FALSE)</f>
        <v>企画営業部</v>
      </c>
      <c r="X117" s="243" t="str">
        <f>VLOOKUP(V117,名簿!A:L,4,FALSE)</f>
        <v>営業課</v>
      </c>
      <c r="Y117" s="243" t="str">
        <f>VLOOKUP(V117,名簿!A:L,5,FALSE)</f>
        <v>-</v>
      </c>
      <c r="Z117" s="243" t="str">
        <f>VLOOKUP(V117,名簿!A:L,11,FALSE)</f>
        <v>東京営業所</v>
      </c>
      <c r="AA117" s="243" t="str">
        <f>VLOOKUP(V117,名簿!A:L,12,FALSE)</f>
        <v>-</v>
      </c>
    </row>
    <row r="118" spans="1:27">
      <c r="A118" s="301">
        <v>112</v>
      </c>
      <c r="B118" s="248">
        <v>45838</v>
      </c>
      <c r="F118" s="252" t="s">
        <v>50</v>
      </c>
      <c r="G118" s="252" t="s">
        <v>2191</v>
      </c>
      <c r="H118" s="264"/>
      <c r="J118" s="265">
        <v>1</v>
      </c>
      <c r="K118" s="265">
        <v>1</v>
      </c>
      <c r="L118" s="265">
        <v>1</v>
      </c>
      <c r="O118" s="265">
        <v>1</v>
      </c>
      <c r="P118" s="251">
        <v>5</v>
      </c>
      <c r="R118" s="124" t="s">
        <v>1965</v>
      </c>
      <c r="S118" s="311"/>
      <c r="V118" s="243" t="s">
        <v>576</v>
      </c>
      <c r="W118" s="243" t="str">
        <f>VLOOKUP(V118,名簿!A:L,3,FALSE)</f>
        <v>企画営業部</v>
      </c>
      <c r="X118" s="243" t="str">
        <f>VLOOKUP(V118,名簿!A:L,4,FALSE)</f>
        <v>営業課</v>
      </c>
      <c r="Y118" s="243" t="str">
        <f>VLOOKUP(V118,名簿!A:L,5,FALSE)</f>
        <v>-</v>
      </c>
      <c r="Z118" s="243" t="str">
        <f>VLOOKUP(V118,名簿!A:L,11,FALSE)</f>
        <v>東京営業所</v>
      </c>
      <c r="AA118" s="243" t="str">
        <f>VLOOKUP(V118,名簿!A:L,12,FALSE)</f>
        <v>-</v>
      </c>
    </row>
    <row r="119" spans="1:27">
      <c r="A119" s="301">
        <v>113</v>
      </c>
      <c r="B119" s="248">
        <v>45838</v>
      </c>
      <c r="F119" s="252" t="s">
        <v>50</v>
      </c>
      <c r="G119" s="252" t="s">
        <v>2192</v>
      </c>
      <c r="H119" s="264"/>
      <c r="J119" s="265">
        <v>1</v>
      </c>
      <c r="O119" s="265">
        <v>1</v>
      </c>
      <c r="P119" s="251">
        <v>4</v>
      </c>
      <c r="R119" s="124" t="s">
        <v>1966</v>
      </c>
      <c r="S119" s="311"/>
      <c r="V119" s="243" t="s">
        <v>576</v>
      </c>
      <c r="W119" s="243" t="str">
        <f>VLOOKUP(V119,名簿!A:L,3,FALSE)</f>
        <v>企画営業部</v>
      </c>
      <c r="X119" s="243" t="str">
        <f>VLOOKUP(V119,名簿!A:L,4,FALSE)</f>
        <v>営業課</v>
      </c>
      <c r="Y119" s="243" t="str">
        <f>VLOOKUP(V119,名簿!A:L,5,FALSE)</f>
        <v>-</v>
      </c>
      <c r="Z119" s="243" t="str">
        <f>VLOOKUP(V119,名簿!A:L,11,FALSE)</f>
        <v>東京営業所</v>
      </c>
      <c r="AA119" s="243" t="str">
        <f>VLOOKUP(V119,名簿!A:L,12,FALSE)</f>
        <v>-</v>
      </c>
    </row>
    <row r="120" spans="1:27" ht="22.8">
      <c r="A120" s="301">
        <v>114</v>
      </c>
      <c r="B120" s="248">
        <v>45838</v>
      </c>
      <c r="F120" s="252" t="s">
        <v>50</v>
      </c>
      <c r="G120" s="252" t="s">
        <v>2192</v>
      </c>
      <c r="H120" s="264"/>
      <c r="J120" s="265">
        <v>1</v>
      </c>
      <c r="O120" s="265">
        <v>1</v>
      </c>
      <c r="P120" s="251">
        <v>5</v>
      </c>
      <c r="R120" s="124" t="s">
        <v>1967</v>
      </c>
      <c r="S120" s="311"/>
      <c r="V120" s="243" t="s">
        <v>576</v>
      </c>
      <c r="W120" s="243" t="str">
        <f>VLOOKUP(V120,名簿!A:L,3,FALSE)</f>
        <v>企画営業部</v>
      </c>
      <c r="X120" s="243" t="str">
        <f>VLOOKUP(V120,名簿!A:L,4,FALSE)</f>
        <v>営業課</v>
      </c>
      <c r="Y120" s="243" t="str">
        <f>VLOOKUP(V120,名簿!A:L,5,FALSE)</f>
        <v>-</v>
      </c>
      <c r="Z120" s="243" t="str">
        <f>VLOOKUP(V120,名簿!A:L,11,FALSE)</f>
        <v>東京営業所</v>
      </c>
      <c r="AA120" s="243" t="str">
        <f>VLOOKUP(V120,名簿!A:L,12,FALSE)</f>
        <v>-</v>
      </c>
    </row>
    <row r="121" spans="1:27">
      <c r="A121" s="301">
        <v>115</v>
      </c>
      <c r="B121" s="248">
        <v>45838</v>
      </c>
      <c r="F121" s="252" t="s">
        <v>50</v>
      </c>
      <c r="G121" s="252" t="s">
        <v>2193</v>
      </c>
      <c r="H121" s="264"/>
      <c r="K121" s="265">
        <v>1</v>
      </c>
      <c r="O121" s="265">
        <v>1</v>
      </c>
      <c r="P121" s="251">
        <v>4</v>
      </c>
      <c r="R121" s="124" t="s">
        <v>1968</v>
      </c>
      <c r="S121" s="311"/>
      <c r="V121" s="243" t="s">
        <v>576</v>
      </c>
      <c r="W121" s="243" t="str">
        <f>VLOOKUP(V121,名簿!A:L,3,FALSE)</f>
        <v>企画営業部</v>
      </c>
      <c r="X121" s="243" t="str">
        <f>VLOOKUP(V121,名簿!A:L,4,FALSE)</f>
        <v>営業課</v>
      </c>
      <c r="Y121" s="243" t="str">
        <f>VLOOKUP(V121,名簿!A:L,5,FALSE)</f>
        <v>-</v>
      </c>
      <c r="Z121" s="243" t="str">
        <f>VLOOKUP(V121,名簿!A:L,11,FALSE)</f>
        <v>東京営業所</v>
      </c>
      <c r="AA121" s="243" t="str">
        <f>VLOOKUP(V121,名簿!A:L,12,FALSE)</f>
        <v>-</v>
      </c>
    </row>
    <row r="122" spans="1:27">
      <c r="A122" s="301">
        <v>116</v>
      </c>
      <c r="B122" s="248">
        <v>45838</v>
      </c>
      <c r="F122" s="252" t="s">
        <v>50</v>
      </c>
      <c r="G122" s="252" t="s">
        <v>2194</v>
      </c>
      <c r="H122" s="264"/>
      <c r="J122" s="265">
        <v>1</v>
      </c>
      <c r="K122" s="265">
        <v>1</v>
      </c>
      <c r="O122" s="265">
        <v>1</v>
      </c>
      <c r="P122" s="251">
        <v>5</v>
      </c>
      <c r="R122" s="124" t="s">
        <v>1969</v>
      </c>
      <c r="S122" s="311"/>
      <c r="V122" s="243" t="s">
        <v>576</v>
      </c>
      <c r="W122" s="243" t="str">
        <f>VLOOKUP(V122,名簿!A:L,3,FALSE)</f>
        <v>企画営業部</v>
      </c>
      <c r="X122" s="243" t="str">
        <f>VLOOKUP(V122,名簿!A:L,4,FALSE)</f>
        <v>営業課</v>
      </c>
      <c r="Y122" s="243" t="str">
        <f>VLOOKUP(V122,名簿!A:L,5,FALSE)</f>
        <v>-</v>
      </c>
      <c r="Z122" s="243" t="str">
        <f>VLOOKUP(V122,名簿!A:L,11,FALSE)</f>
        <v>東京営業所</v>
      </c>
      <c r="AA122" s="243" t="str">
        <f>VLOOKUP(V122,名簿!A:L,12,FALSE)</f>
        <v>-</v>
      </c>
    </row>
    <row r="123" spans="1:27">
      <c r="A123" s="301">
        <v>117</v>
      </c>
      <c r="B123" s="248">
        <v>45838</v>
      </c>
      <c r="F123" s="252" t="s">
        <v>50</v>
      </c>
      <c r="G123" s="252" t="s">
        <v>2195</v>
      </c>
      <c r="H123" s="264"/>
      <c r="J123" s="265">
        <v>1</v>
      </c>
      <c r="K123" s="265">
        <v>1</v>
      </c>
      <c r="O123" s="265">
        <v>1</v>
      </c>
      <c r="P123" s="251">
        <v>5</v>
      </c>
      <c r="R123" s="124" t="s">
        <v>1970</v>
      </c>
      <c r="S123" s="311"/>
      <c r="V123" s="243" t="s">
        <v>576</v>
      </c>
      <c r="W123" s="243" t="str">
        <f>VLOOKUP(V123,名簿!A:L,3,FALSE)</f>
        <v>企画営業部</v>
      </c>
      <c r="X123" s="243" t="str">
        <f>VLOOKUP(V123,名簿!A:L,4,FALSE)</f>
        <v>営業課</v>
      </c>
      <c r="Y123" s="243" t="str">
        <f>VLOOKUP(V123,名簿!A:L,5,FALSE)</f>
        <v>-</v>
      </c>
      <c r="Z123" s="243" t="str">
        <f>VLOOKUP(V123,名簿!A:L,11,FALSE)</f>
        <v>東京営業所</v>
      </c>
      <c r="AA123" s="243" t="str">
        <f>VLOOKUP(V123,名簿!A:L,12,FALSE)</f>
        <v>-</v>
      </c>
    </row>
    <row r="124" spans="1:27">
      <c r="A124" s="301">
        <v>118</v>
      </c>
      <c r="B124" s="248">
        <v>45838</v>
      </c>
      <c r="F124" s="252" t="s">
        <v>60</v>
      </c>
      <c r="G124" s="252" t="s">
        <v>2248</v>
      </c>
      <c r="H124" s="264"/>
      <c r="J124" s="265">
        <v>1</v>
      </c>
      <c r="L124" s="265">
        <v>1</v>
      </c>
      <c r="M124" s="265">
        <v>1</v>
      </c>
      <c r="O124" s="265">
        <v>1</v>
      </c>
      <c r="P124" s="251">
        <v>5</v>
      </c>
      <c r="R124" s="124" t="s">
        <v>578</v>
      </c>
      <c r="S124" s="311"/>
      <c r="V124" s="243" t="s">
        <v>576</v>
      </c>
      <c r="W124" s="243" t="str">
        <f>VLOOKUP(V124,名簿!A:L,3,FALSE)</f>
        <v>企画営業部</v>
      </c>
      <c r="X124" s="243" t="str">
        <f>VLOOKUP(V124,名簿!A:L,4,FALSE)</f>
        <v>営業課</v>
      </c>
      <c r="Y124" s="243" t="str">
        <f>VLOOKUP(V124,名簿!A:L,5,FALSE)</f>
        <v>-</v>
      </c>
      <c r="Z124" s="243" t="str">
        <f>VLOOKUP(V124,名簿!A:L,11,FALSE)</f>
        <v>東京営業所</v>
      </c>
      <c r="AA124" s="243" t="str">
        <f>VLOOKUP(V124,名簿!A:L,12,FALSE)</f>
        <v>-</v>
      </c>
    </row>
    <row r="125" spans="1:27">
      <c r="A125" s="301">
        <v>119</v>
      </c>
      <c r="B125" s="248">
        <v>45838</v>
      </c>
      <c r="F125" s="252" t="s">
        <v>77</v>
      </c>
      <c r="G125" s="252" t="s">
        <v>2248</v>
      </c>
      <c r="H125" s="264">
        <v>1</v>
      </c>
      <c r="I125" s="265">
        <v>1</v>
      </c>
      <c r="L125" s="265">
        <v>1</v>
      </c>
      <c r="M125" s="265">
        <v>1</v>
      </c>
      <c r="O125" s="265">
        <v>1</v>
      </c>
      <c r="P125" s="251">
        <v>5</v>
      </c>
      <c r="R125" s="124" t="s">
        <v>577</v>
      </c>
      <c r="S125" s="311"/>
      <c r="V125" s="243" t="s">
        <v>576</v>
      </c>
      <c r="W125" s="243" t="str">
        <f>VLOOKUP(V125,名簿!A:L,3,FALSE)</f>
        <v>企画営業部</v>
      </c>
      <c r="X125" s="243" t="str">
        <f>VLOOKUP(V125,名簿!A:L,4,FALSE)</f>
        <v>営業課</v>
      </c>
      <c r="Y125" s="243" t="str">
        <f>VLOOKUP(V125,名簿!A:L,5,FALSE)</f>
        <v>-</v>
      </c>
      <c r="Z125" s="243" t="str">
        <f>VLOOKUP(V125,名簿!A:L,11,FALSE)</f>
        <v>東京営業所</v>
      </c>
      <c r="AA125" s="243" t="str">
        <f>VLOOKUP(V125,名簿!A:L,12,FALSE)</f>
        <v>-</v>
      </c>
    </row>
    <row r="126" spans="1:27" ht="22.8">
      <c r="A126" s="301">
        <v>120</v>
      </c>
      <c r="B126" s="248">
        <v>45838</v>
      </c>
      <c r="F126" s="252" t="s">
        <v>60</v>
      </c>
      <c r="G126" s="252" t="s">
        <v>2248</v>
      </c>
      <c r="H126" s="264"/>
      <c r="K126" s="265">
        <v>1</v>
      </c>
      <c r="L126" s="265">
        <v>1</v>
      </c>
      <c r="M126" s="265">
        <v>1</v>
      </c>
      <c r="P126" s="251">
        <v>4</v>
      </c>
      <c r="R126" s="124" t="s">
        <v>580</v>
      </c>
      <c r="S126" s="311"/>
      <c r="V126" s="243" t="s">
        <v>579</v>
      </c>
      <c r="W126" s="243" t="str">
        <f>VLOOKUP(V126,名簿!A:L,3,FALSE)</f>
        <v>企画営業部</v>
      </c>
      <c r="X126" s="243" t="str">
        <f>VLOOKUP(V126,名簿!A:L,4,FALSE)</f>
        <v>営業課</v>
      </c>
      <c r="Y126" s="243" t="str">
        <f>VLOOKUP(V126,名簿!A:L,5,FALSE)</f>
        <v>-</v>
      </c>
      <c r="Z126" s="243" t="str">
        <f>VLOOKUP(V126,名簿!A:L,11,FALSE)</f>
        <v>東京営業所</v>
      </c>
      <c r="AA126" s="243" t="str">
        <f>VLOOKUP(V126,名簿!A:L,12,FALSE)</f>
        <v>-</v>
      </c>
    </row>
    <row r="127" spans="1:27" ht="22.8">
      <c r="A127" s="301">
        <v>121</v>
      </c>
      <c r="B127" s="248">
        <v>45838</v>
      </c>
      <c r="F127" s="252" t="s">
        <v>30</v>
      </c>
      <c r="H127" s="264"/>
      <c r="J127" s="265">
        <v>1</v>
      </c>
      <c r="L127" s="265">
        <v>1</v>
      </c>
      <c r="P127" s="251">
        <v>4</v>
      </c>
      <c r="R127" s="124" t="s">
        <v>1971</v>
      </c>
      <c r="S127" s="311"/>
      <c r="V127" s="243" t="s">
        <v>581</v>
      </c>
      <c r="W127" s="243" t="str">
        <f>VLOOKUP(V127,名簿!A:L,3,FALSE)</f>
        <v>企画営業部</v>
      </c>
      <c r="X127" s="243" t="str">
        <f>VLOOKUP(V127,名簿!A:L,4,FALSE)</f>
        <v>営業課</v>
      </c>
      <c r="Y127" s="243" t="str">
        <f>VLOOKUP(V127,名簿!A:L,5,FALSE)</f>
        <v>-</v>
      </c>
      <c r="Z127" s="243" t="str">
        <f>VLOOKUP(V127,名簿!A:L,11,FALSE)</f>
        <v>東京営業所</v>
      </c>
      <c r="AA127" s="243" t="str">
        <f>VLOOKUP(V127,名簿!A:L,12,FALSE)</f>
        <v>-</v>
      </c>
    </row>
    <row r="128" spans="1:27">
      <c r="A128" s="301">
        <v>122</v>
      </c>
      <c r="B128" s="248">
        <v>45838</v>
      </c>
      <c r="F128" s="252" t="s">
        <v>30</v>
      </c>
      <c r="H128" s="264"/>
      <c r="J128" s="265">
        <v>1</v>
      </c>
      <c r="L128" s="265">
        <v>1</v>
      </c>
      <c r="P128" s="251">
        <v>4</v>
      </c>
      <c r="R128" s="124" t="s">
        <v>1972</v>
      </c>
      <c r="S128" s="311"/>
      <c r="V128" s="243" t="s">
        <v>581</v>
      </c>
      <c r="W128" s="243" t="str">
        <f>VLOOKUP(V128,名簿!A:L,3,FALSE)</f>
        <v>企画営業部</v>
      </c>
      <c r="X128" s="243" t="str">
        <f>VLOOKUP(V128,名簿!A:L,4,FALSE)</f>
        <v>営業課</v>
      </c>
      <c r="Y128" s="243" t="str">
        <f>VLOOKUP(V128,名簿!A:L,5,FALSE)</f>
        <v>-</v>
      </c>
      <c r="Z128" s="243" t="str">
        <f>VLOOKUP(V128,名簿!A:L,11,FALSE)</f>
        <v>東京営業所</v>
      </c>
      <c r="AA128" s="243" t="str">
        <f>VLOOKUP(V128,名簿!A:L,12,FALSE)</f>
        <v>-</v>
      </c>
    </row>
    <row r="129" spans="1:27" ht="22.8">
      <c r="A129" s="301">
        <v>123</v>
      </c>
      <c r="B129" s="248">
        <v>45838</v>
      </c>
      <c r="F129" s="252" t="s">
        <v>30</v>
      </c>
      <c r="G129" s="252" t="s">
        <v>2196</v>
      </c>
      <c r="H129" s="264"/>
      <c r="J129" s="265">
        <v>1</v>
      </c>
      <c r="K129" s="265">
        <v>1</v>
      </c>
      <c r="L129" s="265">
        <v>1</v>
      </c>
      <c r="P129" s="251">
        <v>4</v>
      </c>
      <c r="R129" s="124" t="s">
        <v>1973</v>
      </c>
      <c r="S129" s="311"/>
      <c r="V129" s="243" t="s">
        <v>581</v>
      </c>
      <c r="W129" s="243" t="str">
        <f>VLOOKUP(V129,名簿!A:L,3,FALSE)</f>
        <v>企画営業部</v>
      </c>
      <c r="X129" s="243" t="str">
        <f>VLOOKUP(V129,名簿!A:L,4,FALSE)</f>
        <v>営業課</v>
      </c>
      <c r="Y129" s="243" t="str">
        <f>VLOOKUP(V129,名簿!A:L,5,FALSE)</f>
        <v>-</v>
      </c>
      <c r="Z129" s="243" t="str">
        <f>VLOOKUP(V129,名簿!A:L,11,FALSE)</f>
        <v>東京営業所</v>
      </c>
      <c r="AA129" s="243" t="str">
        <f>VLOOKUP(V129,名簿!A:L,12,FALSE)</f>
        <v>-</v>
      </c>
    </row>
    <row r="130" spans="1:27">
      <c r="A130" s="301">
        <v>124</v>
      </c>
      <c r="B130" s="248">
        <v>45863</v>
      </c>
      <c r="F130" s="252" t="s">
        <v>315</v>
      </c>
      <c r="K130" s="265">
        <v>1</v>
      </c>
      <c r="P130" s="251">
        <v>1</v>
      </c>
      <c r="R130" s="108" t="s">
        <v>358</v>
      </c>
      <c r="S130" s="310"/>
      <c r="V130" s="243" t="s">
        <v>376</v>
      </c>
      <c r="W130" s="243" t="str">
        <f>VLOOKUP(V130,名簿!A:L,3,FALSE)</f>
        <v>研究開発部</v>
      </c>
      <c r="X130" s="243" t="str">
        <f>VLOOKUP(V130,名簿!A:L,4,FALSE)</f>
        <v>研究開発課</v>
      </c>
      <c r="Y130" s="243" t="str">
        <f>VLOOKUP(V130,名簿!A:L,5,FALSE)</f>
        <v>-</v>
      </c>
      <c r="Z130" s="243" t="str">
        <f>VLOOKUP(V130,名簿!A:L,11,FALSE)</f>
        <v>コスメラボラトリー</v>
      </c>
      <c r="AA130" s="243" t="str">
        <f>VLOOKUP(V130,名簿!A:L,12,FALSE)</f>
        <v>3F/事務所</v>
      </c>
    </row>
    <row r="131" spans="1:27" ht="34.200000000000003">
      <c r="A131" s="301">
        <v>125</v>
      </c>
      <c r="B131" s="248">
        <v>45863</v>
      </c>
      <c r="F131" s="252" t="s">
        <v>315</v>
      </c>
      <c r="J131" s="265">
        <v>1</v>
      </c>
      <c r="K131" s="265">
        <v>1</v>
      </c>
      <c r="P131" s="251">
        <v>5</v>
      </c>
      <c r="R131" s="108" t="s">
        <v>381</v>
      </c>
      <c r="S131" s="310"/>
      <c r="V131" s="243" t="s">
        <v>380</v>
      </c>
      <c r="W131" s="243" t="str">
        <f>VLOOKUP(V131,名簿!A:L,3,FALSE)</f>
        <v>研究開発部</v>
      </c>
      <c r="X131" s="243" t="str">
        <f>VLOOKUP(V131,名簿!A:L,4,FALSE)</f>
        <v>研究開発課</v>
      </c>
      <c r="Y131" s="243" t="str">
        <f>VLOOKUP(V131,名簿!A:L,5,FALSE)</f>
        <v>-</v>
      </c>
      <c r="Z131" s="243" t="str">
        <f>VLOOKUP(V131,名簿!A:L,11,FALSE)</f>
        <v>コスメラボラトリー</v>
      </c>
      <c r="AA131" s="243" t="str">
        <f>VLOOKUP(V131,名簿!A:L,12,FALSE)</f>
        <v>3F/事務所</v>
      </c>
    </row>
    <row r="132" spans="1:27" ht="22.8">
      <c r="A132" s="301">
        <v>126</v>
      </c>
      <c r="B132" s="248">
        <v>45863</v>
      </c>
      <c r="F132" s="252" t="s">
        <v>315</v>
      </c>
      <c r="J132" s="265">
        <v>1</v>
      </c>
      <c r="K132" s="265">
        <v>1</v>
      </c>
      <c r="P132" s="251">
        <v>5</v>
      </c>
      <c r="R132" s="108" t="s">
        <v>387</v>
      </c>
      <c r="S132" s="310"/>
      <c r="V132" s="243" t="s">
        <v>1463</v>
      </c>
      <c r="W132" s="243" t="str">
        <f>VLOOKUP(V132,名簿!A:L,3,FALSE)</f>
        <v>EC事業部</v>
      </c>
      <c r="X132" s="243" t="str">
        <f>VLOOKUP(V132,名簿!A:L,4,FALSE)</f>
        <v>EC事業課</v>
      </c>
      <c r="Y132" s="243" t="str">
        <f>VLOOKUP(V132,名簿!A:L,5,FALSE)</f>
        <v>-</v>
      </c>
      <c r="Z132" s="243" t="str">
        <f>VLOOKUP(V132,名簿!A:L,11,FALSE)</f>
        <v>コスメラボラトリー</v>
      </c>
      <c r="AA132" s="243" t="str">
        <f>VLOOKUP(V132,名簿!A:L,12,FALSE)</f>
        <v>3F/事務所</v>
      </c>
    </row>
    <row r="133" spans="1:27">
      <c r="A133" s="301">
        <v>127</v>
      </c>
      <c r="B133" s="248">
        <v>45863</v>
      </c>
      <c r="F133" s="252" t="s">
        <v>315</v>
      </c>
      <c r="K133" s="265">
        <v>1</v>
      </c>
      <c r="P133" s="251">
        <v>4</v>
      </c>
      <c r="R133" s="108" t="s">
        <v>393</v>
      </c>
      <c r="S133" s="310"/>
      <c r="V133" s="243" t="s">
        <v>392</v>
      </c>
      <c r="W133" s="243" t="str">
        <f>VLOOKUP(V133,名簿!A:L,3,FALSE)</f>
        <v>技術製造部</v>
      </c>
      <c r="X133" s="243" t="str">
        <f>VLOOKUP(V133,名簿!A:L,4,FALSE)</f>
        <v>製造課</v>
      </c>
      <c r="Y133" s="243" t="str">
        <f>VLOOKUP(V133,名簿!A:L,5,FALSE)</f>
        <v>充填包装</v>
      </c>
      <c r="Z133" s="243" t="str">
        <f>VLOOKUP(V133,名簿!A:L,11,FALSE)</f>
        <v>コスメラボラトリー</v>
      </c>
      <c r="AA133" s="243" t="str">
        <f>VLOOKUP(V133,名簿!A:L,12,FALSE)</f>
        <v>1F/作業場南</v>
      </c>
    </row>
    <row r="134" spans="1:27">
      <c r="A134" s="301">
        <v>128</v>
      </c>
      <c r="B134" s="248">
        <v>45863</v>
      </c>
      <c r="F134" s="252" t="s">
        <v>315</v>
      </c>
      <c r="K134" s="265">
        <v>1</v>
      </c>
      <c r="P134" s="251">
        <v>1</v>
      </c>
      <c r="R134" s="108" t="s">
        <v>358</v>
      </c>
      <c r="S134" s="310"/>
      <c r="V134" s="243" t="s">
        <v>395</v>
      </c>
      <c r="W134" s="243" t="str">
        <f>VLOOKUP(V134,名簿!A:L,3,FALSE)</f>
        <v>EC事業部</v>
      </c>
      <c r="X134" s="243" t="str">
        <f>VLOOKUP(V134,名簿!A:L,4,FALSE)</f>
        <v>EC事業課</v>
      </c>
      <c r="Y134" s="243" t="str">
        <f>VLOOKUP(V134,名簿!A:L,5,FALSE)</f>
        <v>-</v>
      </c>
      <c r="Z134" s="243" t="str">
        <f>VLOOKUP(V134,名簿!A:L,11,FALSE)</f>
        <v>コスメラボラトリー</v>
      </c>
      <c r="AA134" s="243" t="str">
        <f>VLOOKUP(V134,名簿!A:L,12,FALSE)</f>
        <v>3F/事務所</v>
      </c>
    </row>
    <row r="135" spans="1:27">
      <c r="A135" s="301">
        <v>129</v>
      </c>
      <c r="B135" s="248">
        <v>45863</v>
      </c>
      <c r="F135" s="252" t="s">
        <v>315</v>
      </c>
      <c r="K135" s="265">
        <v>1</v>
      </c>
      <c r="P135" s="251">
        <v>4</v>
      </c>
      <c r="R135" s="108" t="s">
        <v>397</v>
      </c>
      <c r="S135" s="310"/>
      <c r="V135" s="243" t="s">
        <v>396</v>
      </c>
      <c r="W135" s="243" t="str">
        <f>VLOOKUP(V135,名簿!A:L,3,FALSE)</f>
        <v>技術製造部</v>
      </c>
      <c r="X135" s="243" t="str">
        <f>VLOOKUP(V135,名簿!A:L,4,FALSE)</f>
        <v>製造課</v>
      </c>
      <c r="Y135" s="243" t="str">
        <f>VLOOKUP(V135,名簿!A:L,5,FALSE)</f>
        <v>充填包装</v>
      </c>
      <c r="Z135" s="243" t="str">
        <f>VLOOKUP(V135,名簿!A:L,11,FALSE)</f>
        <v>コスメファクトリー</v>
      </c>
      <c r="AA135" s="243" t="str">
        <f>VLOOKUP(V135,名簿!A:L,12,FALSE)</f>
        <v>2F/充填ライン北</v>
      </c>
    </row>
    <row r="136" spans="1:27">
      <c r="A136" s="301">
        <v>130</v>
      </c>
      <c r="B136" s="248">
        <v>45863</v>
      </c>
      <c r="F136" s="252" t="s">
        <v>315</v>
      </c>
      <c r="K136" s="265">
        <v>1</v>
      </c>
      <c r="P136" s="251">
        <v>4</v>
      </c>
      <c r="R136" s="108" t="s">
        <v>401</v>
      </c>
      <c r="S136" s="310"/>
      <c r="V136" s="243" t="s">
        <v>400</v>
      </c>
      <c r="W136" s="243" t="str">
        <f>VLOOKUP(V136,名簿!A:L,3,FALSE)</f>
        <v>技術製造部</v>
      </c>
      <c r="X136" s="243" t="str">
        <f>VLOOKUP(V136,名簿!A:L,4,FALSE)</f>
        <v>製造課</v>
      </c>
      <c r="Y136" s="243" t="str">
        <f>VLOOKUP(V136,名簿!A:L,5,FALSE)</f>
        <v>充填包装</v>
      </c>
      <c r="Z136" s="243" t="str">
        <f>VLOOKUP(V136,名簿!A:L,11,FALSE)</f>
        <v>コスメファクトリー</v>
      </c>
      <c r="AA136" s="243" t="str">
        <f>VLOOKUP(V136,名簿!A:L,12,FALSE)</f>
        <v>2F/充填ライン北</v>
      </c>
    </row>
    <row r="137" spans="1:27" ht="22.8">
      <c r="A137" s="301">
        <v>131</v>
      </c>
      <c r="B137" s="248">
        <v>45863</v>
      </c>
      <c r="F137" s="252" t="s">
        <v>315</v>
      </c>
      <c r="K137" s="265">
        <v>1</v>
      </c>
      <c r="P137" s="251">
        <v>4</v>
      </c>
      <c r="R137" s="108" t="s">
        <v>404</v>
      </c>
      <c r="S137" s="310"/>
      <c r="V137" s="243" t="s">
        <v>403</v>
      </c>
      <c r="W137" s="243" t="str">
        <f>VLOOKUP(V137,名簿!A:L,3,FALSE)</f>
        <v>技術製造部</v>
      </c>
      <c r="X137" s="243" t="str">
        <f>VLOOKUP(V137,名簿!A:L,4,FALSE)</f>
        <v>製造課</v>
      </c>
      <c r="Y137" s="243" t="str">
        <f>VLOOKUP(V137,名簿!A:L,5,FALSE)</f>
        <v>充填包装</v>
      </c>
      <c r="Z137" s="243" t="str">
        <f>VLOOKUP(V137,名簿!A:L,11,FALSE)</f>
        <v>コスメファクトリー</v>
      </c>
      <c r="AA137" s="243" t="str">
        <f>VLOOKUP(V137,名簿!A:L,12,FALSE)</f>
        <v>2F/充填ライン南</v>
      </c>
    </row>
    <row r="138" spans="1:27" ht="22.8">
      <c r="A138" s="301">
        <v>132</v>
      </c>
      <c r="B138" s="248">
        <v>45863</v>
      </c>
      <c r="F138" s="252" t="s">
        <v>315</v>
      </c>
      <c r="K138" s="265">
        <v>1</v>
      </c>
      <c r="P138" s="251">
        <v>5</v>
      </c>
      <c r="R138" s="108" t="s">
        <v>410</v>
      </c>
      <c r="S138" s="310"/>
      <c r="V138" s="243" t="s">
        <v>409</v>
      </c>
      <c r="W138" s="243" t="str">
        <f>VLOOKUP(V138,名簿!A:L,3,FALSE)</f>
        <v>技術製造部</v>
      </c>
      <c r="X138" s="243" t="str">
        <f>VLOOKUP(V138,名簿!A:L,4,FALSE)</f>
        <v>製造課</v>
      </c>
      <c r="Y138" s="243" t="str">
        <f>VLOOKUP(V138,名簿!A:L,5,FALSE)</f>
        <v>充填包装</v>
      </c>
      <c r="Z138" s="243" t="str">
        <f>VLOOKUP(V138,名簿!A:L,11,FALSE)</f>
        <v>コスメラボラトリー</v>
      </c>
      <c r="AA138" s="243" t="str">
        <f>VLOOKUP(V138,名簿!A:L,12,FALSE)</f>
        <v>2F/事務所</v>
      </c>
    </row>
    <row r="139" spans="1:27">
      <c r="A139" s="301">
        <v>133</v>
      </c>
      <c r="B139" s="248">
        <v>45863</v>
      </c>
      <c r="F139" s="252" t="s">
        <v>315</v>
      </c>
      <c r="K139" s="265">
        <v>1</v>
      </c>
      <c r="P139" s="251">
        <v>1</v>
      </c>
      <c r="R139" s="108" t="s">
        <v>358</v>
      </c>
      <c r="S139" s="310"/>
      <c r="V139" s="243" t="s">
        <v>1994</v>
      </c>
      <c r="W139" s="243" t="str">
        <f>VLOOKUP(V139,名簿!A:L,3,FALSE)</f>
        <v>技術製造部</v>
      </c>
      <c r="X139" s="243" t="str">
        <f>VLOOKUP(V139,名簿!A:L,4,FALSE)</f>
        <v>製造課</v>
      </c>
      <c r="Y139" s="243" t="str">
        <f>VLOOKUP(V139,名簿!A:L,5,FALSE)</f>
        <v>バルク・顆粒</v>
      </c>
      <c r="Z139" s="243" t="str">
        <f>VLOOKUP(V139,名簿!A:L,11,FALSE)</f>
        <v>コスメラボラトリー</v>
      </c>
      <c r="AA139" s="243" t="str">
        <f>VLOOKUP(V139,名簿!A:L,12,FALSE)</f>
        <v>2F/事務所</v>
      </c>
    </row>
    <row r="140" spans="1:27">
      <c r="A140" s="301">
        <v>134</v>
      </c>
      <c r="B140" s="248">
        <v>45863</v>
      </c>
      <c r="F140" s="252" t="s">
        <v>315</v>
      </c>
      <c r="K140" s="265">
        <v>1</v>
      </c>
      <c r="P140" s="251">
        <v>1</v>
      </c>
      <c r="R140" s="108" t="s">
        <v>421</v>
      </c>
      <c r="S140" s="310"/>
      <c r="V140" s="243" t="s">
        <v>420</v>
      </c>
      <c r="W140" s="243" t="str">
        <f>VLOOKUP(V140,名簿!A:L,3,FALSE)</f>
        <v>技術製造部</v>
      </c>
      <c r="X140" s="243" t="str">
        <f>VLOOKUP(V140,名簿!A:L,4,FALSE)</f>
        <v>製造課</v>
      </c>
      <c r="Y140" s="243" t="str">
        <f>VLOOKUP(V140,名簿!A:L,5,FALSE)</f>
        <v>粉体</v>
      </c>
      <c r="Z140" s="243" t="str">
        <f>VLOOKUP(V140,名簿!A:L,11,FALSE)</f>
        <v>コスメラボラトリー</v>
      </c>
      <c r="AA140" s="243" t="str">
        <f>VLOOKUP(V140,名簿!A:L,12,FALSE)</f>
        <v>2F/作業場南</v>
      </c>
    </row>
    <row r="141" spans="1:27">
      <c r="A141" s="301">
        <v>135</v>
      </c>
      <c r="B141" s="248">
        <v>45863</v>
      </c>
      <c r="F141" s="252" t="s">
        <v>315</v>
      </c>
      <c r="K141" s="265">
        <v>1</v>
      </c>
      <c r="P141" s="251">
        <v>4</v>
      </c>
      <c r="R141" s="108" t="s">
        <v>426</v>
      </c>
      <c r="S141" s="310"/>
      <c r="V141" s="243" t="s">
        <v>1201</v>
      </c>
      <c r="W141" s="243" t="str">
        <f>VLOOKUP(V141,名簿!A:L,3,FALSE)</f>
        <v>品質保証部</v>
      </c>
      <c r="X141" s="243" t="str">
        <f>VLOOKUP(V141,名簿!A:L,4,FALSE)</f>
        <v>品質管理課</v>
      </c>
      <c r="Y141" s="243" t="str">
        <f>VLOOKUP(V141,名簿!A:L,5,FALSE)</f>
        <v>-</v>
      </c>
      <c r="Z141" s="243" t="str">
        <f>VLOOKUP(V141,名簿!A:L,11,FALSE)</f>
        <v>コスメラボラトリー</v>
      </c>
      <c r="AA141" s="243" t="str">
        <f>VLOOKUP(V141,名簿!A:L,12,FALSE)</f>
        <v>3F/事務所</v>
      </c>
    </row>
    <row r="142" spans="1:27">
      <c r="A142" s="301">
        <v>136</v>
      </c>
      <c r="B142" s="248">
        <v>45863</v>
      </c>
      <c r="F142" s="252" t="s">
        <v>315</v>
      </c>
      <c r="K142" s="265">
        <v>1</v>
      </c>
      <c r="P142" s="251">
        <v>1</v>
      </c>
      <c r="R142" s="108" t="s">
        <v>358</v>
      </c>
      <c r="S142" s="310"/>
      <c r="V142" s="243" t="s">
        <v>427</v>
      </c>
      <c r="W142" s="243" t="str">
        <f>VLOOKUP(V142,名簿!A:L,3,FALSE)</f>
        <v>技術製造部</v>
      </c>
      <c r="X142" s="243" t="str">
        <f>VLOOKUP(V142,名簿!A:L,4,FALSE)</f>
        <v>製造課</v>
      </c>
      <c r="Y142" s="243" t="str">
        <f>VLOOKUP(V142,名簿!A:L,5,FALSE)</f>
        <v>バルク・顆粒</v>
      </c>
      <c r="Z142" s="243" t="str">
        <f>VLOOKUP(V142,名簿!A:L,11,FALSE)</f>
        <v>コスメファクトリー</v>
      </c>
      <c r="AA142" s="243" t="str">
        <f>VLOOKUP(V142,名簿!A:L,12,FALSE)</f>
        <v>1F/バルク室</v>
      </c>
    </row>
    <row r="143" spans="1:27" ht="22.8">
      <c r="A143" s="301">
        <v>137</v>
      </c>
      <c r="B143" s="248">
        <v>45863</v>
      </c>
      <c r="F143" s="252" t="s">
        <v>315</v>
      </c>
      <c r="G143" s="252" t="s">
        <v>2172</v>
      </c>
      <c r="K143" s="265">
        <v>1</v>
      </c>
      <c r="P143" s="251">
        <v>4</v>
      </c>
      <c r="R143" s="108" t="s">
        <v>431</v>
      </c>
      <c r="S143" s="310"/>
      <c r="V143" s="243" t="s">
        <v>430</v>
      </c>
      <c r="W143" s="243" t="str">
        <f>VLOOKUP(V143,名簿!A:L,3,FALSE)</f>
        <v>研究開発部</v>
      </c>
      <c r="X143" s="243" t="str">
        <f>VLOOKUP(V143,名簿!A:L,4,FALSE)</f>
        <v>研究開発課</v>
      </c>
      <c r="Y143" s="243" t="str">
        <f>VLOOKUP(V143,名簿!A:L,5,FALSE)</f>
        <v>-</v>
      </c>
      <c r="Z143" s="243" t="str">
        <f>VLOOKUP(V143,名簿!A:L,11,FALSE)</f>
        <v>コスメラボラトリー</v>
      </c>
      <c r="AA143" s="243" t="str">
        <f>VLOOKUP(V143,名簿!A:L,12,FALSE)</f>
        <v>3F/事務所</v>
      </c>
    </row>
    <row r="144" spans="1:27">
      <c r="A144" s="301">
        <v>138</v>
      </c>
      <c r="B144" s="248">
        <v>45863</v>
      </c>
      <c r="F144" s="252" t="s">
        <v>315</v>
      </c>
      <c r="K144" s="265">
        <v>1</v>
      </c>
      <c r="P144" s="251">
        <v>1</v>
      </c>
      <c r="R144" s="108" t="s">
        <v>358</v>
      </c>
      <c r="S144" s="310"/>
      <c r="V144" s="243" t="s">
        <v>434</v>
      </c>
      <c r="W144" s="243" t="str">
        <f>VLOOKUP(V144,名簿!A:L,3,FALSE)</f>
        <v>技術製造部</v>
      </c>
      <c r="X144" s="243" t="str">
        <f>VLOOKUP(V144,名簿!A:L,4,FALSE)</f>
        <v>製造課</v>
      </c>
      <c r="Y144" s="243" t="str">
        <f>VLOOKUP(V144,名簿!A:L,5,FALSE)</f>
        <v>バルク・顆粒</v>
      </c>
      <c r="Z144" s="243" t="str">
        <f>VLOOKUP(V144,名簿!A:L,11,FALSE)</f>
        <v>コスメファクトリー</v>
      </c>
      <c r="AA144" s="243" t="str">
        <f>VLOOKUP(V144,名簿!A:L,12,FALSE)</f>
        <v>1F/バルク室</v>
      </c>
    </row>
    <row r="145" spans="1:27">
      <c r="A145" s="301">
        <v>139</v>
      </c>
      <c r="B145" s="248">
        <v>45863</v>
      </c>
      <c r="F145" s="252" t="s">
        <v>315</v>
      </c>
      <c r="K145" s="265">
        <v>1</v>
      </c>
      <c r="P145" s="251">
        <v>2</v>
      </c>
      <c r="R145" s="108" t="s">
        <v>436</v>
      </c>
      <c r="S145" s="310"/>
      <c r="V145" s="243" t="s">
        <v>435</v>
      </c>
      <c r="W145" s="243" t="str">
        <f>VLOOKUP(V145,名簿!A:L,3,FALSE)</f>
        <v>技術製造部</v>
      </c>
      <c r="X145" s="243" t="str">
        <f>VLOOKUP(V145,名簿!A:L,4,FALSE)</f>
        <v>製造課</v>
      </c>
      <c r="Y145" s="243" t="str">
        <f>VLOOKUP(V145,名簿!A:L,5,FALSE)</f>
        <v>バルク・顆粒</v>
      </c>
      <c r="Z145" s="243" t="str">
        <f>VLOOKUP(V145,名簿!A:L,11,FALSE)</f>
        <v>コスメファクトリー</v>
      </c>
      <c r="AA145" s="243" t="str">
        <f>VLOOKUP(V145,名簿!A:L,12,FALSE)</f>
        <v>1F/バルク室</v>
      </c>
    </row>
    <row r="146" spans="1:27" ht="22.8">
      <c r="A146" s="301">
        <v>140</v>
      </c>
      <c r="B146" s="248">
        <v>45863</v>
      </c>
      <c r="F146" s="252" t="s">
        <v>315</v>
      </c>
      <c r="K146" s="265">
        <v>1</v>
      </c>
      <c r="P146" s="251">
        <v>4</v>
      </c>
      <c r="R146" s="108" t="s">
        <v>441</v>
      </c>
      <c r="S146" s="310"/>
      <c r="V146" s="243" t="s">
        <v>440</v>
      </c>
      <c r="W146" s="243" t="str">
        <f>VLOOKUP(V146,名簿!A:L,3,FALSE)</f>
        <v>品質保証部</v>
      </c>
      <c r="X146" s="243" t="str">
        <f>VLOOKUP(V146,名簿!A:L,4,FALSE)</f>
        <v>品質管理課</v>
      </c>
      <c r="Y146" s="243" t="str">
        <f>VLOOKUP(V146,名簿!A:L,5,FALSE)</f>
        <v>-</v>
      </c>
      <c r="Z146" s="243" t="str">
        <f>VLOOKUP(V146,名簿!A:L,11,FALSE)</f>
        <v>コスメラボラトリー</v>
      </c>
      <c r="AA146" s="243" t="str">
        <f>VLOOKUP(V146,名簿!A:L,12,FALSE)</f>
        <v>3F/事務所</v>
      </c>
    </row>
    <row r="147" spans="1:27">
      <c r="A147" s="301">
        <v>141</v>
      </c>
      <c r="B147" s="248">
        <v>45863</v>
      </c>
      <c r="F147" s="252" t="s">
        <v>315</v>
      </c>
      <c r="K147" s="265">
        <v>1</v>
      </c>
      <c r="P147" s="251">
        <v>2</v>
      </c>
      <c r="R147" s="108" t="s">
        <v>444</v>
      </c>
      <c r="S147" s="310"/>
      <c r="V147" s="243" t="s">
        <v>443</v>
      </c>
      <c r="W147" s="243" t="str">
        <f>VLOOKUP(V147,名簿!A:L,3,FALSE)</f>
        <v>研究開発部</v>
      </c>
      <c r="X147" s="243" t="str">
        <f>VLOOKUP(V147,名簿!A:L,4,FALSE)</f>
        <v>研究開発課</v>
      </c>
      <c r="Y147" s="243" t="str">
        <f>VLOOKUP(V147,名簿!A:L,5,FALSE)</f>
        <v>-</v>
      </c>
      <c r="Z147" s="243" t="str">
        <f>VLOOKUP(V147,名簿!A:L,11,FALSE)</f>
        <v>コスメラボラトリー</v>
      </c>
      <c r="AA147" s="243" t="str">
        <f>VLOOKUP(V147,名簿!A:L,12,FALSE)</f>
        <v>3F/事務所</v>
      </c>
    </row>
    <row r="148" spans="1:27">
      <c r="A148" s="301">
        <v>142</v>
      </c>
      <c r="B148" s="248">
        <v>45863</v>
      </c>
      <c r="F148" s="252" t="s">
        <v>315</v>
      </c>
      <c r="K148" s="265">
        <v>1</v>
      </c>
      <c r="P148" s="251">
        <v>5</v>
      </c>
      <c r="R148" s="108" t="s">
        <v>450</v>
      </c>
      <c r="S148" s="310"/>
      <c r="V148" s="243" t="s">
        <v>449</v>
      </c>
      <c r="W148" s="243" t="str">
        <f>VLOOKUP(V148,名簿!A:L,3,FALSE)</f>
        <v>研究開発部</v>
      </c>
      <c r="X148" s="243" t="str">
        <f>VLOOKUP(V148,名簿!A:L,4,FALSE)</f>
        <v>研究開発課</v>
      </c>
      <c r="Y148" s="243" t="str">
        <f>VLOOKUP(V148,名簿!A:L,5,FALSE)</f>
        <v>-</v>
      </c>
      <c r="Z148" s="243" t="str">
        <f>VLOOKUP(V148,名簿!A:L,11,FALSE)</f>
        <v>コスメラボラトリー</v>
      </c>
      <c r="AA148" s="243" t="str">
        <f>VLOOKUP(V148,名簿!A:L,12,FALSE)</f>
        <v>3F/事務所</v>
      </c>
    </row>
    <row r="149" spans="1:27">
      <c r="A149" s="301">
        <v>143</v>
      </c>
      <c r="B149" s="248">
        <v>45863</v>
      </c>
      <c r="F149" s="252" t="s">
        <v>315</v>
      </c>
      <c r="K149" s="265">
        <v>1</v>
      </c>
      <c r="P149" s="251">
        <v>4</v>
      </c>
      <c r="R149" s="108" t="s">
        <v>456</v>
      </c>
      <c r="S149" s="310"/>
      <c r="V149" s="243" t="s">
        <v>455</v>
      </c>
      <c r="W149" s="243" t="str">
        <f>VLOOKUP(V149,名簿!A:L,3,FALSE)</f>
        <v>研究開発部</v>
      </c>
      <c r="X149" s="243" t="str">
        <f>VLOOKUP(V149,名簿!A:L,4,FALSE)</f>
        <v>研究開発課</v>
      </c>
      <c r="Y149" s="243" t="str">
        <f>VLOOKUP(V149,名簿!A:L,5,FALSE)</f>
        <v>-</v>
      </c>
      <c r="Z149" s="243" t="str">
        <f>VLOOKUP(V149,名簿!A:L,11,FALSE)</f>
        <v>コスメラボラトリー</v>
      </c>
      <c r="AA149" s="243" t="str">
        <f>VLOOKUP(V149,名簿!A:L,12,FALSE)</f>
        <v>3F/試験室</v>
      </c>
    </row>
    <row r="150" spans="1:27">
      <c r="A150" s="301">
        <v>144</v>
      </c>
      <c r="B150" s="248">
        <v>45863</v>
      </c>
      <c r="F150" s="252" t="s">
        <v>315</v>
      </c>
      <c r="K150" s="265">
        <v>1</v>
      </c>
      <c r="P150" s="251">
        <v>5</v>
      </c>
      <c r="R150" s="108" t="s">
        <v>459</v>
      </c>
      <c r="S150" s="310"/>
      <c r="V150" s="243" t="s">
        <v>458</v>
      </c>
      <c r="W150" s="243" t="str">
        <f>VLOOKUP(V150,名簿!A:L,3,FALSE)</f>
        <v>研究開発部</v>
      </c>
      <c r="X150" s="243" t="str">
        <f>VLOOKUP(V150,名簿!A:L,4,FALSE)</f>
        <v>研究開発課</v>
      </c>
      <c r="Y150" s="243" t="str">
        <f>VLOOKUP(V150,名簿!A:L,5,FALSE)</f>
        <v>-</v>
      </c>
      <c r="Z150" s="243" t="str">
        <f>VLOOKUP(V150,名簿!A:L,11,FALSE)</f>
        <v>コスメラボラトリー</v>
      </c>
      <c r="AA150" s="243" t="str">
        <f>VLOOKUP(V150,名簿!A:L,12,FALSE)</f>
        <v>3F/事務所</v>
      </c>
    </row>
    <row r="151" spans="1:27" ht="34.200000000000003">
      <c r="A151" s="301">
        <v>145</v>
      </c>
      <c r="B151" s="248">
        <v>45863</v>
      </c>
      <c r="F151" s="252" t="s">
        <v>315</v>
      </c>
      <c r="K151" s="265">
        <v>1</v>
      </c>
      <c r="P151" s="251">
        <v>5</v>
      </c>
      <c r="R151" s="108" t="s">
        <v>2020</v>
      </c>
      <c r="S151" s="310"/>
      <c r="V151" s="243" t="s">
        <v>464</v>
      </c>
      <c r="W151" s="243" t="str">
        <f>VLOOKUP(V151,名簿!A:L,3,FALSE)</f>
        <v>EC事業部</v>
      </c>
      <c r="X151" s="243" t="str">
        <f>VLOOKUP(V151,名簿!A:L,4,FALSE)</f>
        <v>EC事業課</v>
      </c>
      <c r="Y151" s="243" t="str">
        <f>VLOOKUP(V151,名簿!A:L,5,FALSE)</f>
        <v>-</v>
      </c>
      <c r="Z151" s="243" t="str">
        <f>VLOOKUP(V151,名簿!A:L,11,FALSE)</f>
        <v>コスメラボラトリー</v>
      </c>
      <c r="AA151" s="243" t="str">
        <f>VLOOKUP(V151,名簿!A:L,12,FALSE)</f>
        <v>3F/事務所</v>
      </c>
    </row>
    <row r="152" spans="1:27" ht="22.8">
      <c r="A152" s="301">
        <v>146</v>
      </c>
      <c r="B152" s="248">
        <v>45863</v>
      </c>
      <c r="F152" s="252" t="s">
        <v>315</v>
      </c>
      <c r="K152" s="265">
        <v>1</v>
      </c>
      <c r="P152" s="251">
        <v>5</v>
      </c>
      <c r="R152" s="108" t="s">
        <v>1975</v>
      </c>
      <c r="S152" s="310"/>
      <c r="V152" s="243" t="s">
        <v>471</v>
      </c>
      <c r="W152" s="243" t="str">
        <f>VLOOKUP(V152,名簿!A:L,3,FALSE)</f>
        <v>技術製造部</v>
      </c>
      <c r="X152" s="243" t="str">
        <f>VLOOKUP(V152,名簿!A:L,4,FALSE)</f>
        <v>生産管理課</v>
      </c>
      <c r="Y152" s="243" t="str">
        <f>VLOOKUP(V152,名簿!A:L,5,FALSE)</f>
        <v>生産管理</v>
      </c>
      <c r="Z152" s="243" t="str">
        <f>VLOOKUP(V152,名簿!A:L,11,FALSE)</f>
        <v>本社</v>
      </c>
      <c r="AA152" s="243" t="str">
        <f>VLOOKUP(V152,名簿!A:L,12,FALSE)</f>
        <v>3F/シンク前</v>
      </c>
    </row>
    <row r="153" spans="1:27">
      <c r="A153" s="301">
        <v>147</v>
      </c>
      <c r="B153" s="248">
        <v>45863</v>
      </c>
      <c r="F153" s="252" t="s">
        <v>315</v>
      </c>
      <c r="K153" s="265">
        <v>1</v>
      </c>
      <c r="P153" s="251">
        <v>5</v>
      </c>
      <c r="R153" s="108" t="s">
        <v>479</v>
      </c>
      <c r="S153" s="310"/>
      <c r="V153" s="243" t="s">
        <v>478</v>
      </c>
      <c r="W153" s="243" t="str">
        <f>VLOOKUP(V153,名簿!A:L,3,FALSE)</f>
        <v>技術製造部</v>
      </c>
      <c r="X153" s="243" t="str">
        <f>VLOOKUP(V153,名簿!A:L,4,FALSE)</f>
        <v>生産管理課</v>
      </c>
      <c r="Y153" s="243" t="str">
        <f>VLOOKUP(V153,名簿!A:L,5,FALSE)</f>
        <v>物流</v>
      </c>
      <c r="Z153" s="243" t="str">
        <f>VLOOKUP(V153,名簿!A:L,11,FALSE)</f>
        <v>第一倉庫</v>
      </c>
      <c r="AA153" s="243" t="str">
        <f>VLOOKUP(V153,名簿!A:L,12,FALSE)</f>
        <v>1F/南西角</v>
      </c>
    </row>
    <row r="154" spans="1:27" ht="22.8">
      <c r="A154" s="301">
        <v>148</v>
      </c>
      <c r="B154" s="248">
        <v>45863</v>
      </c>
      <c r="F154" s="252" t="s">
        <v>315</v>
      </c>
      <c r="K154" s="265">
        <v>1</v>
      </c>
      <c r="P154" s="251">
        <v>5</v>
      </c>
      <c r="R154" s="108" t="s">
        <v>2021</v>
      </c>
      <c r="S154" s="310"/>
      <c r="V154" s="243" t="s">
        <v>483</v>
      </c>
      <c r="W154" s="243" t="str">
        <f>VLOOKUP(V154,名簿!A:L,3,FALSE)</f>
        <v>技術製造部</v>
      </c>
      <c r="X154" s="243" t="str">
        <f>VLOOKUP(V154,名簿!A:L,4,FALSE)</f>
        <v>生産管理課</v>
      </c>
      <c r="Y154" s="243" t="str">
        <f>VLOOKUP(V154,名簿!A:L,5,FALSE)</f>
        <v>生産管理</v>
      </c>
      <c r="Z154" s="243" t="str">
        <f>VLOOKUP(V154,名簿!A:L,11,FALSE)</f>
        <v>本社</v>
      </c>
      <c r="AA154" s="243" t="str">
        <f>VLOOKUP(V154,名簿!A:L,12,FALSE)</f>
        <v>3F/シンク前</v>
      </c>
    </row>
    <row r="155" spans="1:27" ht="22.8">
      <c r="A155" s="301">
        <v>149</v>
      </c>
      <c r="B155" s="248">
        <v>45863</v>
      </c>
      <c r="F155" s="252" t="s">
        <v>315</v>
      </c>
      <c r="K155" s="265">
        <v>1</v>
      </c>
      <c r="P155" s="251">
        <v>5</v>
      </c>
      <c r="R155" s="108" t="s">
        <v>490</v>
      </c>
      <c r="S155" s="310"/>
      <c r="V155" s="243" t="s">
        <v>489</v>
      </c>
      <c r="W155" s="243" t="str">
        <f>VLOOKUP(V155,名簿!A:L,3,FALSE)</f>
        <v>技術製造部</v>
      </c>
      <c r="X155" s="243" t="str">
        <f>VLOOKUP(V155,名簿!A:L,4,FALSE)</f>
        <v>生産管理課</v>
      </c>
      <c r="Y155" s="243" t="str">
        <f>VLOOKUP(V155,名簿!A:L,5,FALSE)</f>
        <v>生産管理事務</v>
      </c>
      <c r="Z155" s="243" t="str">
        <f>VLOOKUP(V155,名簿!A:L,11,FALSE)</f>
        <v>本社</v>
      </c>
      <c r="AA155" s="243" t="str">
        <f>VLOOKUP(V155,名簿!A:L,12,FALSE)</f>
        <v>3F/シンク前</v>
      </c>
    </row>
    <row r="156" spans="1:27" ht="68.400000000000006">
      <c r="A156" s="301">
        <v>150</v>
      </c>
      <c r="B156" s="248">
        <v>45863</v>
      </c>
      <c r="F156" s="252" t="s">
        <v>315</v>
      </c>
      <c r="K156" s="265">
        <v>1</v>
      </c>
      <c r="P156" s="251">
        <v>5</v>
      </c>
      <c r="R156" s="108" t="s">
        <v>496</v>
      </c>
      <c r="S156" s="310"/>
      <c r="V156" s="243" t="s">
        <v>1996</v>
      </c>
      <c r="W156" s="243" t="str">
        <f>VLOOKUP(V156,名簿!A:L,3,FALSE)</f>
        <v>技術製造部</v>
      </c>
      <c r="X156" s="243" t="str">
        <f>VLOOKUP(V156,名簿!A:L,4,FALSE)</f>
        <v>生産管理課</v>
      </c>
      <c r="Y156" s="243" t="str">
        <f>VLOOKUP(V156,名簿!A:L,5,FALSE)</f>
        <v>生産管理</v>
      </c>
      <c r="Z156" s="243" t="str">
        <f>VLOOKUP(V156,名簿!A:L,11,FALSE)</f>
        <v>本社</v>
      </c>
      <c r="AA156" s="243" t="str">
        <f>VLOOKUP(V156,名簿!A:L,12,FALSE)</f>
        <v>3F/シンク前</v>
      </c>
    </row>
    <row r="157" spans="1:27" ht="22.8">
      <c r="A157" s="301">
        <v>151</v>
      </c>
      <c r="B157" s="248">
        <v>45863</v>
      </c>
      <c r="F157" s="252" t="s">
        <v>315</v>
      </c>
      <c r="K157" s="265">
        <v>1</v>
      </c>
      <c r="P157" s="251">
        <v>5</v>
      </c>
      <c r="R157" s="108" t="s">
        <v>502</v>
      </c>
      <c r="S157" s="310"/>
      <c r="V157" s="243" t="s">
        <v>501</v>
      </c>
      <c r="W157" s="243" t="str">
        <f>VLOOKUP(V157,名簿!A:L,3,FALSE)</f>
        <v>技術製造部</v>
      </c>
      <c r="X157" s="243" t="str">
        <f>VLOOKUP(V157,名簿!A:L,4,FALSE)</f>
        <v>製造課</v>
      </c>
      <c r="Y157" s="243" t="str">
        <f>VLOOKUP(V157,名簿!A:L,5,FALSE)</f>
        <v>粉体</v>
      </c>
      <c r="Z157" s="243" t="str">
        <f>VLOOKUP(V157,名簿!A:L,11,FALSE)</f>
        <v>本社</v>
      </c>
      <c r="AA157" s="243" t="str">
        <f>VLOOKUP(V157,名簿!A:L,12,FALSE)</f>
        <v>3F/シンク前</v>
      </c>
    </row>
    <row r="158" spans="1:27">
      <c r="A158" s="301">
        <v>152</v>
      </c>
      <c r="B158" s="248">
        <v>45863</v>
      </c>
      <c r="F158" s="252" t="s">
        <v>315</v>
      </c>
      <c r="K158" s="265">
        <v>1</v>
      </c>
      <c r="P158" s="251">
        <v>1</v>
      </c>
      <c r="R158" s="108" t="s">
        <v>507</v>
      </c>
      <c r="S158" s="310"/>
      <c r="V158" s="243" t="s">
        <v>506</v>
      </c>
      <c r="W158" s="243" t="str">
        <f>VLOOKUP(V158,名簿!A:L,3,FALSE)</f>
        <v>技術製造部</v>
      </c>
      <c r="X158" s="243" t="str">
        <f>VLOOKUP(V158,名簿!A:L,4,FALSE)</f>
        <v>生産管理課</v>
      </c>
      <c r="Y158" s="243" t="str">
        <f>VLOOKUP(V158,名簿!A:L,5,FALSE)</f>
        <v>生産管理</v>
      </c>
      <c r="Z158" s="243" t="str">
        <f>VLOOKUP(V158,名簿!A:L,11,FALSE)</f>
        <v>本社</v>
      </c>
      <c r="AA158" s="243" t="str">
        <f>VLOOKUP(V158,名簿!A:L,12,FALSE)</f>
        <v>3F/シンク前</v>
      </c>
    </row>
    <row r="159" spans="1:27" ht="22.8">
      <c r="A159" s="301">
        <v>153</v>
      </c>
      <c r="B159" s="248">
        <v>45863</v>
      </c>
      <c r="F159" s="252" t="s">
        <v>315</v>
      </c>
      <c r="K159" s="265">
        <v>1</v>
      </c>
      <c r="P159" s="251">
        <v>4</v>
      </c>
      <c r="R159" s="108" t="s">
        <v>513</v>
      </c>
      <c r="S159" s="310"/>
      <c r="V159" s="243" t="s">
        <v>512</v>
      </c>
      <c r="W159" s="243" t="str">
        <f>VLOOKUP(V159,名簿!A:L,3,FALSE)</f>
        <v>技術製造部</v>
      </c>
      <c r="X159" s="243" t="str">
        <f>VLOOKUP(V159,名簿!A:L,4,FALSE)</f>
        <v>生産管理課</v>
      </c>
      <c r="Y159" s="243" t="str">
        <f>VLOOKUP(V159,名簿!A:L,5,FALSE)</f>
        <v>生産管理事務</v>
      </c>
      <c r="Z159" s="243" t="str">
        <f>VLOOKUP(V159,名簿!A:L,11,FALSE)</f>
        <v>本社</v>
      </c>
      <c r="AA159" s="243" t="str">
        <f>VLOOKUP(V159,名簿!A:L,12,FALSE)</f>
        <v>3F/シンク前</v>
      </c>
    </row>
    <row r="160" spans="1:27">
      <c r="A160" s="301">
        <v>154</v>
      </c>
      <c r="B160" s="248">
        <v>45863</v>
      </c>
      <c r="F160" s="252" t="s">
        <v>315</v>
      </c>
      <c r="K160" s="265">
        <v>1</v>
      </c>
      <c r="P160" s="251">
        <v>4</v>
      </c>
      <c r="R160" s="108" t="s">
        <v>520</v>
      </c>
      <c r="S160" s="310"/>
      <c r="V160" s="243" t="s">
        <v>519</v>
      </c>
      <c r="W160" s="243" t="str">
        <f>VLOOKUP(V160,名簿!A:L,3,FALSE)</f>
        <v>企画営業部</v>
      </c>
      <c r="X160" s="243" t="str">
        <f>VLOOKUP(V160,名簿!A:L,4,FALSE)</f>
        <v>企画課</v>
      </c>
      <c r="Y160" s="243" t="str">
        <f>VLOOKUP(V160,名簿!A:L,5,FALSE)</f>
        <v>-</v>
      </c>
      <c r="Z160" s="243" t="str">
        <f>VLOOKUP(V160,名簿!A:L,11,FALSE)</f>
        <v>本社</v>
      </c>
      <c r="AA160" s="243" t="str">
        <f>VLOOKUP(V160,名簿!A:L,12,FALSE)</f>
        <v>3F/シンク前</v>
      </c>
    </row>
    <row r="161" spans="1:27" ht="22.8">
      <c r="A161" s="301">
        <v>155</v>
      </c>
      <c r="B161" s="248">
        <v>45863</v>
      </c>
      <c r="F161" s="252" t="s">
        <v>315</v>
      </c>
      <c r="K161" s="265">
        <v>1</v>
      </c>
      <c r="P161" s="251">
        <v>4</v>
      </c>
      <c r="R161" s="108" t="s">
        <v>2022</v>
      </c>
      <c r="S161" s="310"/>
      <c r="V161" s="243" t="s">
        <v>524</v>
      </c>
      <c r="W161" s="243" t="str">
        <f>VLOOKUP(V161,名簿!A:L,3,FALSE)</f>
        <v>企画営業部</v>
      </c>
      <c r="X161" s="243" t="str">
        <f>VLOOKUP(V161,名簿!A:L,4,FALSE)</f>
        <v>企画課</v>
      </c>
      <c r="Y161" s="243" t="str">
        <f>VLOOKUP(V161,名簿!A:L,5,FALSE)</f>
        <v>-</v>
      </c>
      <c r="Z161" s="243" t="str">
        <f>VLOOKUP(V161,名簿!A:L,11,FALSE)</f>
        <v>本社</v>
      </c>
      <c r="AA161" s="243" t="str">
        <f>VLOOKUP(V161,名簿!A:L,12,FALSE)</f>
        <v>3F/シンク前</v>
      </c>
    </row>
    <row r="162" spans="1:27">
      <c r="A162" s="301">
        <v>156</v>
      </c>
      <c r="B162" s="248">
        <v>45863</v>
      </c>
      <c r="F162" s="252" t="s">
        <v>315</v>
      </c>
      <c r="K162" s="265">
        <v>1</v>
      </c>
      <c r="P162" s="251">
        <v>4</v>
      </c>
      <c r="R162" s="108" t="s">
        <v>531</v>
      </c>
      <c r="S162" s="310"/>
      <c r="V162" s="243" t="s">
        <v>530</v>
      </c>
      <c r="W162" s="243" t="str">
        <f>VLOOKUP(V162,名簿!A:L,3,FALSE)</f>
        <v>品質保証部</v>
      </c>
      <c r="X162" s="243" t="str">
        <f>VLOOKUP(V162,名簿!A:L,4,FALSE)</f>
        <v>品質管理課</v>
      </c>
      <c r="Y162" s="243" t="str">
        <f>VLOOKUP(V162,名簿!A:L,5,FALSE)</f>
        <v>-</v>
      </c>
      <c r="Z162" s="243" t="str">
        <f>VLOOKUP(V162,名簿!A:L,11,FALSE)</f>
        <v>本社</v>
      </c>
      <c r="AA162" s="243" t="str">
        <f>VLOOKUP(V162,名簿!A:L,12,FALSE)</f>
        <v>3F/シンク前</v>
      </c>
    </row>
    <row r="163" spans="1:27" ht="22.8">
      <c r="A163" s="301">
        <v>157</v>
      </c>
      <c r="B163" s="248">
        <v>45863</v>
      </c>
      <c r="F163" s="252" t="s">
        <v>315</v>
      </c>
      <c r="K163" s="265">
        <v>1</v>
      </c>
      <c r="P163" s="251">
        <v>4</v>
      </c>
      <c r="R163" s="108" t="s">
        <v>2023</v>
      </c>
      <c r="S163" s="310"/>
      <c r="V163" s="243" t="s">
        <v>535</v>
      </c>
      <c r="W163" s="243" t="str">
        <f>VLOOKUP(V163,名簿!A:L,3,FALSE)</f>
        <v>管理部</v>
      </c>
      <c r="X163" s="243" t="str">
        <f>VLOOKUP(V163,名簿!A:L,4,FALSE)</f>
        <v>管理課</v>
      </c>
      <c r="Y163" s="243" t="str">
        <f>VLOOKUP(V163,名簿!A:L,5,FALSE)</f>
        <v>-</v>
      </c>
      <c r="Z163" s="243" t="str">
        <f>VLOOKUP(V163,名簿!A:L,11,FALSE)</f>
        <v>本社</v>
      </c>
      <c r="AA163" s="243" t="str">
        <f>VLOOKUP(V163,名簿!A:L,12,FALSE)</f>
        <v>3F/シンク前</v>
      </c>
    </row>
    <row r="164" spans="1:27" ht="34.200000000000003">
      <c r="A164" s="301">
        <v>158</v>
      </c>
      <c r="B164" s="248">
        <v>45863</v>
      </c>
      <c r="F164" s="252" t="s">
        <v>315</v>
      </c>
      <c r="G164" s="252" t="s">
        <v>2172</v>
      </c>
      <c r="K164" s="265">
        <v>1</v>
      </c>
      <c r="P164" s="251">
        <v>5</v>
      </c>
      <c r="R164" s="108" t="s">
        <v>542</v>
      </c>
      <c r="S164" s="310" t="s">
        <v>2332</v>
      </c>
      <c r="T164" s="108" t="s">
        <v>2578</v>
      </c>
      <c r="V164" s="243" t="s">
        <v>541</v>
      </c>
      <c r="W164" s="243" t="str">
        <f>VLOOKUP(V164,名簿!A:L,3,FALSE)</f>
        <v>管理部</v>
      </c>
      <c r="X164" s="243" t="str">
        <f>VLOOKUP(V164,名簿!A:L,4,FALSE)</f>
        <v>管理課</v>
      </c>
      <c r="Y164" s="243" t="str">
        <f>VLOOKUP(V164,名簿!A:L,5,FALSE)</f>
        <v>-</v>
      </c>
      <c r="Z164" s="243" t="str">
        <f>VLOOKUP(V164,名簿!A:L,11,FALSE)</f>
        <v>本社</v>
      </c>
      <c r="AA164" s="243" t="str">
        <f>VLOOKUP(V164,名簿!A:L,12,FALSE)</f>
        <v>3F/シンク前</v>
      </c>
    </row>
    <row r="165" spans="1:27" ht="22.8">
      <c r="A165" s="301">
        <v>159</v>
      </c>
      <c r="B165" s="248">
        <v>45863</v>
      </c>
      <c r="F165" s="252" t="s">
        <v>315</v>
      </c>
      <c r="K165" s="265">
        <v>1</v>
      </c>
      <c r="P165" s="251">
        <v>4</v>
      </c>
      <c r="R165" s="108" t="s">
        <v>548</v>
      </c>
      <c r="S165" s="310"/>
      <c r="V165" s="243" t="s">
        <v>547</v>
      </c>
      <c r="W165" s="243" t="str">
        <f>VLOOKUP(V165,名簿!A:L,3,FALSE)</f>
        <v>管理部</v>
      </c>
      <c r="X165" s="243" t="str">
        <f>VLOOKUP(V165,名簿!A:L,4,FALSE)</f>
        <v>管理課</v>
      </c>
      <c r="Y165" s="243" t="str">
        <f>VLOOKUP(V165,名簿!A:L,5,FALSE)</f>
        <v>-</v>
      </c>
      <c r="Z165" s="243" t="str">
        <f>VLOOKUP(V165,名簿!A:L,11,FALSE)</f>
        <v>本社</v>
      </c>
      <c r="AA165" s="243" t="str">
        <f>VLOOKUP(V165,名簿!A:L,12,FALSE)</f>
        <v>3F/シンク前</v>
      </c>
    </row>
    <row r="166" spans="1:27">
      <c r="A166" s="301">
        <v>160</v>
      </c>
      <c r="B166" s="248">
        <v>45863</v>
      </c>
      <c r="F166" s="252" t="s">
        <v>315</v>
      </c>
      <c r="K166" s="265">
        <v>1</v>
      </c>
      <c r="P166" s="251">
        <v>1</v>
      </c>
      <c r="R166" s="108" t="s">
        <v>358</v>
      </c>
      <c r="S166" s="310"/>
      <c r="V166" s="243" t="s">
        <v>1261</v>
      </c>
      <c r="W166" s="243" t="str">
        <f>VLOOKUP(V166,名簿!A:L,3,FALSE)</f>
        <v>技術製造部</v>
      </c>
      <c r="X166" s="243" t="str">
        <f>VLOOKUP(V166,名簿!A:L,4,FALSE)</f>
        <v>生産管理課</v>
      </c>
      <c r="Y166" s="243" t="str">
        <f>VLOOKUP(V166,名簿!A:L,5,FALSE)</f>
        <v>物流</v>
      </c>
      <c r="Z166" s="243" t="str">
        <f>VLOOKUP(V166,名簿!A:L,11,FALSE)</f>
        <v>コスメファクトリー</v>
      </c>
      <c r="AA166" s="243" t="str">
        <f>VLOOKUP(V166,名簿!A:L,12,FALSE)</f>
        <v>1F/事務所</v>
      </c>
    </row>
    <row r="167" spans="1:27">
      <c r="A167" s="301">
        <v>161</v>
      </c>
      <c r="B167" s="248">
        <v>45863</v>
      </c>
      <c r="F167" s="252" t="s">
        <v>315</v>
      </c>
      <c r="K167" s="265">
        <v>1</v>
      </c>
      <c r="P167" s="251">
        <v>5</v>
      </c>
      <c r="R167" s="108" t="s">
        <v>556</v>
      </c>
      <c r="S167" s="310"/>
      <c r="V167" s="243" t="s">
        <v>555</v>
      </c>
      <c r="W167" s="243" t="str">
        <f>VLOOKUP(V167,名簿!A:L,3,FALSE)</f>
        <v>技術製造部</v>
      </c>
      <c r="X167" s="243" t="str">
        <f>VLOOKUP(V167,名簿!A:L,4,FALSE)</f>
        <v>製造課</v>
      </c>
      <c r="Y167" s="243" t="str">
        <f>VLOOKUP(V167,名簿!A:L,5,FALSE)</f>
        <v>液体</v>
      </c>
      <c r="Z167" s="243" t="str">
        <f>VLOOKUP(V167,名簿!A:L,11,FALSE)</f>
        <v>本社</v>
      </c>
      <c r="AA167" s="243" t="str">
        <f>VLOOKUP(V167,名簿!A:L,12,FALSE)</f>
        <v>3F/シンク前</v>
      </c>
    </row>
    <row r="168" spans="1:27">
      <c r="A168" s="301">
        <v>162</v>
      </c>
      <c r="B168" s="248">
        <v>45863</v>
      </c>
      <c r="F168" s="252" t="s">
        <v>315</v>
      </c>
      <c r="K168" s="265">
        <v>1</v>
      </c>
      <c r="P168" s="251">
        <v>5</v>
      </c>
      <c r="R168" s="108" t="s">
        <v>561</v>
      </c>
      <c r="S168" s="310"/>
      <c r="V168" s="243" t="s">
        <v>560</v>
      </c>
      <c r="W168" s="243" t="str">
        <f>VLOOKUP(V168,名簿!A:L,3,FALSE)</f>
        <v>技術製造部</v>
      </c>
      <c r="X168" s="243" t="str">
        <f>VLOOKUP(V168,名簿!A:L,4,FALSE)</f>
        <v>製造課</v>
      </c>
      <c r="Y168" s="243" t="str">
        <f>VLOOKUP(V168,名簿!A:L,5,FALSE)</f>
        <v>液体</v>
      </c>
      <c r="Z168" s="243" t="str">
        <f>VLOOKUP(V168,名簿!A:L,11,FALSE)</f>
        <v>本社</v>
      </c>
      <c r="AA168" s="243" t="str">
        <f>VLOOKUP(V168,名簿!A:L,12,FALSE)</f>
        <v>3F/シンク前</v>
      </c>
    </row>
    <row r="169" spans="1:27">
      <c r="A169" s="301">
        <v>163</v>
      </c>
      <c r="B169" s="248">
        <v>45863</v>
      </c>
      <c r="F169" s="252" t="s">
        <v>315</v>
      </c>
      <c r="K169" s="265">
        <v>1</v>
      </c>
      <c r="P169" s="251">
        <v>4</v>
      </c>
      <c r="R169" s="108" t="s">
        <v>567</v>
      </c>
      <c r="S169" s="310"/>
      <c r="V169" s="243" t="s">
        <v>566</v>
      </c>
      <c r="W169" s="243" t="str">
        <f>VLOOKUP(V169,名簿!A:L,3,FALSE)</f>
        <v>技術製造部</v>
      </c>
      <c r="X169" s="243" t="str">
        <f>VLOOKUP(V169,名簿!A:L,4,FALSE)</f>
        <v>生産管理課</v>
      </c>
      <c r="Y169" s="243" t="str">
        <f>VLOOKUP(V169,名簿!A:L,5,FALSE)</f>
        <v>物流</v>
      </c>
      <c r="Z169" s="243" t="str">
        <f>VLOOKUP(V169,名簿!A:L,11,FALSE)</f>
        <v>本社</v>
      </c>
      <c r="AA169" s="243" t="str">
        <f>VLOOKUP(V169,名簿!A:L,12,FALSE)</f>
        <v>3F/シンク前</v>
      </c>
    </row>
    <row r="170" spans="1:27" ht="91.2">
      <c r="A170" s="301">
        <v>164</v>
      </c>
      <c r="B170" s="248">
        <v>45863</v>
      </c>
      <c r="F170" s="252" t="s">
        <v>315</v>
      </c>
      <c r="K170" s="265">
        <v>1</v>
      </c>
      <c r="P170" s="251">
        <v>5</v>
      </c>
      <c r="R170" s="108" t="s">
        <v>2024</v>
      </c>
      <c r="S170" s="310"/>
      <c r="V170" s="243" t="s">
        <v>568</v>
      </c>
      <c r="W170" s="243" t="str">
        <f>VLOOKUP(V170,名簿!A:L,3,FALSE)</f>
        <v>品質保証部</v>
      </c>
      <c r="X170" s="243" t="str">
        <f>VLOOKUP(V170,名簿!A:L,4,FALSE)</f>
        <v>品質管理課</v>
      </c>
      <c r="Y170" s="243" t="str">
        <f>VLOOKUP(V170,名簿!A:L,5,FALSE)</f>
        <v>-</v>
      </c>
      <c r="Z170" s="243" t="str">
        <f>VLOOKUP(V170,名簿!A:L,11,FALSE)</f>
        <v>本社</v>
      </c>
      <c r="AA170" s="243" t="str">
        <f>VLOOKUP(V170,名簿!A:L,12,FALSE)</f>
        <v>3F/シンク前</v>
      </c>
    </row>
    <row r="171" spans="1:27">
      <c r="A171" s="301">
        <v>165</v>
      </c>
      <c r="B171" s="248">
        <v>45863</v>
      </c>
      <c r="F171" s="252" t="s">
        <v>315</v>
      </c>
      <c r="K171" s="265">
        <v>1</v>
      </c>
      <c r="P171" s="251">
        <v>1</v>
      </c>
      <c r="S171" s="310"/>
      <c r="V171" s="243" t="s">
        <v>575</v>
      </c>
      <c r="W171" s="243" t="str">
        <f>VLOOKUP(V171,名簿!A:L,3,FALSE)</f>
        <v>企画営業部</v>
      </c>
      <c r="X171" s="243" t="str">
        <f>VLOOKUP(V171,名簿!A:L,4,FALSE)</f>
        <v>-</v>
      </c>
      <c r="Y171" s="243" t="str">
        <f>VLOOKUP(V171,名簿!A:L,5,FALSE)</f>
        <v>-</v>
      </c>
      <c r="Z171" s="243" t="str">
        <f>VLOOKUP(V171,名簿!A:L,11,FALSE)</f>
        <v>東京営業所</v>
      </c>
      <c r="AA171" s="243" t="str">
        <f>VLOOKUP(V171,名簿!A:L,12,FALSE)</f>
        <v>-</v>
      </c>
    </row>
    <row r="172" spans="1:27">
      <c r="A172" s="301">
        <v>166</v>
      </c>
      <c r="B172" s="248">
        <v>45863</v>
      </c>
      <c r="F172" s="252" t="s">
        <v>315</v>
      </c>
      <c r="K172" s="265">
        <v>1</v>
      </c>
      <c r="P172" s="251">
        <v>1</v>
      </c>
      <c r="S172" s="310"/>
      <c r="V172" s="243" t="s">
        <v>576</v>
      </c>
      <c r="W172" s="243" t="str">
        <f>VLOOKUP(V172,名簿!A:L,3,FALSE)</f>
        <v>企画営業部</v>
      </c>
      <c r="X172" s="243" t="str">
        <f>VLOOKUP(V172,名簿!A:L,4,FALSE)</f>
        <v>営業課</v>
      </c>
      <c r="Y172" s="243" t="str">
        <f>VLOOKUP(V172,名簿!A:L,5,FALSE)</f>
        <v>-</v>
      </c>
      <c r="Z172" s="243" t="str">
        <f>VLOOKUP(V172,名簿!A:L,11,FALSE)</f>
        <v>東京営業所</v>
      </c>
      <c r="AA172" s="243" t="str">
        <f>VLOOKUP(V172,名簿!A:L,12,FALSE)</f>
        <v>-</v>
      </c>
    </row>
    <row r="173" spans="1:27">
      <c r="A173" s="301">
        <v>167</v>
      </c>
      <c r="B173" s="248">
        <v>45863</v>
      </c>
      <c r="F173" s="252" t="s">
        <v>315</v>
      </c>
      <c r="K173" s="265">
        <v>1</v>
      </c>
      <c r="P173" s="251">
        <v>1</v>
      </c>
      <c r="S173" s="310"/>
      <c r="V173" s="243" t="s">
        <v>579</v>
      </c>
      <c r="W173" s="243" t="str">
        <f>VLOOKUP(V173,名簿!A:L,3,FALSE)</f>
        <v>企画営業部</v>
      </c>
      <c r="X173" s="243" t="str">
        <f>VLOOKUP(V173,名簿!A:L,4,FALSE)</f>
        <v>営業課</v>
      </c>
      <c r="Y173" s="243" t="str">
        <f>VLOOKUP(V173,名簿!A:L,5,FALSE)</f>
        <v>-</v>
      </c>
      <c r="Z173" s="243" t="str">
        <f>VLOOKUP(V173,名簿!A:L,11,FALSE)</f>
        <v>東京営業所</v>
      </c>
      <c r="AA173" s="243" t="str">
        <f>VLOOKUP(V173,名簿!A:L,12,FALSE)</f>
        <v>-</v>
      </c>
    </row>
    <row r="174" spans="1:27">
      <c r="A174" s="301">
        <v>168</v>
      </c>
      <c r="B174" s="248">
        <v>45863</v>
      </c>
      <c r="F174" s="252" t="s">
        <v>315</v>
      </c>
      <c r="K174" s="265">
        <v>1</v>
      </c>
      <c r="P174" s="251">
        <v>1</v>
      </c>
      <c r="S174" s="310"/>
      <c r="V174" s="243" t="s">
        <v>581</v>
      </c>
      <c r="W174" s="243" t="str">
        <f>VLOOKUP(V174,名簿!A:L,3,FALSE)</f>
        <v>企画営業部</v>
      </c>
      <c r="X174" s="243" t="str">
        <f>VLOOKUP(V174,名簿!A:L,4,FALSE)</f>
        <v>営業課</v>
      </c>
      <c r="Y174" s="243" t="str">
        <f>VLOOKUP(V174,名簿!A:L,5,FALSE)</f>
        <v>-</v>
      </c>
      <c r="Z174" s="243" t="str">
        <f>VLOOKUP(V174,名簿!A:L,11,FALSE)</f>
        <v>東京営業所</v>
      </c>
      <c r="AA174" s="243" t="str">
        <f>VLOOKUP(V174,名簿!A:L,12,FALSE)</f>
        <v>-</v>
      </c>
    </row>
    <row r="175" spans="1:27">
      <c r="A175" s="301">
        <v>169</v>
      </c>
      <c r="B175" s="248">
        <v>45863</v>
      </c>
      <c r="F175" s="252" t="s">
        <v>318</v>
      </c>
      <c r="K175" s="265">
        <v>1</v>
      </c>
      <c r="P175" s="251">
        <v>1</v>
      </c>
      <c r="R175" s="108" t="s">
        <v>377</v>
      </c>
      <c r="S175" s="310"/>
      <c r="V175" s="243" t="s">
        <v>376</v>
      </c>
      <c r="W175" s="243" t="str">
        <f>VLOOKUP(V175,名簿!A:L,3,FALSE)</f>
        <v>研究開発部</v>
      </c>
      <c r="X175" s="243" t="str">
        <f>VLOOKUP(V175,名簿!A:L,4,FALSE)</f>
        <v>研究開発課</v>
      </c>
      <c r="Y175" s="243" t="str">
        <f>VLOOKUP(V175,名簿!A:L,5,FALSE)</f>
        <v>-</v>
      </c>
      <c r="Z175" s="243" t="str">
        <f>VLOOKUP(V175,名簿!A:L,11,FALSE)</f>
        <v>コスメラボラトリー</v>
      </c>
      <c r="AA175" s="243" t="str">
        <f>VLOOKUP(V175,名簿!A:L,12,FALSE)</f>
        <v>3F/事務所</v>
      </c>
    </row>
    <row r="176" spans="1:27">
      <c r="A176" s="301">
        <v>170</v>
      </c>
      <c r="B176" s="248">
        <v>45863</v>
      </c>
      <c r="F176" s="252" t="s">
        <v>318</v>
      </c>
      <c r="K176" s="265">
        <v>1</v>
      </c>
      <c r="P176" s="251">
        <v>5</v>
      </c>
      <c r="R176" s="108" t="s">
        <v>382</v>
      </c>
      <c r="S176" s="310"/>
      <c r="V176" s="243" t="s">
        <v>380</v>
      </c>
      <c r="W176" s="243" t="str">
        <f>VLOOKUP(V176,名簿!A:L,3,FALSE)</f>
        <v>研究開発部</v>
      </c>
      <c r="X176" s="243" t="str">
        <f>VLOOKUP(V176,名簿!A:L,4,FALSE)</f>
        <v>研究開発課</v>
      </c>
      <c r="Y176" s="243" t="str">
        <f>VLOOKUP(V176,名簿!A:L,5,FALSE)</f>
        <v>-</v>
      </c>
      <c r="Z176" s="243" t="str">
        <f>VLOOKUP(V176,名簿!A:L,11,FALSE)</f>
        <v>コスメラボラトリー</v>
      </c>
      <c r="AA176" s="243" t="str">
        <f>VLOOKUP(V176,名簿!A:L,12,FALSE)</f>
        <v>3F/事務所</v>
      </c>
    </row>
    <row r="177" spans="1:27">
      <c r="A177" s="301">
        <v>171</v>
      </c>
      <c r="B177" s="248">
        <v>45863</v>
      </c>
      <c r="F177" s="252" t="s">
        <v>318</v>
      </c>
      <c r="K177" s="265">
        <v>1</v>
      </c>
      <c r="P177" s="251">
        <v>5</v>
      </c>
      <c r="R177" s="108" t="s">
        <v>388</v>
      </c>
      <c r="S177" s="310"/>
      <c r="V177" s="243" t="s">
        <v>1463</v>
      </c>
      <c r="W177" s="243" t="str">
        <f>VLOOKUP(V177,名簿!A:L,3,FALSE)</f>
        <v>EC事業部</v>
      </c>
      <c r="X177" s="243" t="str">
        <f>VLOOKUP(V177,名簿!A:L,4,FALSE)</f>
        <v>EC事業課</v>
      </c>
      <c r="Y177" s="243" t="str">
        <f>VLOOKUP(V177,名簿!A:L,5,FALSE)</f>
        <v>-</v>
      </c>
      <c r="Z177" s="243" t="str">
        <f>VLOOKUP(V177,名簿!A:L,11,FALSE)</f>
        <v>コスメラボラトリー</v>
      </c>
      <c r="AA177" s="243" t="str">
        <f>VLOOKUP(V177,名簿!A:L,12,FALSE)</f>
        <v>3F/事務所</v>
      </c>
    </row>
    <row r="178" spans="1:27">
      <c r="A178" s="301">
        <v>172</v>
      </c>
      <c r="B178" s="248">
        <v>45863</v>
      </c>
      <c r="F178" s="252" t="s">
        <v>318</v>
      </c>
      <c r="K178" s="265">
        <v>1</v>
      </c>
      <c r="P178" s="251">
        <v>5</v>
      </c>
      <c r="R178" s="108" t="s">
        <v>394</v>
      </c>
      <c r="S178" s="310"/>
      <c r="V178" s="243" t="s">
        <v>392</v>
      </c>
      <c r="W178" s="243" t="str">
        <f>VLOOKUP(V178,名簿!A:L,3,FALSE)</f>
        <v>技術製造部</v>
      </c>
      <c r="X178" s="243" t="str">
        <f>VLOOKUP(V178,名簿!A:L,4,FALSE)</f>
        <v>製造課</v>
      </c>
      <c r="Y178" s="243" t="str">
        <f>VLOOKUP(V178,名簿!A:L,5,FALSE)</f>
        <v>充填包装</v>
      </c>
      <c r="Z178" s="243" t="str">
        <f>VLOOKUP(V178,名簿!A:L,11,FALSE)</f>
        <v>コスメラボラトリー</v>
      </c>
      <c r="AA178" s="243" t="str">
        <f>VLOOKUP(V178,名簿!A:L,12,FALSE)</f>
        <v>1F/作業場南</v>
      </c>
    </row>
    <row r="179" spans="1:27">
      <c r="A179" s="301">
        <v>173</v>
      </c>
      <c r="B179" s="248">
        <v>45863</v>
      </c>
      <c r="F179" s="252" t="s">
        <v>318</v>
      </c>
      <c r="K179" s="265">
        <v>1</v>
      </c>
      <c r="P179" s="251">
        <v>1</v>
      </c>
      <c r="R179" s="108" t="s">
        <v>358</v>
      </c>
      <c r="S179" s="310"/>
      <c r="V179" s="243" t="s">
        <v>395</v>
      </c>
      <c r="W179" s="243" t="str">
        <f>VLOOKUP(V179,名簿!A:L,3,FALSE)</f>
        <v>EC事業部</v>
      </c>
      <c r="X179" s="243" t="str">
        <f>VLOOKUP(V179,名簿!A:L,4,FALSE)</f>
        <v>EC事業課</v>
      </c>
      <c r="Y179" s="243" t="str">
        <f>VLOOKUP(V179,名簿!A:L,5,FALSE)</f>
        <v>-</v>
      </c>
      <c r="Z179" s="243" t="str">
        <f>VLOOKUP(V179,名簿!A:L,11,FALSE)</f>
        <v>コスメラボラトリー</v>
      </c>
      <c r="AA179" s="243" t="str">
        <f>VLOOKUP(V179,名簿!A:L,12,FALSE)</f>
        <v>3F/事務所</v>
      </c>
    </row>
    <row r="180" spans="1:27">
      <c r="A180" s="301">
        <v>174</v>
      </c>
      <c r="B180" s="248">
        <v>45863</v>
      </c>
      <c r="F180" s="252" t="s">
        <v>318</v>
      </c>
      <c r="K180" s="265">
        <v>1</v>
      </c>
      <c r="P180" s="251">
        <v>1</v>
      </c>
      <c r="R180" s="108" t="s">
        <v>398</v>
      </c>
      <c r="S180" s="310"/>
      <c r="V180" s="243" t="s">
        <v>396</v>
      </c>
      <c r="W180" s="243" t="str">
        <f>VLOOKUP(V180,名簿!A:L,3,FALSE)</f>
        <v>技術製造部</v>
      </c>
      <c r="X180" s="243" t="str">
        <f>VLOOKUP(V180,名簿!A:L,4,FALSE)</f>
        <v>製造課</v>
      </c>
      <c r="Y180" s="243" t="str">
        <f>VLOOKUP(V180,名簿!A:L,5,FALSE)</f>
        <v>充填包装</v>
      </c>
      <c r="Z180" s="243" t="str">
        <f>VLOOKUP(V180,名簿!A:L,11,FALSE)</f>
        <v>コスメファクトリー</v>
      </c>
      <c r="AA180" s="243" t="str">
        <f>VLOOKUP(V180,名簿!A:L,12,FALSE)</f>
        <v>2F/充填ライン北</v>
      </c>
    </row>
    <row r="181" spans="1:27">
      <c r="A181" s="301">
        <v>175</v>
      </c>
      <c r="B181" s="248">
        <v>45863</v>
      </c>
      <c r="F181" s="252" t="s">
        <v>318</v>
      </c>
      <c r="K181" s="265">
        <v>1</v>
      </c>
      <c r="P181" s="251">
        <v>1</v>
      </c>
      <c r="S181" s="310"/>
      <c r="V181" s="243" t="s">
        <v>400</v>
      </c>
      <c r="W181" s="243" t="str">
        <f>VLOOKUP(V181,名簿!A:L,3,FALSE)</f>
        <v>技術製造部</v>
      </c>
      <c r="X181" s="243" t="str">
        <f>VLOOKUP(V181,名簿!A:L,4,FALSE)</f>
        <v>製造課</v>
      </c>
      <c r="Y181" s="243" t="str">
        <f>VLOOKUP(V181,名簿!A:L,5,FALSE)</f>
        <v>充填包装</v>
      </c>
      <c r="Z181" s="243" t="str">
        <f>VLOOKUP(V181,名簿!A:L,11,FALSE)</f>
        <v>コスメファクトリー</v>
      </c>
      <c r="AA181" s="243" t="str">
        <f>VLOOKUP(V181,名簿!A:L,12,FALSE)</f>
        <v>2F/充填ライン北</v>
      </c>
    </row>
    <row r="182" spans="1:27" ht="22.8">
      <c r="A182" s="301">
        <v>176</v>
      </c>
      <c r="B182" s="248">
        <v>45863</v>
      </c>
      <c r="F182" s="252" t="s">
        <v>318</v>
      </c>
      <c r="K182" s="265">
        <v>1</v>
      </c>
      <c r="P182" s="251">
        <v>5</v>
      </c>
      <c r="R182" s="108" t="s">
        <v>405</v>
      </c>
      <c r="S182" s="310"/>
      <c r="V182" s="243" t="s">
        <v>403</v>
      </c>
      <c r="W182" s="243" t="str">
        <f>VLOOKUP(V182,名簿!A:L,3,FALSE)</f>
        <v>技術製造部</v>
      </c>
      <c r="X182" s="243" t="str">
        <f>VLOOKUP(V182,名簿!A:L,4,FALSE)</f>
        <v>製造課</v>
      </c>
      <c r="Y182" s="243" t="str">
        <f>VLOOKUP(V182,名簿!A:L,5,FALSE)</f>
        <v>充填包装</v>
      </c>
      <c r="Z182" s="243" t="str">
        <f>VLOOKUP(V182,名簿!A:L,11,FALSE)</f>
        <v>コスメファクトリー</v>
      </c>
      <c r="AA182" s="243" t="str">
        <f>VLOOKUP(V182,名簿!A:L,12,FALSE)</f>
        <v>2F/充填ライン南</v>
      </c>
    </row>
    <row r="183" spans="1:27">
      <c r="A183" s="301">
        <v>177</v>
      </c>
      <c r="B183" s="248">
        <v>45863</v>
      </c>
      <c r="F183" s="252" t="s">
        <v>318</v>
      </c>
      <c r="K183" s="265">
        <v>1</v>
      </c>
      <c r="P183" s="251">
        <v>5</v>
      </c>
      <c r="R183" s="108" t="s">
        <v>411</v>
      </c>
      <c r="S183" s="310"/>
      <c r="V183" s="243" t="s">
        <v>409</v>
      </c>
      <c r="W183" s="243" t="str">
        <f>VLOOKUP(V183,名簿!A:L,3,FALSE)</f>
        <v>技術製造部</v>
      </c>
      <c r="X183" s="243" t="str">
        <f>VLOOKUP(V183,名簿!A:L,4,FALSE)</f>
        <v>製造課</v>
      </c>
      <c r="Y183" s="243" t="str">
        <f>VLOOKUP(V183,名簿!A:L,5,FALSE)</f>
        <v>充填包装</v>
      </c>
      <c r="Z183" s="243" t="str">
        <f>VLOOKUP(V183,名簿!A:L,11,FALSE)</f>
        <v>コスメラボラトリー</v>
      </c>
      <c r="AA183" s="243" t="str">
        <f>VLOOKUP(V183,名簿!A:L,12,FALSE)</f>
        <v>2F/事務所</v>
      </c>
    </row>
    <row r="184" spans="1:27">
      <c r="A184" s="301">
        <v>178</v>
      </c>
      <c r="B184" s="248">
        <v>45863</v>
      </c>
      <c r="F184" s="252" t="s">
        <v>318</v>
      </c>
      <c r="K184" s="265">
        <v>1</v>
      </c>
      <c r="P184" s="251">
        <v>5</v>
      </c>
      <c r="R184" s="108" t="s">
        <v>416</v>
      </c>
      <c r="S184" s="310"/>
      <c r="V184" s="243" t="s">
        <v>1994</v>
      </c>
      <c r="W184" s="243" t="str">
        <f>VLOOKUP(V184,名簿!A:L,3,FALSE)</f>
        <v>技術製造部</v>
      </c>
      <c r="X184" s="243" t="str">
        <f>VLOOKUP(V184,名簿!A:L,4,FALSE)</f>
        <v>製造課</v>
      </c>
      <c r="Y184" s="243" t="str">
        <f>VLOOKUP(V184,名簿!A:L,5,FALSE)</f>
        <v>バルク・顆粒</v>
      </c>
      <c r="Z184" s="243" t="str">
        <f>VLOOKUP(V184,名簿!A:L,11,FALSE)</f>
        <v>コスメラボラトリー</v>
      </c>
      <c r="AA184" s="243" t="str">
        <f>VLOOKUP(V184,名簿!A:L,12,FALSE)</f>
        <v>2F/事務所</v>
      </c>
    </row>
    <row r="185" spans="1:27">
      <c r="A185" s="301">
        <v>179</v>
      </c>
      <c r="B185" s="248">
        <v>45863</v>
      </c>
      <c r="F185" s="252" t="s">
        <v>318</v>
      </c>
      <c r="K185" s="265">
        <v>1</v>
      </c>
      <c r="P185" s="251">
        <v>1</v>
      </c>
      <c r="R185" s="108" t="s">
        <v>422</v>
      </c>
      <c r="S185" s="310"/>
      <c r="V185" s="243" t="s">
        <v>420</v>
      </c>
      <c r="W185" s="243" t="str">
        <f>VLOOKUP(V185,名簿!A:L,3,FALSE)</f>
        <v>技術製造部</v>
      </c>
      <c r="X185" s="243" t="str">
        <f>VLOOKUP(V185,名簿!A:L,4,FALSE)</f>
        <v>製造課</v>
      </c>
      <c r="Y185" s="243" t="str">
        <f>VLOOKUP(V185,名簿!A:L,5,FALSE)</f>
        <v>粉体</v>
      </c>
      <c r="Z185" s="243" t="str">
        <f>VLOOKUP(V185,名簿!A:L,11,FALSE)</f>
        <v>コスメラボラトリー</v>
      </c>
      <c r="AA185" s="243" t="str">
        <f>VLOOKUP(V185,名簿!A:L,12,FALSE)</f>
        <v>2F/作業場南</v>
      </c>
    </row>
    <row r="186" spans="1:27">
      <c r="A186" s="301">
        <v>180</v>
      </c>
      <c r="B186" s="248">
        <v>45863</v>
      </c>
      <c r="F186" s="252" t="s">
        <v>318</v>
      </c>
      <c r="K186" s="265">
        <v>1</v>
      </c>
      <c r="P186" s="251">
        <v>1</v>
      </c>
      <c r="R186" s="108" t="s">
        <v>360</v>
      </c>
      <c r="S186" s="310"/>
      <c r="V186" s="243" t="s">
        <v>1201</v>
      </c>
      <c r="W186" s="243" t="str">
        <f>VLOOKUP(V186,名簿!A:L,3,FALSE)</f>
        <v>品質保証部</v>
      </c>
      <c r="X186" s="243" t="str">
        <f>VLOOKUP(V186,名簿!A:L,4,FALSE)</f>
        <v>品質管理課</v>
      </c>
      <c r="Y186" s="243" t="str">
        <f>VLOOKUP(V186,名簿!A:L,5,FALSE)</f>
        <v>-</v>
      </c>
      <c r="Z186" s="243" t="str">
        <f>VLOOKUP(V186,名簿!A:L,11,FALSE)</f>
        <v>コスメラボラトリー</v>
      </c>
      <c r="AA186" s="243" t="str">
        <f>VLOOKUP(V186,名簿!A:L,12,FALSE)</f>
        <v>3F/事務所</v>
      </c>
    </row>
    <row r="187" spans="1:27">
      <c r="A187" s="301">
        <v>181</v>
      </c>
      <c r="B187" s="248">
        <v>45863</v>
      </c>
      <c r="F187" s="252" t="s">
        <v>318</v>
      </c>
      <c r="K187" s="265">
        <v>1</v>
      </c>
      <c r="P187" s="251">
        <v>1</v>
      </c>
      <c r="R187" s="108" t="s">
        <v>358</v>
      </c>
      <c r="S187" s="310"/>
      <c r="V187" s="243" t="s">
        <v>427</v>
      </c>
      <c r="W187" s="243" t="str">
        <f>VLOOKUP(V187,名簿!A:L,3,FALSE)</f>
        <v>技術製造部</v>
      </c>
      <c r="X187" s="243" t="str">
        <f>VLOOKUP(V187,名簿!A:L,4,FALSE)</f>
        <v>製造課</v>
      </c>
      <c r="Y187" s="243" t="str">
        <f>VLOOKUP(V187,名簿!A:L,5,FALSE)</f>
        <v>バルク・顆粒</v>
      </c>
      <c r="Z187" s="243" t="str">
        <f>VLOOKUP(V187,名簿!A:L,11,FALSE)</f>
        <v>コスメファクトリー</v>
      </c>
      <c r="AA187" s="243" t="str">
        <f>VLOOKUP(V187,名簿!A:L,12,FALSE)</f>
        <v>1F/バルク室</v>
      </c>
    </row>
    <row r="188" spans="1:27">
      <c r="A188" s="301">
        <v>182</v>
      </c>
      <c r="B188" s="248">
        <v>45863</v>
      </c>
      <c r="F188" s="252" t="s">
        <v>318</v>
      </c>
      <c r="K188" s="265">
        <v>1</v>
      </c>
      <c r="P188" s="251">
        <v>1</v>
      </c>
      <c r="S188" s="310"/>
      <c r="V188" s="243" t="s">
        <v>430</v>
      </c>
      <c r="W188" s="243" t="str">
        <f>VLOOKUP(V188,名簿!A:L,3,FALSE)</f>
        <v>研究開発部</v>
      </c>
      <c r="X188" s="243" t="str">
        <f>VLOOKUP(V188,名簿!A:L,4,FALSE)</f>
        <v>研究開発課</v>
      </c>
      <c r="Y188" s="243" t="str">
        <f>VLOOKUP(V188,名簿!A:L,5,FALSE)</f>
        <v>-</v>
      </c>
      <c r="Z188" s="243" t="str">
        <f>VLOOKUP(V188,名簿!A:L,11,FALSE)</f>
        <v>コスメラボラトリー</v>
      </c>
      <c r="AA188" s="243" t="str">
        <f>VLOOKUP(V188,名簿!A:L,12,FALSE)</f>
        <v>3F/事務所</v>
      </c>
    </row>
    <row r="189" spans="1:27">
      <c r="A189" s="301">
        <v>183</v>
      </c>
      <c r="B189" s="248">
        <v>45863</v>
      </c>
      <c r="F189" s="252" t="s">
        <v>318</v>
      </c>
      <c r="K189" s="265">
        <v>1</v>
      </c>
      <c r="P189" s="251">
        <v>1</v>
      </c>
      <c r="R189" s="108" t="s">
        <v>358</v>
      </c>
      <c r="S189" s="310"/>
      <c r="V189" s="243" t="s">
        <v>434</v>
      </c>
      <c r="W189" s="243" t="str">
        <f>VLOOKUP(V189,名簿!A:L,3,FALSE)</f>
        <v>技術製造部</v>
      </c>
      <c r="X189" s="243" t="str">
        <f>VLOOKUP(V189,名簿!A:L,4,FALSE)</f>
        <v>製造課</v>
      </c>
      <c r="Y189" s="243" t="str">
        <f>VLOOKUP(V189,名簿!A:L,5,FALSE)</f>
        <v>バルク・顆粒</v>
      </c>
      <c r="Z189" s="243" t="str">
        <f>VLOOKUP(V189,名簿!A:L,11,FALSE)</f>
        <v>コスメファクトリー</v>
      </c>
      <c r="AA189" s="243" t="str">
        <f>VLOOKUP(V189,名簿!A:L,12,FALSE)</f>
        <v>1F/バルク室</v>
      </c>
    </row>
    <row r="190" spans="1:27">
      <c r="A190" s="301">
        <v>184</v>
      </c>
      <c r="B190" s="248">
        <v>45863</v>
      </c>
      <c r="F190" s="252" t="s">
        <v>318</v>
      </c>
      <c r="K190" s="265">
        <v>1</v>
      </c>
      <c r="P190" s="251">
        <v>5</v>
      </c>
      <c r="R190" s="108" t="s">
        <v>437</v>
      </c>
      <c r="S190" s="310"/>
      <c r="V190" s="243" t="s">
        <v>435</v>
      </c>
      <c r="W190" s="243" t="str">
        <f>VLOOKUP(V190,名簿!A:L,3,FALSE)</f>
        <v>技術製造部</v>
      </c>
      <c r="X190" s="243" t="str">
        <f>VLOOKUP(V190,名簿!A:L,4,FALSE)</f>
        <v>製造課</v>
      </c>
      <c r="Y190" s="243" t="str">
        <f>VLOOKUP(V190,名簿!A:L,5,FALSE)</f>
        <v>バルク・顆粒</v>
      </c>
      <c r="Z190" s="243" t="str">
        <f>VLOOKUP(V190,名簿!A:L,11,FALSE)</f>
        <v>コスメファクトリー</v>
      </c>
      <c r="AA190" s="243" t="str">
        <f>VLOOKUP(V190,名簿!A:L,12,FALSE)</f>
        <v>1F/バルク室</v>
      </c>
    </row>
    <row r="191" spans="1:27">
      <c r="A191" s="301">
        <v>185</v>
      </c>
      <c r="B191" s="248">
        <v>45863</v>
      </c>
      <c r="F191" s="252" t="s">
        <v>318</v>
      </c>
      <c r="K191" s="265">
        <v>1</v>
      </c>
      <c r="P191" s="251">
        <v>1</v>
      </c>
      <c r="S191" s="310"/>
      <c r="V191" s="243" t="s">
        <v>440</v>
      </c>
      <c r="W191" s="243" t="str">
        <f>VLOOKUP(V191,名簿!A:L,3,FALSE)</f>
        <v>品質保証部</v>
      </c>
      <c r="X191" s="243" t="str">
        <f>VLOOKUP(V191,名簿!A:L,4,FALSE)</f>
        <v>品質管理課</v>
      </c>
      <c r="Y191" s="243" t="str">
        <f>VLOOKUP(V191,名簿!A:L,5,FALSE)</f>
        <v>-</v>
      </c>
      <c r="Z191" s="243" t="str">
        <f>VLOOKUP(V191,名簿!A:L,11,FALSE)</f>
        <v>コスメラボラトリー</v>
      </c>
      <c r="AA191" s="243" t="str">
        <f>VLOOKUP(V191,名簿!A:L,12,FALSE)</f>
        <v>3F/事務所</v>
      </c>
    </row>
    <row r="192" spans="1:27">
      <c r="A192" s="301">
        <v>186</v>
      </c>
      <c r="B192" s="248">
        <v>45863</v>
      </c>
      <c r="F192" s="252" t="s">
        <v>318</v>
      </c>
      <c r="K192" s="265">
        <v>1</v>
      </c>
      <c r="P192" s="251">
        <v>5</v>
      </c>
      <c r="R192" s="108" t="s">
        <v>445</v>
      </c>
      <c r="S192" s="310"/>
      <c r="V192" s="243" t="s">
        <v>443</v>
      </c>
      <c r="W192" s="243" t="str">
        <f>VLOOKUP(V192,名簿!A:L,3,FALSE)</f>
        <v>研究開発部</v>
      </c>
      <c r="X192" s="243" t="str">
        <f>VLOOKUP(V192,名簿!A:L,4,FALSE)</f>
        <v>研究開発課</v>
      </c>
      <c r="Y192" s="243" t="str">
        <f>VLOOKUP(V192,名簿!A:L,5,FALSE)</f>
        <v>-</v>
      </c>
      <c r="Z192" s="243" t="str">
        <f>VLOOKUP(V192,名簿!A:L,11,FALSE)</f>
        <v>コスメラボラトリー</v>
      </c>
      <c r="AA192" s="243" t="str">
        <f>VLOOKUP(V192,名簿!A:L,12,FALSE)</f>
        <v>3F/事務所</v>
      </c>
    </row>
    <row r="193" spans="1:27">
      <c r="A193" s="301">
        <v>187</v>
      </c>
      <c r="B193" s="248">
        <v>45863</v>
      </c>
      <c r="F193" s="252" t="s">
        <v>318</v>
      </c>
      <c r="K193" s="265">
        <v>1</v>
      </c>
      <c r="P193" s="251">
        <v>5</v>
      </c>
      <c r="R193" s="108" t="s">
        <v>451</v>
      </c>
      <c r="S193" s="310"/>
      <c r="V193" s="243" t="s">
        <v>449</v>
      </c>
      <c r="W193" s="243" t="str">
        <f>VLOOKUP(V193,名簿!A:L,3,FALSE)</f>
        <v>研究開発部</v>
      </c>
      <c r="X193" s="243" t="str">
        <f>VLOOKUP(V193,名簿!A:L,4,FALSE)</f>
        <v>研究開発課</v>
      </c>
      <c r="Y193" s="243" t="str">
        <f>VLOOKUP(V193,名簿!A:L,5,FALSE)</f>
        <v>-</v>
      </c>
      <c r="Z193" s="243" t="str">
        <f>VLOOKUP(V193,名簿!A:L,11,FALSE)</f>
        <v>コスメラボラトリー</v>
      </c>
      <c r="AA193" s="243" t="str">
        <f>VLOOKUP(V193,名簿!A:L,12,FALSE)</f>
        <v>3F/事務所</v>
      </c>
    </row>
    <row r="194" spans="1:27">
      <c r="A194" s="301">
        <v>188</v>
      </c>
      <c r="B194" s="248">
        <v>45863</v>
      </c>
      <c r="F194" s="252" t="s">
        <v>318</v>
      </c>
      <c r="G194" s="252" t="s">
        <v>2247</v>
      </c>
      <c r="K194" s="265">
        <v>1</v>
      </c>
      <c r="M194" s="265">
        <v>1</v>
      </c>
      <c r="P194" s="251">
        <v>5</v>
      </c>
      <c r="R194" s="108" t="s">
        <v>457</v>
      </c>
      <c r="S194" s="310"/>
      <c r="V194" s="243" t="s">
        <v>455</v>
      </c>
      <c r="W194" s="243" t="str">
        <f>VLOOKUP(V194,名簿!A:L,3,FALSE)</f>
        <v>研究開発部</v>
      </c>
      <c r="X194" s="243" t="str">
        <f>VLOOKUP(V194,名簿!A:L,4,FALSE)</f>
        <v>研究開発課</v>
      </c>
      <c r="Y194" s="243" t="str">
        <f>VLOOKUP(V194,名簿!A:L,5,FALSE)</f>
        <v>-</v>
      </c>
      <c r="Z194" s="243" t="str">
        <f>VLOOKUP(V194,名簿!A:L,11,FALSE)</f>
        <v>コスメラボラトリー</v>
      </c>
      <c r="AA194" s="243" t="str">
        <f>VLOOKUP(V194,名簿!A:L,12,FALSE)</f>
        <v>3F/試験室</v>
      </c>
    </row>
    <row r="195" spans="1:27">
      <c r="A195" s="301">
        <v>189</v>
      </c>
      <c r="B195" s="248">
        <v>45863</v>
      </c>
      <c r="F195" s="252" t="s">
        <v>318</v>
      </c>
      <c r="K195" s="265">
        <v>1</v>
      </c>
      <c r="P195" s="251">
        <v>5</v>
      </c>
      <c r="R195" s="108" t="s">
        <v>460</v>
      </c>
      <c r="S195" s="310"/>
      <c r="V195" s="243" t="s">
        <v>458</v>
      </c>
      <c r="W195" s="243" t="str">
        <f>VLOOKUP(V195,名簿!A:L,3,FALSE)</f>
        <v>研究開発部</v>
      </c>
      <c r="X195" s="243" t="str">
        <f>VLOOKUP(V195,名簿!A:L,4,FALSE)</f>
        <v>研究開発課</v>
      </c>
      <c r="Y195" s="243" t="str">
        <f>VLOOKUP(V195,名簿!A:L,5,FALSE)</f>
        <v>-</v>
      </c>
      <c r="Z195" s="243" t="str">
        <f>VLOOKUP(V195,名簿!A:L,11,FALSE)</f>
        <v>コスメラボラトリー</v>
      </c>
      <c r="AA195" s="243" t="str">
        <f>VLOOKUP(V195,名簿!A:L,12,FALSE)</f>
        <v>3F/事務所</v>
      </c>
    </row>
    <row r="196" spans="1:27" ht="34.200000000000003">
      <c r="A196" s="301">
        <v>190</v>
      </c>
      <c r="B196" s="248">
        <v>45863</v>
      </c>
      <c r="F196" s="252" t="s">
        <v>318</v>
      </c>
      <c r="K196" s="265">
        <v>1</v>
      </c>
      <c r="P196" s="251">
        <v>5</v>
      </c>
      <c r="R196" s="108" t="s">
        <v>2025</v>
      </c>
      <c r="S196" s="310"/>
      <c r="V196" s="243" t="s">
        <v>464</v>
      </c>
      <c r="W196" s="243" t="str">
        <f>VLOOKUP(V196,名簿!A:L,3,FALSE)</f>
        <v>EC事業部</v>
      </c>
      <c r="X196" s="243" t="str">
        <f>VLOOKUP(V196,名簿!A:L,4,FALSE)</f>
        <v>EC事業課</v>
      </c>
      <c r="Y196" s="243" t="str">
        <f>VLOOKUP(V196,名簿!A:L,5,FALSE)</f>
        <v>-</v>
      </c>
      <c r="Z196" s="243" t="str">
        <f>VLOOKUP(V196,名簿!A:L,11,FALSE)</f>
        <v>コスメラボラトリー</v>
      </c>
      <c r="AA196" s="243" t="str">
        <f>VLOOKUP(V196,名簿!A:L,12,FALSE)</f>
        <v>3F/事務所</v>
      </c>
    </row>
    <row r="197" spans="1:27" ht="45.6">
      <c r="A197" s="301">
        <v>191</v>
      </c>
      <c r="B197" s="248">
        <v>45863</v>
      </c>
      <c r="F197" s="252" t="s">
        <v>318</v>
      </c>
      <c r="K197" s="265">
        <v>1</v>
      </c>
      <c r="P197" s="251">
        <v>5</v>
      </c>
      <c r="R197" s="108" t="s">
        <v>2026</v>
      </c>
      <c r="S197" s="310"/>
      <c r="V197" s="243" t="s">
        <v>471</v>
      </c>
      <c r="W197" s="243" t="str">
        <f>VLOOKUP(V197,名簿!A:L,3,FALSE)</f>
        <v>技術製造部</v>
      </c>
      <c r="X197" s="243" t="str">
        <f>VLOOKUP(V197,名簿!A:L,4,FALSE)</f>
        <v>生産管理課</v>
      </c>
      <c r="Y197" s="243" t="str">
        <f>VLOOKUP(V197,名簿!A:L,5,FALSE)</f>
        <v>生産管理</v>
      </c>
      <c r="Z197" s="243" t="str">
        <f>VLOOKUP(V197,名簿!A:L,11,FALSE)</f>
        <v>本社</v>
      </c>
      <c r="AA197" s="243" t="str">
        <f>VLOOKUP(V197,名簿!A:L,12,FALSE)</f>
        <v>3F/シンク前</v>
      </c>
    </row>
    <row r="198" spans="1:27" ht="22.8">
      <c r="A198" s="301">
        <v>192</v>
      </c>
      <c r="B198" s="248">
        <v>45863</v>
      </c>
      <c r="F198" s="252" t="s">
        <v>318</v>
      </c>
      <c r="K198" s="265">
        <v>1</v>
      </c>
      <c r="P198" s="251">
        <v>5</v>
      </c>
      <c r="R198" s="108" t="s">
        <v>480</v>
      </c>
      <c r="S198" s="310"/>
      <c r="V198" s="243" t="s">
        <v>478</v>
      </c>
      <c r="W198" s="243" t="str">
        <f>VLOOKUP(V198,名簿!A:L,3,FALSE)</f>
        <v>技術製造部</v>
      </c>
      <c r="X198" s="243" t="str">
        <f>VLOOKUP(V198,名簿!A:L,4,FALSE)</f>
        <v>生産管理課</v>
      </c>
      <c r="Y198" s="243" t="str">
        <f>VLOOKUP(V198,名簿!A:L,5,FALSE)</f>
        <v>物流</v>
      </c>
      <c r="Z198" s="243" t="str">
        <f>VLOOKUP(V198,名簿!A:L,11,FALSE)</f>
        <v>第一倉庫</v>
      </c>
      <c r="AA198" s="243" t="str">
        <f>VLOOKUP(V198,名簿!A:L,12,FALSE)</f>
        <v>1F/南西角</v>
      </c>
    </row>
    <row r="199" spans="1:27" ht="34.200000000000003">
      <c r="A199" s="301">
        <v>193</v>
      </c>
      <c r="B199" s="248">
        <v>45863</v>
      </c>
      <c r="F199" s="252" t="s">
        <v>318</v>
      </c>
      <c r="K199" s="265">
        <v>1</v>
      </c>
      <c r="P199" s="251">
        <v>5</v>
      </c>
      <c r="R199" s="108" t="s">
        <v>2027</v>
      </c>
      <c r="S199" s="310"/>
      <c r="V199" s="243" t="s">
        <v>483</v>
      </c>
      <c r="W199" s="243" t="str">
        <f>VLOOKUP(V199,名簿!A:L,3,FALSE)</f>
        <v>技術製造部</v>
      </c>
      <c r="X199" s="243" t="str">
        <f>VLOOKUP(V199,名簿!A:L,4,FALSE)</f>
        <v>生産管理課</v>
      </c>
      <c r="Y199" s="243" t="str">
        <f>VLOOKUP(V199,名簿!A:L,5,FALSE)</f>
        <v>生産管理</v>
      </c>
      <c r="Z199" s="243" t="str">
        <f>VLOOKUP(V199,名簿!A:L,11,FALSE)</f>
        <v>本社</v>
      </c>
      <c r="AA199" s="243" t="str">
        <f>VLOOKUP(V199,名簿!A:L,12,FALSE)</f>
        <v>3F/シンク前</v>
      </c>
    </row>
    <row r="200" spans="1:27" ht="22.8">
      <c r="A200" s="301">
        <v>194</v>
      </c>
      <c r="B200" s="248">
        <v>45863</v>
      </c>
      <c r="F200" s="252" t="s">
        <v>318</v>
      </c>
      <c r="K200" s="265">
        <v>1</v>
      </c>
      <c r="P200" s="251">
        <v>5</v>
      </c>
      <c r="R200" s="108" t="s">
        <v>491</v>
      </c>
      <c r="S200" s="310"/>
      <c r="V200" s="243" t="s">
        <v>489</v>
      </c>
      <c r="W200" s="243" t="str">
        <f>VLOOKUP(V200,名簿!A:L,3,FALSE)</f>
        <v>技術製造部</v>
      </c>
      <c r="X200" s="243" t="str">
        <f>VLOOKUP(V200,名簿!A:L,4,FALSE)</f>
        <v>生産管理課</v>
      </c>
      <c r="Y200" s="243" t="str">
        <f>VLOOKUP(V200,名簿!A:L,5,FALSE)</f>
        <v>生産管理事務</v>
      </c>
      <c r="Z200" s="243" t="str">
        <f>VLOOKUP(V200,名簿!A:L,11,FALSE)</f>
        <v>本社</v>
      </c>
      <c r="AA200" s="243" t="str">
        <f>VLOOKUP(V200,名簿!A:L,12,FALSE)</f>
        <v>3F/シンク前</v>
      </c>
    </row>
    <row r="201" spans="1:27" ht="102.6">
      <c r="A201" s="301">
        <v>195</v>
      </c>
      <c r="B201" s="248">
        <v>45863</v>
      </c>
      <c r="F201" s="252" t="s">
        <v>318</v>
      </c>
      <c r="K201" s="265">
        <v>1</v>
      </c>
      <c r="P201" s="251">
        <v>5</v>
      </c>
      <c r="R201" s="108" t="s">
        <v>497</v>
      </c>
      <c r="S201" s="310"/>
      <c r="V201" s="243" t="s">
        <v>495</v>
      </c>
      <c r="W201" s="243" t="str">
        <f>VLOOKUP(V201,名簿!A:L,3,FALSE)</f>
        <v>技術製造部</v>
      </c>
      <c r="X201" s="243" t="str">
        <f>VLOOKUP(V201,名簿!A:L,4,FALSE)</f>
        <v>生産管理課</v>
      </c>
      <c r="Y201" s="243" t="str">
        <f>VLOOKUP(V201,名簿!A:L,5,FALSE)</f>
        <v>生産管理</v>
      </c>
      <c r="Z201" s="243" t="str">
        <f>VLOOKUP(V201,名簿!A:L,11,FALSE)</f>
        <v>本社</v>
      </c>
      <c r="AA201" s="243" t="str">
        <f>VLOOKUP(V201,名簿!A:L,12,FALSE)</f>
        <v>3F/シンク前</v>
      </c>
    </row>
    <row r="202" spans="1:27" ht="22.8">
      <c r="A202" s="301">
        <v>196</v>
      </c>
      <c r="B202" s="248">
        <v>45863</v>
      </c>
      <c r="F202" s="252" t="s">
        <v>318</v>
      </c>
      <c r="K202" s="265">
        <v>1</v>
      </c>
      <c r="P202" s="251">
        <v>5</v>
      </c>
      <c r="R202" s="108" t="s">
        <v>2028</v>
      </c>
      <c r="S202" s="310"/>
      <c r="V202" s="243" t="s">
        <v>501</v>
      </c>
      <c r="W202" s="243" t="str">
        <f>VLOOKUP(V202,名簿!A:L,3,FALSE)</f>
        <v>技術製造部</v>
      </c>
      <c r="X202" s="243" t="str">
        <f>VLOOKUP(V202,名簿!A:L,4,FALSE)</f>
        <v>製造課</v>
      </c>
      <c r="Y202" s="243" t="str">
        <f>VLOOKUP(V202,名簿!A:L,5,FALSE)</f>
        <v>粉体</v>
      </c>
      <c r="Z202" s="243" t="str">
        <f>VLOOKUP(V202,名簿!A:L,11,FALSE)</f>
        <v>本社</v>
      </c>
      <c r="AA202" s="243" t="str">
        <f>VLOOKUP(V202,名簿!A:L,12,FALSE)</f>
        <v>3F/シンク前</v>
      </c>
    </row>
    <row r="203" spans="1:27">
      <c r="A203" s="301">
        <v>197</v>
      </c>
      <c r="B203" s="248">
        <v>45863</v>
      </c>
      <c r="F203" s="252" t="s">
        <v>318</v>
      </c>
      <c r="K203" s="265">
        <v>1</v>
      </c>
      <c r="P203" s="251">
        <v>5</v>
      </c>
      <c r="R203" s="108" t="s">
        <v>508</v>
      </c>
      <c r="S203" s="310"/>
      <c r="V203" s="243" t="s">
        <v>506</v>
      </c>
      <c r="W203" s="243" t="str">
        <f>VLOOKUP(V203,名簿!A:L,3,FALSE)</f>
        <v>技術製造部</v>
      </c>
      <c r="X203" s="243" t="str">
        <f>VLOOKUP(V203,名簿!A:L,4,FALSE)</f>
        <v>生産管理課</v>
      </c>
      <c r="Y203" s="243" t="str">
        <f>VLOOKUP(V203,名簿!A:L,5,FALSE)</f>
        <v>生産管理</v>
      </c>
      <c r="Z203" s="243" t="str">
        <f>VLOOKUP(V203,名簿!A:L,11,FALSE)</f>
        <v>本社</v>
      </c>
      <c r="AA203" s="243" t="str">
        <f>VLOOKUP(V203,名簿!A:L,12,FALSE)</f>
        <v>3F/シンク前</v>
      </c>
    </row>
    <row r="204" spans="1:27">
      <c r="A204" s="301">
        <v>198</v>
      </c>
      <c r="B204" s="248">
        <v>45863</v>
      </c>
      <c r="F204" s="252" t="s">
        <v>318</v>
      </c>
      <c r="K204" s="265">
        <v>1</v>
      </c>
      <c r="P204" s="251">
        <v>5</v>
      </c>
      <c r="R204" s="108" t="s">
        <v>514</v>
      </c>
      <c r="S204" s="310"/>
      <c r="V204" s="243" t="s">
        <v>512</v>
      </c>
      <c r="W204" s="243" t="str">
        <f>VLOOKUP(V204,名簿!A:L,3,FALSE)</f>
        <v>技術製造部</v>
      </c>
      <c r="X204" s="243" t="str">
        <f>VLOOKUP(V204,名簿!A:L,4,FALSE)</f>
        <v>生産管理課</v>
      </c>
      <c r="Y204" s="243" t="str">
        <f>VLOOKUP(V204,名簿!A:L,5,FALSE)</f>
        <v>生産管理事務</v>
      </c>
      <c r="Z204" s="243" t="str">
        <f>VLOOKUP(V204,名簿!A:L,11,FALSE)</f>
        <v>本社</v>
      </c>
      <c r="AA204" s="243" t="str">
        <f>VLOOKUP(V204,名簿!A:L,12,FALSE)</f>
        <v>3F/シンク前</v>
      </c>
    </row>
    <row r="205" spans="1:27">
      <c r="A205" s="301">
        <v>199</v>
      </c>
      <c r="B205" s="248">
        <v>45863</v>
      </c>
      <c r="F205" s="252" t="s">
        <v>318</v>
      </c>
      <c r="K205" s="265">
        <v>1</v>
      </c>
      <c r="P205" s="251">
        <v>5</v>
      </c>
      <c r="R205" s="108" t="s">
        <v>388</v>
      </c>
      <c r="S205" s="310"/>
      <c r="V205" s="243" t="s">
        <v>519</v>
      </c>
      <c r="W205" s="243" t="str">
        <f>VLOOKUP(V205,名簿!A:L,3,FALSE)</f>
        <v>企画営業部</v>
      </c>
      <c r="X205" s="243" t="str">
        <f>VLOOKUP(V205,名簿!A:L,4,FALSE)</f>
        <v>企画課</v>
      </c>
      <c r="Y205" s="243" t="str">
        <f>VLOOKUP(V205,名簿!A:L,5,FALSE)</f>
        <v>-</v>
      </c>
      <c r="Z205" s="243" t="str">
        <f>VLOOKUP(V205,名簿!A:L,11,FALSE)</f>
        <v>本社</v>
      </c>
      <c r="AA205" s="243" t="str">
        <f>VLOOKUP(V205,名簿!A:L,12,FALSE)</f>
        <v>3F/シンク前</v>
      </c>
    </row>
    <row r="206" spans="1:27">
      <c r="A206" s="301">
        <v>200</v>
      </c>
      <c r="B206" s="248">
        <v>45863</v>
      </c>
      <c r="F206" s="252" t="s">
        <v>318</v>
      </c>
      <c r="K206" s="265">
        <v>1</v>
      </c>
      <c r="P206" s="251">
        <v>5</v>
      </c>
      <c r="R206" s="108" t="s">
        <v>526</v>
      </c>
      <c r="S206" s="310"/>
      <c r="V206" s="243" t="s">
        <v>524</v>
      </c>
      <c r="W206" s="243" t="str">
        <f>VLOOKUP(V206,名簿!A:L,3,FALSE)</f>
        <v>企画営業部</v>
      </c>
      <c r="X206" s="243" t="str">
        <f>VLOOKUP(V206,名簿!A:L,4,FALSE)</f>
        <v>企画課</v>
      </c>
      <c r="Y206" s="243" t="str">
        <f>VLOOKUP(V206,名簿!A:L,5,FALSE)</f>
        <v>-</v>
      </c>
      <c r="Z206" s="243" t="str">
        <f>VLOOKUP(V206,名簿!A:L,11,FALSE)</f>
        <v>本社</v>
      </c>
      <c r="AA206" s="243" t="str">
        <f>VLOOKUP(V206,名簿!A:L,12,FALSE)</f>
        <v>3F/シンク前</v>
      </c>
    </row>
    <row r="207" spans="1:27">
      <c r="A207" s="301">
        <v>201</v>
      </c>
      <c r="B207" s="248">
        <v>45863</v>
      </c>
      <c r="F207" s="252" t="s">
        <v>318</v>
      </c>
      <c r="K207" s="265">
        <v>1</v>
      </c>
      <c r="P207" s="251">
        <v>4</v>
      </c>
      <c r="R207" s="108" t="s">
        <v>532</v>
      </c>
      <c r="S207" s="310"/>
      <c r="V207" s="243" t="s">
        <v>530</v>
      </c>
      <c r="W207" s="243" t="str">
        <f>VLOOKUP(V207,名簿!A:L,3,FALSE)</f>
        <v>品質保証部</v>
      </c>
      <c r="X207" s="243" t="str">
        <f>VLOOKUP(V207,名簿!A:L,4,FALSE)</f>
        <v>品質管理課</v>
      </c>
      <c r="Y207" s="243" t="str">
        <f>VLOOKUP(V207,名簿!A:L,5,FALSE)</f>
        <v>-</v>
      </c>
      <c r="Z207" s="243" t="str">
        <f>VLOOKUP(V207,名簿!A:L,11,FALSE)</f>
        <v>本社</v>
      </c>
      <c r="AA207" s="243" t="str">
        <f>VLOOKUP(V207,名簿!A:L,12,FALSE)</f>
        <v>3F/シンク前</v>
      </c>
    </row>
    <row r="208" spans="1:27">
      <c r="A208" s="301">
        <v>202</v>
      </c>
      <c r="B208" s="248">
        <v>45863</v>
      </c>
      <c r="F208" s="252" t="s">
        <v>318</v>
      </c>
      <c r="K208" s="265">
        <v>1</v>
      </c>
      <c r="P208" s="251">
        <v>5</v>
      </c>
      <c r="R208" s="108" t="s">
        <v>537</v>
      </c>
      <c r="S208" s="310"/>
      <c r="V208" s="243" t="s">
        <v>535</v>
      </c>
      <c r="W208" s="243" t="str">
        <f>VLOOKUP(V208,名簿!A:L,3,FALSE)</f>
        <v>管理部</v>
      </c>
      <c r="X208" s="243" t="str">
        <f>VLOOKUP(V208,名簿!A:L,4,FALSE)</f>
        <v>管理課</v>
      </c>
      <c r="Y208" s="243" t="str">
        <f>VLOOKUP(V208,名簿!A:L,5,FALSE)</f>
        <v>-</v>
      </c>
      <c r="Z208" s="243" t="str">
        <f>VLOOKUP(V208,名簿!A:L,11,FALSE)</f>
        <v>本社</v>
      </c>
      <c r="AA208" s="243" t="str">
        <f>VLOOKUP(V208,名簿!A:L,12,FALSE)</f>
        <v>3F/シンク前</v>
      </c>
    </row>
    <row r="209" spans="1:27" ht="22.8">
      <c r="A209" s="301">
        <v>203</v>
      </c>
      <c r="B209" s="248">
        <v>45863</v>
      </c>
      <c r="F209" s="252" t="s">
        <v>318</v>
      </c>
      <c r="K209" s="265">
        <v>1</v>
      </c>
      <c r="P209" s="251">
        <v>5</v>
      </c>
      <c r="R209" s="108" t="s">
        <v>543</v>
      </c>
      <c r="S209" s="310"/>
      <c r="V209" s="243" t="s">
        <v>541</v>
      </c>
      <c r="W209" s="243" t="str">
        <f>VLOOKUP(V209,名簿!A:L,3,FALSE)</f>
        <v>管理部</v>
      </c>
      <c r="X209" s="243" t="str">
        <f>VLOOKUP(V209,名簿!A:L,4,FALSE)</f>
        <v>管理課</v>
      </c>
      <c r="Y209" s="243" t="str">
        <f>VLOOKUP(V209,名簿!A:L,5,FALSE)</f>
        <v>-</v>
      </c>
      <c r="Z209" s="243" t="str">
        <f>VLOOKUP(V209,名簿!A:L,11,FALSE)</f>
        <v>本社</v>
      </c>
      <c r="AA209" s="243" t="str">
        <f>VLOOKUP(V209,名簿!A:L,12,FALSE)</f>
        <v>3F/シンク前</v>
      </c>
    </row>
    <row r="210" spans="1:27">
      <c r="A210" s="301">
        <v>204</v>
      </c>
      <c r="B210" s="248">
        <v>45863</v>
      </c>
      <c r="F210" s="252" t="s">
        <v>318</v>
      </c>
      <c r="K210" s="265">
        <v>1</v>
      </c>
      <c r="P210" s="251">
        <v>1</v>
      </c>
      <c r="R210" s="108" t="s">
        <v>360</v>
      </c>
      <c r="S210" s="310"/>
      <c r="V210" s="243" t="s">
        <v>547</v>
      </c>
      <c r="W210" s="243" t="str">
        <f>VLOOKUP(V210,名簿!A:L,3,FALSE)</f>
        <v>管理部</v>
      </c>
      <c r="X210" s="243" t="str">
        <f>VLOOKUP(V210,名簿!A:L,4,FALSE)</f>
        <v>管理課</v>
      </c>
      <c r="Y210" s="243" t="str">
        <f>VLOOKUP(V210,名簿!A:L,5,FALSE)</f>
        <v>-</v>
      </c>
      <c r="Z210" s="243" t="str">
        <f>VLOOKUP(V210,名簿!A:L,11,FALSE)</f>
        <v>本社</v>
      </c>
      <c r="AA210" s="243" t="str">
        <f>VLOOKUP(V210,名簿!A:L,12,FALSE)</f>
        <v>3F/シンク前</v>
      </c>
    </row>
    <row r="211" spans="1:27">
      <c r="A211" s="301">
        <v>205</v>
      </c>
      <c r="B211" s="248">
        <v>45863</v>
      </c>
      <c r="F211" s="252" t="s">
        <v>318</v>
      </c>
      <c r="K211" s="265">
        <v>1</v>
      </c>
      <c r="P211" s="251">
        <v>1</v>
      </c>
      <c r="R211" s="108" t="s">
        <v>358</v>
      </c>
      <c r="S211" s="310"/>
      <c r="V211" s="243" t="s">
        <v>1261</v>
      </c>
      <c r="W211" s="243" t="str">
        <f>VLOOKUP(V211,名簿!A:L,3,FALSE)</f>
        <v>技術製造部</v>
      </c>
      <c r="X211" s="243" t="str">
        <f>VLOOKUP(V211,名簿!A:L,4,FALSE)</f>
        <v>生産管理課</v>
      </c>
      <c r="Y211" s="243" t="str">
        <f>VLOOKUP(V211,名簿!A:L,5,FALSE)</f>
        <v>物流</v>
      </c>
      <c r="Z211" s="243" t="str">
        <f>VLOOKUP(V211,名簿!A:L,11,FALSE)</f>
        <v>コスメファクトリー</v>
      </c>
      <c r="AA211" s="243" t="str">
        <f>VLOOKUP(V211,名簿!A:L,12,FALSE)</f>
        <v>1F/事務所</v>
      </c>
    </row>
    <row r="212" spans="1:27">
      <c r="A212" s="301">
        <v>206</v>
      </c>
      <c r="B212" s="248">
        <v>45863</v>
      </c>
      <c r="F212" s="252" t="s">
        <v>318</v>
      </c>
      <c r="K212" s="265">
        <v>1</v>
      </c>
      <c r="P212" s="251">
        <v>2</v>
      </c>
      <c r="R212" s="108" t="s">
        <v>557</v>
      </c>
      <c r="S212" s="310"/>
      <c r="V212" s="243" t="s">
        <v>555</v>
      </c>
      <c r="W212" s="243" t="str">
        <f>VLOOKUP(V212,名簿!A:L,3,FALSE)</f>
        <v>技術製造部</v>
      </c>
      <c r="X212" s="243" t="str">
        <f>VLOOKUP(V212,名簿!A:L,4,FALSE)</f>
        <v>製造課</v>
      </c>
      <c r="Y212" s="243" t="str">
        <f>VLOOKUP(V212,名簿!A:L,5,FALSE)</f>
        <v>液体</v>
      </c>
      <c r="Z212" s="243" t="str">
        <f>VLOOKUP(V212,名簿!A:L,11,FALSE)</f>
        <v>本社</v>
      </c>
      <c r="AA212" s="243" t="str">
        <f>VLOOKUP(V212,名簿!A:L,12,FALSE)</f>
        <v>3F/シンク前</v>
      </c>
    </row>
    <row r="213" spans="1:27">
      <c r="A213" s="301">
        <v>207</v>
      </c>
      <c r="B213" s="248">
        <v>45863</v>
      </c>
      <c r="F213" s="252" t="s">
        <v>318</v>
      </c>
      <c r="K213" s="265">
        <v>1</v>
      </c>
      <c r="P213" s="251">
        <v>2</v>
      </c>
      <c r="R213" s="108" t="s">
        <v>562</v>
      </c>
      <c r="S213" s="310"/>
      <c r="V213" s="243" t="s">
        <v>560</v>
      </c>
      <c r="W213" s="243" t="str">
        <f>VLOOKUP(V213,名簿!A:L,3,FALSE)</f>
        <v>技術製造部</v>
      </c>
      <c r="X213" s="243" t="str">
        <f>VLOOKUP(V213,名簿!A:L,4,FALSE)</f>
        <v>製造課</v>
      </c>
      <c r="Y213" s="243" t="str">
        <f>VLOOKUP(V213,名簿!A:L,5,FALSE)</f>
        <v>液体</v>
      </c>
      <c r="Z213" s="243" t="str">
        <f>VLOOKUP(V213,名簿!A:L,11,FALSE)</f>
        <v>本社</v>
      </c>
      <c r="AA213" s="243" t="str">
        <f>VLOOKUP(V213,名簿!A:L,12,FALSE)</f>
        <v>3F/シンク前</v>
      </c>
    </row>
    <row r="214" spans="1:27">
      <c r="A214" s="301">
        <v>208</v>
      </c>
      <c r="B214" s="248">
        <v>45863</v>
      </c>
      <c r="F214" s="252" t="s">
        <v>318</v>
      </c>
      <c r="K214" s="265">
        <v>1</v>
      </c>
      <c r="P214" s="251">
        <v>5</v>
      </c>
      <c r="R214" s="108" t="s">
        <v>445</v>
      </c>
      <c r="S214" s="310"/>
      <c r="V214" s="243" t="s">
        <v>566</v>
      </c>
      <c r="W214" s="243" t="str">
        <f>VLOOKUP(V214,名簿!A:L,3,FALSE)</f>
        <v>技術製造部</v>
      </c>
      <c r="X214" s="243" t="str">
        <f>VLOOKUP(V214,名簿!A:L,4,FALSE)</f>
        <v>生産管理課</v>
      </c>
      <c r="Y214" s="243" t="str">
        <f>VLOOKUP(V214,名簿!A:L,5,FALSE)</f>
        <v>物流</v>
      </c>
      <c r="Z214" s="243" t="str">
        <f>VLOOKUP(V214,名簿!A:L,11,FALSE)</f>
        <v>本社</v>
      </c>
      <c r="AA214" s="243" t="str">
        <f>VLOOKUP(V214,名簿!A:L,12,FALSE)</f>
        <v>3F/シンク前</v>
      </c>
    </row>
    <row r="215" spans="1:27" ht="136.80000000000001">
      <c r="A215" s="301">
        <v>209</v>
      </c>
      <c r="B215" s="248">
        <v>45863</v>
      </c>
      <c r="F215" s="252" t="s">
        <v>318</v>
      </c>
      <c r="K215" s="265">
        <v>1</v>
      </c>
      <c r="P215" s="251">
        <v>5</v>
      </c>
      <c r="R215" s="108" t="s">
        <v>2029</v>
      </c>
      <c r="S215" s="310"/>
      <c r="V215" s="243" t="s">
        <v>568</v>
      </c>
      <c r="W215" s="243" t="str">
        <f>VLOOKUP(V215,名簿!A:L,3,FALSE)</f>
        <v>品質保証部</v>
      </c>
      <c r="X215" s="243" t="str">
        <f>VLOOKUP(V215,名簿!A:L,4,FALSE)</f>
        <v>品質管理課</v>
      </c>
      <c r="Y215" s="243" t="str">
        <f>VLOOKUP(V215,名簿!A:L,5,FALSE)</f>
        <v>-</v>
      </c>
      <c r="Z215" s="243" t="str">
        <f>VLOOKUP(V215,名簿!A:L,11,FALSE)</f>
        <v>本社</v>
      </c>
      <c r="AA215" s="243" t="str">
        <f>VLOOKUP(V215,名簿!A:L,12,FALSE)</f>
        <v>3F/シンク前</v>
      </c>
    </row>
    <row r="216" spans="1:27">
      <c r="A216" s="301">
        <v>210</v>
      </c>
      <c r="B216" s="248">
        <v>45863</v>
      </c>
      <c r="F216" s="252" t="s">
        <v>318</v>
      </c>
      <c r="K216" s="265">
        <v>1</v>
      </c>
      <c r="P216" s="251">
        <v>1</v>
      </c>
      <c r="S216" s="310"/>
      <c r="V216" s="243" t="s">
        <v>575</v>
      </c>
      <c r="W216" s="243" t="str">
        <f>VLOOKUP(V216,名簿!A:L,3,FALSE)</f>
        <v>企画営業部</v>
      </c>
      <c r="X216" s="243" t="str">
        <f>VLOOKUP(V216,名簿!A:L,4,FALSE)</f>
        <v>-</v>
      </c>
      <c r="Y216" s="243" t="str">
        <f>VLOOKUP(V216,名簿!A:L,5,FALSE)</f>
        <v>-</v>
      </c>
      <c r="Z216" s="243" t="str">
        <f>VLOOKUP(V216,名簿!A:L,11,FALSE)</f>
        <v>東京営業所</v>
      </c>
      <c r="AA216" s="243" t="str">
        <f>VLOOKUP(V216,名簿!A:L,12,FALSE)</f>
        <v>-</v>
      </c>
    </row>
    <row r="217" spans="1:27">
      <c r="A217" s="301">
        <v>211</v>
      </c>
      <c r="B217" s="248">
        <v>45863</v>
      </c>
      <c r="F217" s="252" t="s">
        <v>318</v>
      </c>
      <c r="K217" s="265">
        <v>1</v>
      </c>
      <c r="P217" s="251">
        <v>1</v>
      </c>
      <c r="S217" s="310"/>
      <c r="V217" s="243" t="s">
        <v>576</v>
      </c>
      <c r="W217" s="243" t="str">
        <f>VLOOKUP(V217,名簿!A:L,3,FALSE)</f>
        <v>企画営業部</v>
      </c>
      <c r="X217" s="243" t="str">
        <f>VLOOKUP(V217,名簿!A:L,4,FALSE)</f>
        <v>営業課</v>
      </c>
      <c r="Y217" s="243" t="str">
        <f>VLOOKUP(V217,名簿!A:L,5,FALSE)</f>
        <v>-</v>
      </c>
      <c r="Z217" s="243" t="str">
        <f>VLOOKUP(V217,名簿!A:L,11,FALSE)</f>
        <v>東京営業所</v>
      </c>
      <c r="AA217" s="243" t="str">
        <f>VLOOKUP(V217,名簿!A:L,12,FALSE)</f>
        <v>-</v>
      </c>
    </row>
    <row r="218" spans="1:27">
      <c r="A218" s="301">
        <v>212</v>
      </c>
      <c r="B218" s="248">
        <v>45863</v>
      </c>
      <c r="F218" s="252" t="s">
        <v>318</v>
      </c>
      <c r="K218" s="265">
        <v>1</v>
      </c>
      <c r="P218" s="251">
        <v>1</v>
      </c>
      <c r="S218" s="310"/>
      <c r="V218" s="243" t="s">
        <v>579</v>
      </c>
      <c r="W218" s="243" t="str">
        <f>VLOOKUP(V218,名簿!A:L,3,FALSE)</f>
        <v>企画営業部</v>
      </c>
      <c r="X218" s="243" t="str">
        <f>VLOOKUP(V218,名簿!A:L,4,FALSE)</f>
        <v>営業課</v>
      </c>
      <c r="Y218" s="243" t="str">
        <f>VLOOKUP(V218,名簿!A:L,5,FALSE)</f>
        <v>-</v>
      </c>
      <c r="Z218" s="243" t="str">
        <f>VLOOKUP(V218,名簿!A:L,11,FALSE)</f>
        <v>東京営業所</v>
      </c>
      <c r="AA218" s="243" t="str">
        <f>VLOOKUP(V218,名簿!A:L,12,FALSE)</f>
        <v>-</v>
      </c>
    </row>
    <row r="219" spans="1:27">
      <c r="A219" s="301">
        <v>213</v>
      </c>
      <c r="B219" s="248">
        <v>45863</v>
      </c>
      <c r="F219" s="252" t="s">
        <v>318</v>
      </c>
      <c r="K219" s="265">
        <v>1</v>
      </c>
      <c r="P219" s="251">
        <v>1</v>
      </c>
      <c r="S219" s="310"/>
      <c r="V219" s="243" t="s">
        <v>581</v>
      </c>
      <c r="W219" s="243" t="str">
        <f>VLOOKUP(V219,名簿!A:L,3,FALSE)</f>
        <v>企画営業部</v>
      </c>
      <c r="X219" s="243" t="str">
        <f>VLOOKUP(V219,名簿!A:L,4,FALSE)</f>
        <v>営業課</v>
      </c>
      <c r="Y219" s="243" t="str">
        <f>VLOOKUP(V219,名簿!A:L,5,FALSE)</f>
        <v>-</v>
      </c>
      <c r="Z219" s="243" t="str">
        <f>VLOOKUP(V219,名簿!A:L,11,FALSE)</f>
        <v>東京営業所</v>
      </c>
      <c r="AA219" s="243" t="str">
        <f>VLOOKUP(V219,名簿!A:L,12,FALSE)</f>
        <v>-</v>
      </c>
    </row>
    <row r="220" spans="1:27">
      <c r="A220" s="301">
        <v>214</v>
      </c>
      <c r="B220" s="248">
        <v>45863</v>
      </c>
      <c r="F220" s="252" t="s">
        <v>320</v>
      </c>
      <c r="J220" s="265">
        <v>1</v>
      </c>
      <c r="L220" s="265">
        <v>1</v>
      </c>
      <c r="P220" s="251">
        <v>4</v>
      </c>
      <c r="Q220" s="251">
        <v>4</v>
      </c>
      <c r="R220" s="108" t="s">
        <v>378</v>
      </c>
      <c r="S220" s="310"/>
      <c r="V220" s="243" t="s">
        <v>376</v>
      </c>
      <c r="W220" s="243" t="str">
        <f>VLOOKUP(V220,名簿!A:L,3,FALSE)</f>
        <v>研究開発部</v>
      </c>
      <c r="X220" s="243" t="str">
        <f>VLOOKUP(V220,名簿!A:L,4,FALSE)</f>
        <v>研究開発課</v>
      </c>
      <c r="Y220" s="243" t="str">
        <f>VLOOKUP(V220,名簿!A:L,5,FALSE)</f>
        <v>-</v>
      </c>
      <c r="Z220" s="243" t="str">
        <f>VLOOKUP(V220,名簿!A:L,11,FALSE)</f>
        <v>コスメラボラトリー</v>
      </c>
      <c r="AA220" s="243" t="str">
        <f>VLOOKUP(V220,名簿!A:L,12,FALSE)</f>
        <v>3F/事務所</v>
      </c>
    </row>
    <row r="221" spans="1:27">
      <c r="A221" s="301">
        <v>215</v>
      </c>
      <c r="B221" s="248">
        <v>45863</v>
      </c>
      <c r="F221" s="252" t="s">
        <v>320</v>
      </c>
      <c r="J221" s="265">
        <v>1</v>
      </c>
      <c r="P221" s="251">
        <v>1</v>
      </c>
      <c r="Q221" s="251">
        <v>1</v>
      </c>
      <c r="R221" s="108" t="s">
        <v>383</v>
      </c>
      <c r="S221" s="310"/>
      <c r="V221" s="243" t="s">
        <v>380</v>
      </c>
      <c r="W221" s="243" t="str">
        <f>VLOOKUP(V221,名簿!A:L,3,FALSE)</f>
        <v>研究開発部</v>
      </c>
      <c r="X221" s="243" t="str">
        <f>VLOOKUP(V221,名簿!A:L,4,FALSE)</f>
        <v>研究開発課</v>
      </c>
      <c r="Y221" s="243" t="str">
        <f>VLOOKUP(V221,名簿!A:L,5,FALSE)</f>
        <v>-</v>
      </c>
      <c r="Z221" s="243" t="str">
        <f>VLOOKUP(V221,名簿!A:L,11,FALSE)</f>
        <v>コスメラボラトリー</v>
      </c>
      <c r="AA221" s="243" t="str">
        <f>VLOOKUP(V221,名簿!A:L,12,FALSE)</f>
        <v>3F/事務所</v>
      </c>
    </row>
    <row r="222" spans="1:27">
      <c r="A222" s="301">
        <v>216</v>
      </c>
      <c r="B222" s="248">
        <v>45863</v>
      </c>
      <c r="F222" s="252" t="s">
        <v>320</v>
      </c>
      <c r="J222" s="265">
        <v>1</v>
      </c>
      <c r="L222" s="265">
        <v>1</v>
      </c>
      <c r="P222" s="251">
        <v>5</v>
      </c>
      <c r="Q222" s="251">
        <v>5</v>
      </c>
      <c r="R222" s="108" t="s">
        <v>389</v>
      </c>
      <c r="S222" s="310"/>
      <c r="V222" s="243" t="s">
        <v>1463</v>
      </c>
      <c r="W222" s="243" t="str">
        <f>VLOOKUP(V222,名簿!A:L,3,FALSE)</f>
        <v>EC事業部</v>
      </c>
      <c r="X222" s="243" t="str">
        <f>VLOOKUP(V222,名簿!A:L,4,FALSE)</f>
        <v>EC事業課</v>
      </c>
      <c r="Y222" s="243" t="str">
        <f>VLOOKUP(V222,名簿!A:L,5,FALSE)</f>
        <v>-</v>
      </c>
      <c r="Z222" s="243" t="str">
        <f>VLOOKUP(V222,名簿!A:L,11,FALSE)</f>
        <v>コスメラボラトリー</v>
      </c>
      <c r="AA222" s="243" t="str">
        <f>VLOOKUP(V222,名簿!A:L,12,FALSE)</f>
        <v>3F/事務所</v>
      </c>
    </row>
    <row r="223" spans="1:27">
      <c r="A223" s="301">
        <v>217</v>
      </c>
      <c r="B223" s="248">
        <v>45863</v>
      </c>
      <c r="F223" s="252" t="s">
        <v>320</v>
      </c>
      <c r="J223" s="265">
        <v>1</v>
      </c>
      <c r="P223" s="251">
        <v>1</v>
      </c>
      <c r="Q223" s="251">
        <v>1</v>
      </c>
      <c r="S223" s="310"/>
      <c r="V223" s="243" t="s">
        <v>392</v>
      </c>
      <c r="W223" s="243" t="str">
        <f>VLOOKUP(V223,名簿!A:L,3,FALSE)</f>
        <v>技術製造部</v>
      </c>
      <c r="X223" s="243" t="str">
        <f>VLOOKUP(V223,名簿!A:L,4,FALSE)</f>
        <v>製造課</v>
      </c>
      <c r="Y223" s="243" t="str">
        <f>VLOOKUP(V223,名簿!A:L,5,FALSE)</f>
        <v>充填包装</v>
      </c>
      <c r="Z223" s="243" t="str">
        <f>VLOOKUP(V223,名簿!A:L,11,FALSE)</f>
        <v>コスメラボラトリー</v>
      </c>
      <c r="AA223" s="243" t="str">
        <f>VLOOKUP(V223,名簿!A:L,12,FALSE)</f>
        <v>1F/作業場南</v>
      </c>
    </row>
    <row r="224" spans="1:27">
      <c r="A224" s="301">
        <v>218</v>
      </c>
      <c r="B224" s="248">
        <v>45863</v>
      </c>
      <c r="F224" s="252" t="s">
        <v>320</v>
      </c>
      <c r="J224" s="265">
        <v>1</v>
      </c>
      <c r="P224" s="251">
        <v>1</v>
      </c>
      <c r="Q224" s="251">
        <v>1</v>
      </c>
      <c r="R224" s="108" t="s">
        <v>358</v>
      </c>
      <c r="S224" s="310"/>
      <c r="V224" s="243" t="s">
        <v>395</v>
      </c>
      <c r="W224" s="243" t="str">
        <f>VLOOKUP(V224,名簿!A:L,3,FALSE)</f>
        <v>EC事業部</v>
      </c>
      <c r="X224" s="243" t="str">
        <f>VLOOKUP(V224,名簿!A:L,4,FALSE)</f>
        <v>EC事業課</v>
      </c>
      <c r="Y224" s="243" t="str">
        <f>VLOOKUP(V224,名簿!A:L,5,FALSE)</f>
        <v>-</v>
      </c>
      <c r="Z224" s="243" t="str">
        <f>VLOOKUP(V224,名簿!A:L,11,FALSE)</f>
        <v>コスメラボラトリー</v>
      </c>
      <c r="AA224" s="243" t="str">
        <f>VLOOKUP(V224,名簿!A:L,12,FALSE)</f>
        <v>3F/事務所</v>
      </c>
    </row>
    <row r="225" spans="1:27">
      <c r="A225" s="301">
        <v>219</v>
      </c>
      <c r="B225" s="248">
        <v>45863</v>
      </c>
      <c r="F225" s="252" t="s">
        <v>320</v>
      </c>
      <c r="J225" s="265">
        <v>1</v>
      </c>
      <c r="P225" s="251">
        <v>1</v>
      </c>
      <c r="Q225" s="251">
        <v>1</v>
      </c>
      <c r="R225" s="108" t="s">
        <v>398</v>
      </c>
      <c r="S225" s="310"/>
      <c r="V225" s="243" t="s">
        <v>396</v>
      </c>
      <c r="W225" s="243" t="str">
        <f>VLOOKUP(V225,名簿!A:L,3,FALSE)</f>
        <v>技術製造部</v>
      </c>
      <c r="X225" s="243" t="str">
        <f>VLOOKUP(V225,名簿!A:L,4,FALSE)</f>
        <v>製造課</v>
      </c>
      <c r="Y225" s="243" t="str">
        <f>VLOOKUP(V225,名簿!A:L,5,FALSE)</f>
        <v>充填包装</v>
      </c>
      <c r="Z225" s="243" t="str">
        <f>VLOOKUP(V225,名簿!A:L,11,FALSE)</f>
        <v>コスメファクトリー</v>
      </c>
      <c r="AA225" s="243" t="str">
        <f>VLOOKUP(V225,名簿!A:L,12,FALSE)</f>
        <v>2F/充填ライン北</v>
      </c>
    </row>
    <row r="226" spans="1:27">
      <c r="A226" s="301">
        <v>220</v>
      </c>
      <c r="B226" s="248">
        <v>45863</v>
      </c>
      <c r="F226" s="252" t="s">
        <v>320</v>
      </c>
      <c r="J226" s="265">
        <v>1</v>
      </c>
      <c r="P226" s="251">
        <v>3</v>
      </c>
      <c r="Q226" s="251">
        <v>3</v>
      </c>
      <c r="R226" s="108" t="s">
        <v>402</v>
      </c>
      <c r="S226" s="310"/>
      <c r="V226" s="243" t="s">
        <v>400</v>
      </c>
      <c r="W226" s="243" t="str">
        <f>VLOOKUP(V226,名簿!A:L,3,FALSE)</f>
        <v>技術製造部</v>
      </c>
      <c r="X226" s="243" t="str">
        <f>VLOOKUP(V226,名簿!A:L,4,FALSE)</f>
        <v>製造課</v>
      </c>
      <c r="Y226" s="243" t="str">
        <f>VLOOKUP(V226,名簿!A:L,5,FALSE)</f>
        <v>充填包装</v>
      </c>
      <c r="Z226" s="243" t="str">
        <f>VLOOKUP(V226,名簿!A:L,11,FALSE)</f>
        <v>コスメファクトリー</v>
      </c>
      <c r="AA226" s="243" t="str">
        <f>VLOOKUP(V226,名簿!A:L,12,FALSE)</f>
        <v>2F/充填ライン北</v>
      </c>
    </row>
    <row r="227" spans="1:27" ht="22.8">
      <c r="A227" s="301">
        <v>221</v>
      </c>
      <c r="B227" s="248">
        <v>45863</v>
      </c>
      <c r="F227" s="252" t="s">
        <v>320</v>
      </c>
      <c r="J227" s="265">
        <v>1</v>
      </c>
      <c r="L227" s="265">
        <v>1</v>
      </c>
      <c r="P227" s="251">
        <v>5</v>
      </c>
      <c r="Q227" s="251">
        <v>5</v>
      </c>
      <c r="R227" s="108" t="s">
        <v>406</v>
      </c>
      <c r="S227" s="310"/>
      <c r="V227" s="243" t="s">
        <v>403</v>
      </c>
      <c r="W227" s="243" t="str">
        <f>VLOOKUP(V227,名簿!A:L,3,FALSE)</f>
        <v>技術製造部</v>
      </c>
      <c r="X227" s="243" t="str">
        <f>VLOOKUP(V227,名簿!A:L,4,FALSE)</f>
        <v>製造課</v>
      </c>
      <c r="Y227" s="243" t="str">
        <f>VLOOKUP(V227,名簿!A:L,5,FALSE)</f>
        <v>充填包装</v>
      </c>
      <c r="Z227" s="243" t="str">
        <f>VLOOKUP(V227,名簿!A:L,11,FALSE)</f>
        <v>コスメファクトリー</v>
      </c>
      <c r="AA227" s="243" t="str">
        <f>VLOOKUP(V227,名簿!A:L,12,FALSE)</f>
        <v>2F/充填ライン南</v>
      </c>
    </row>
    <row r="228" spans="1:27">
      <c r="A228" s="301">
        <v>222</v>
      </c>
      <c r="B228" s="248">
        <v>45863</v>
      </c>
      <c r="F228" s="252" t="s">
        <v>320</v>
      </c>
      <c r="J228" s="265">
        <v>1</v>
      </c>
      <c r="P228" s="251">
        <v>1</v>
      </c>
      <c r="Q228" s="251">
        <v>1</v>
      </c>
      <c r="R228" s="108" t="s">
        <v>412</v>
      </c>
      <c r="S228" s="310"/>
      <c r="V228" s="243" t="s">
        <v>409</v>
      </c>
      <c r="W228" s="243" t="str">
        <f>VLOOKUP(V228,名簿!A:L,3,FALSE)</f>
        <v>技術製造部</v>
      </c>
      <c r="X228" s="243" t="str">
        <f>VLOOKUP(V228,名簿!A:L,4,FALSE)</f>
        <v>製造課</v>
      </c>
      <c r="Y228" s="243" t="str">
        <f>VLOOKUP(V228,名簿!A:L,5,FALSE)</f>
        <v>充填包装</v>
      </c>
      <c r="Z228" s="243" t="str">
        <f>VLOOKUP(V228,名簿!A:L,11,FALSE)</f>
        <v>コスメラボラトリー</v>
      </c>
      <c r="AA228" s="243" t="str">
        <f>VLOOKUP(V228,名簿!A:L,12,FALSE)</f>
        <v>2F/事務所</v>
      </c>
    </row>
    <row r="229" spans="1:27">
      <c r="A229" s="301">
        <v>223</v>
      </c>
      <c r="B229" s="248">
        <v>45863</v>
      </c>
      <c r="F229" s="252" t="s">
        <v>320</v>
      </c>
      <c r="J229" s="265">
        <v>1</v>
      </c>
      <c r="P229" s="251">
        <v>1</v>
      </c>
      <c r="Q229" s="251">
        <v>1</v>
      </c>
      <c r="R229" s="108" t="s">
        <v>417</v>
      </c>
      <c r="S229" s="310"/>
      <c r="V229" s="243" t="s">
        <v>1994</v>
      </c>
      <c r="W229" s="243" t="str">
        <f>VLOOKUP(V229,名簿!A:L,3,FALSE)</f>
        <v>技術製造部</v>
      </c>
      <c r="X229" s="243" t="str">
        <f>VLOOKUP(V229,名簿!A:L,4,FALSE)</f>
        <v>製造課</v>
      </c>
      <c r="Y229" s="243" t="str">
        <f>VLOOKUP(V229,名簿!A:L,5,FALSE)</f>
        <v>バルク・顆粒</v>
      </c>
      <c r="Z229" s="243" t="str">
        <f>VLOOKUP(V229,名簿!A:L,11,FALSE)</f>
        <v>コスメラボラトリー</v>
      </c>
      <c r="AA229" s="243" t="str">
        <f>VLOOKUP(V229,名簿!A:L,12,FALSE)</f>
        <v>2F/事務所</v>
      </c>
    </row>
    <row r="230" spans="1:27">
      <c r="A230" s="301">
        <v>224</v>
      </c>
      <c r="B230" s="248">
        <v>45863</v>
      </c>
      <c r="F230" s="252" t="s">
        <v>320</v>
      </c>
      <c r="J230" s="265">
        <v>1</v>
      </c>
      <c r="P230" s="251">
        <v>1</v>
      </c>
      <c r="Q230" s="251">
        <v>1</v>
      </c>
      <c r="R230" s="108" t="s">
        <v>423</v>
      </c>
      <c r="S230" s="310"/>
      <c r="V230" s="243" t="s">
        <v>420</v>
      </c>
      <c r="W230" s="243" t="str">
        <f>VLOOKUP(V230,名簿!A:L,3,FALSE)</f>
        <v>技術製造部</v>
      </c>
      <c r="X230" s="243" t="str">
        <f>VLOOKUP(V230,名簿!A:L,4,FALSE)</f>
        <v>製造課</v>
      </c>
      <c r="Y230" s="243" t="str">
        <f>VLOOKUP(V230,名簿!A:L,5,FALSE)</f>
        <v>粉体</v>
      </c>
      <c r="Z230" s="243" t="str">
        <f>VLOOKUP(V230,名簿!A:L,11,FALSE)</f>
        <v>コスメラボラトリー</v>
      </c>
      <c r="AA230" s="243" t="str">
        <f>VLOOKUP(V230,名簿!A:L,12,FALSE)</f>
        <v>2F/作業場南</v>
      </c>
    </row>
    <row r="231" spans="1:27">
      <c r="A231" s="301">
        <v>225</v>
      </c>
      <c r="B231" s="248">
        <v>45863</v>
      </c>
      <c r="F231" s="252" t="s">
        <v>320</v>
      </c>
      <c r="J231" s="265">
        <v>1</v>
      </c>
      <c r="P231" s="251">
        <v>1</v>
      </c>
      <c r="Q231" s="251">
        <v>1</v>
      </c>
      <c r="R231" s="108" t="s">
        <v>360</v>
      </c>
      <c r="S231" s="310"/>
      <c r="V231" s="243" t="s">
        <v>1201</v>
      </c>
      <c r="W231" s="243" t="str">
        <f>VLOOKUP(V231,名簿!A:L,3,FALSE)</f>
        <v>品質保証部</v>
      </c>
      <c r="X231" s="243" t="str">
        <f>VLOOKUP(V231,名簿!A:L,4,FALSE)</f>
        <v>品質管理課</v>
      </c>
      <c r="Y231" s="243" t="str">
        <f>VLOOKUP(V231,名簿!A:L,5,FALSE)</f>
        <v>-</v>
      </c>
      <c r="Z231" s="243" t="str">
        <f>VLOOKUP(V231,名簿!A:L,11,FALSE)</f>
        <v>コスメラボラトリー</v>
      </c>
      <c r="AA231" s="243" t="str">
        <f>VLOOKUP(V231,名簿!A:L,12,FALSE)</f>
        <v>3F/事務所</v>
      </c>
    </row>
    <row r="232" spans="1:27">
      <c r="A232" s="301">
        <v>226</v>
      </c>
      <c r="B232" s="248">
        <v>45863</v>
      </c>
      <c r="F232" s="252" t="s">
        <v>320</v>
      </c>
      <c r="J232" s="265">
        <v>1</v>
      </c>
      <c r="P232" s="251">
        <v>1</v>
      </c>
      <c r="Q232" s="251">
        <v>1</v>
      </c>
      <c r="R232" s="108" t="s">
        <v>428</v>
      </c>
      <c r="S232" s="310"/>
      <c r="V232" s="243" t="s">
        <v>427</v>
      </c>
      <c r="W232" s="243" t="str">
        <f>VLOOKUP(V232,名簿!A:L,3,FALSE)</f>
        <v>技術製造部</v>
      </c>
      <c r="X232" s="243" t="str">
        <f>VLOOKUP(V232,名簿!A:L,4,FALSE)</f>
        <v>製造課</v>
      </c>
      <c r="Y232" s="243" t="str">
        <f>VLOOKUP(V232,名簿!A:L,5,FALSE)</f>
        <v>バルク・顆粒</v>
      </c>
      <c r="Z232" s="243" t="str">
        <f>VLOOKUP(V232,名簿!A:L,11,FALSE)</f>
        <v>コスメファクトリー</v>
      </c>
      <c r="AA232" s="243" t="str">
        <f>VLOOKUP(V232,名簿!A:L,12,FALSE)</f>
        <v>1F/バルク室</v>
      </c>
    </row>
    <row r="233" spans="1:27">
      <c r="A233" s="301">
        <v>227</v>
      </c>
      <c r="B233" s="248">
        <v>45863</v>
      </c>
      <c r="F233" s="252" t="s">
        <v>320</v>
      </c>
      <c r="J233" s="265">
        <v>1</v>
      </c>
      <c r="P233" s="251">
        <v>1</v>
      </c>
      <c r="Q233" s="251">
        <v>1</v>
      </c>
      <c r="S233" s="310"/>
      <c r="V233" s="243" t="s">
        <v>430</v>
      </c>
      <c r="W233" s="243" t="str">
        <f>VLOOKUP(V233,名簿!A:L,3,FALSE)</f>
        <v>研究開発部</v>
      </c>
      <c r="X233" s="243" t="str">
        <f>VLOOKUP(V233,名簿!A:L,4,FALSE)</f>
        <v>研究開発課</v>
      </c>
      <c r="Y233" s="243" t="str">
        <f>VLOOKUP(V233,名簿!A:L,5,FALSE)</f>
        <v>-</v>
      </c>
      <c r="Z233" s="243" t="str">
        <f>VLOOKUP(V233,名簿!A:L,11,FALSE)</f>
        <v>コスメラボラトリー</v>
      </c>
      <c r="AA233" s="243" t="str">
        <f>VLOOKUP(V233,名簿!A:L,12,FALSE)</f>
        <v>3F/事務所</v>
      </c>
    </row>
    <row r="234" spans="1:27">
      <c r="A234" s="301">
        <v>228</v>
      </c>
      <c r="B234" s="248">
        <v>45863</v>
      </c>
      <c r="F234" s="252" t="s">
        <v>320</v>
      </c>
      <c r="J234" s="265">
        <v>1</v>
      </c>
      <c r="P234" s="251">
        <v>1</v>
      </c>
      <c r="Q234" s="251">
        <v>1</v>
      </c>
      <c r="R234" s="108" t="s">
        <v>358</v>
      </c>
      <c r="S234" s="310"/>
      <c r="V234" s="243" t="s">
        <v>434</v>
      </c>
      <c r="W234" s="243" t="str">
        <f>VLOOKUP(V234,名簿!A:L,3,FALSE)</f>
        <v>技術製造部</v>
      </c>
      <c r="X234" s="243" t="str">
        <f>VLOOKUP(V234,名簿!A:L,4,FALSE)</f>
        <v>製造課</v>
      </c>
      <c r="Y234" s="243" t="str">
        <f>VLOOKUP(V234,名簿!A:L,5,FALSE)</f>
        <v>バルク・顆粒</v>
      </c>
      <c r="Z234" s="243" t="str">
        <f>VLOOKUP(V234,名簿!A:L,11,FALSE)</f>
        <v>コスメファクトリー</v>
      </c>
      <c r="AA234" s="243" t="str">
        <f>VLOOKUP(V234,名簿!A:L,12,FALSE)</f>
        <v>1F/バルク室</v>
      </c>
    </row>
    <row r="235" spans="1:27">
      <c r="A235" s="301">
        <v>229</v>
      </c>
      <c r="B235" s="248">
        <v>45863</v>
      </c>
      <c r="F235" s="252" t="s">
        <v>320</v>
      </c>
      <c r="J235" s="265">
        <v>1</v>
      </c>
      <c r="P235" s="251">
        <v>3</v>
      </c>
      <c r="Q235" s="251">
        <v>3</v>
      </c>
      <c r="R235" s="108" t="s">
        <v>438</v>
      </c>
      <c r="S235" s="310"/>
      <c r="V235" s="243" t="s">
        <v>435</v>
      </c>
      <c r="W235" s="243" t="str">
        <f>VLOOKUP(V235,名簿!A:L,3,FALSE)</f>
        <v>技術製造部</v>
      </c>
      <c r="X235" s="243" t="str">
        <f>VLOOKUP(V235,名簿!A:L,4,FALSE)</f>
        <v>製造課</v>
      </c>
      <c r="Y235" s="243" t="str">
        <f>VLOOKUP(V235,名簿!A:L,5,FALSE)</f>
        <v>バルク・顆粒</v>
      </c>
      <c r="Z235" s="243" t="str">
        <f>VLOOKUP(V235,名簿!A:L,11,FALSE)</f>
        <v>コスメファクトリー</v>
      </c>
      <c r="AA235" s="243" t="str">
        <f>VLOOKUP(V235,名簿!A:L,12,FALSE)</f>
        <v>1F/バルク室</v>
      </c>
    </row>
    <row r="236" spans="1:27">
      <c r="A236" s="301">
        <v>230</v>
      </c>
      <c r="B236" s="248">
        <v>45863</v>
      </c>
      <c r="F236" s="252" t="s">
        <v>320</v>
      </c>
      <c r="J236" s="265">
        <v>1</v>
      </c>
      <c r="P236" s="251">
        <v>1</v>
      </c>
      <c r="Q236" s="251">
        <v>1</v>
      </c>
      <c r="S236" s="310"/>
      <c r="V236" s="243" t="s">
        <v>440</v>
      </c>
      <c r="W236" s="243" t="str">
        <f>VLOOKUP(V236,名簿!A:L,3,FALSE)</f>
        <v>品質保証部</v>
      </c>
      <c r="X236" s="243" t="str">
        <f>VLOOKUP(V236,名簿!A:L,4,FALSE)</f>
        <v>品質管理課</v>
      </c>
      <c r="Y236" s="243" t="str">
        <f>VLOOKUP(V236,名簿!A:L,5,FALSE)</f>
        <v>-</v>
      </c>
      <c r="Z236" s="243" t="str">
        <f>VLOOKUP(V236,名簿!A:L,11,FALSE)</f>
        <v>コスメラボラトリー</v>
      </c>
      <c r="AA236" s="243" t="str">
        <f>VLOOKUP(V236,名簿!A:L,12,FALSE)</f>
        <v>3F/事務所</v>
      </c>
    </row>
    <row r="237" spans="1:27" ht="22.8">
      <c r="A237" s="301">
        <v>231</v>
      </c>
      <c r="B237" s="248">
        <v>45863</v>
      </c>
      <c r="F237" s="252" t="s">
        <v>320</v>
      </c>
      <c r="J237" s="265">
        <v>1</v>
      </c>
      <c r="L237" s="265">
        <v>1</v>
      </c>
      <c r="P237" s="251">
        <v>5</v>
      </c>
      <c r="Q237" s="251">
        <v>5</v>
      </c>
      <c r="R237" s="108" t="s">
        <v>446</v>
      </c>
      <c r="S237" s="310"/>
      <c r="V237" s="243" t="s">
        <v>443</v>
      </c>
      <c r="W237" s="243" t="str">
        <f>VLOOKUP(V237,名簿!A:L,3,FALSE)</f>
        <v>研究開発部</v>
      </c>
      <c r="X237" s="243" t="str">
        <f>VLOOKUP(V237,名簿!A:L,4,FALSE)</f>
        <v>研究開発課</v>
      </c>
      <c r="Y237" s="243" t="str">
        <f>VLOOKUP(V237,名簿!A:L,5,FALSE)</f>
        <v>-</v>
      </c>
      <c r="Z237" s="243" t="str">
        <f>VLOOKUP(V237,名簿!A:L,11,FALSE)</f>
        <v>コスメラボラトリー</v>
      </c>
      <c r="AA237" s="243" t="str">
        <f>VLOOKUP(V237,名簿!A:L,12,FALSE)</f>
        <v>3F/事務所</v>
      </c>
    </row>
    <row r="238" spans="1:27">
      <c r="A238" s="301">
        <v>232</v>
      </c>
      <c r="B238" s="248">
        <v>45863</v>
      </c>
      <c r="F238" s="252" t="s">
        <v>320</v>
      </c>
      <c r="J238" s="265">
        <v>1</v>
      </c>
      <c r="P238" s="251">
        <v>2</v>
      </c>
      <c r="Q238" s="251">
        <v>2</v>
      </c>
      <c r="R238" s="108" t="s">
        <v>452</v>
      </c>
      <c r="S238" s="310"/>
      <c r="V238" s="243" t="s">
        <v>449</v>
      </c>
      <c r="W238" s="243" t="str">
        <f>VLOOKUP(V238,名簿!A:L,3,FALSE)</f>
        <v>研究開発部</v>
      </c>
      <c r="X238" s="243" t="str">
        <f>VLOOKUP(V238,名簿!A:L,4,FALSE)</f>
        <v>研究開発課</v>
      </c>
      <c r="Y238" s="243" t="str">
        <f>VLOOKUP(V238,名簿!A:L,5,FALSE)</f>
        <v>-</v>
      </c>
      <c r="Z238" s="243" t="str">
        <f>VLOOKUP(V238,名簿!A:L,11,FALSE)</f>
        <v>コスメラボラトリー</v>
      </c>
      <c r="AA238" s="243" t="str">
        <f>VLOOKUP(V238,名簿!A:L,12,FALSE)</f>
        <v>3F/事務所</v>
      </c>
    </row>
    <row r="239" spans="1:27">
      <c r="A239" s="301">
        <v>233</v>
      </c>
      <c r="B239" s="248">
        <v>45863</v>
      </c>
      <c r="F239" s="252" t="s">
        <v>320</v>
      </c>
      <c r="J239" s="265">
        <v>1</v>
      </c>
      <c r="P239" s="251">
        <v>1</v>
      </c>
      <c r="Q239" s="251">
        <v>1</v>
      </c>
      <c r="S239" s="310"/>
      <c r="V239" s="243" t="s">
        <v>455</v>
      </c>
      <c r="W239" s="243" t="str">
        <f>VLOOKUP(V239,名簿!A:L,3,FALSE)</f>
        <v>研究開発部</v>
      </c>
      <c r="X239" s="243" t="str">
        <f>VLOOKUP(V239,名簿!A:L,4,FALSE)</f>
        <v>研究開発課</v>
      </c>
      <c r="Y239" s="243" t="str">
        <f>VLOOKUP(V239,名簿!A:L,5,FALSE)</f>
        <v>-</v>
      </c>
      <c r="Z239" s="243" t="str">
        <f>VLOOKUP(V239,名簿!A:L,11,FALSE)</f>
        <v>コスメラボラトリー</v>
      </c>
      <c r="AA239" s="243" t="str">
        <f>VLOOKUP(V239,名簿!A:L,12,FALSE)</f>
        <v>3F/試験室</v>
      </c>
    </row>
    <row r="240" spans="1:27">
      <c r="A240" s="301">
        <v>234</v>
      </c>
      <c r="B240" s="248">
        <v>45863</v>
      </c>
      <c r="F240" s="252" t="s">
        <v>320</v>
      </c>
      <c r="I240" s="265">
        <v>1</v>
      </c>
      <c r="J240" s="265">
        <v>1</v>
      </c>
      <c r="P240" s="251">
        <v>4</v>
      </c>
      <c r="Q240" s="251">
        <v>4</v>
      </c>
      <c r="R240" s="108" t="s">
        <v>461</v>
      </c>
      <c r="S240" s="310"/>
      <c r="V240" s="243" t="s">
        <v>458</v>
      </c>
      <c r="W240" s="243" t="str">
        <f>VLOOKUP(V240,名簿!A:L,3,FALSE)</f>
        <v>研究開発部</v>
      </c>
      <c r="X240" s="243" t="str">
        <f>VLOOKUP(V240,名簿!A:L,4,FALSE)</f>
        <v>研究開発課</v>
      </c>
      <c r="Y240" s="243" t="str">
        <f>VLOOKUP(V240,名簿!A:L,5,FALSE)</f>
        <v>-</v>
      </c>
      <c r="Z240" s="243" t="str">
        <f>VLOOKUP(V240,名簿!A:L,11,FALSE)</f>
        <v>コスメラボラトリー</v>
      </c>
      <c r="AA240" s="243" t="str">
        <f>VLOOKUP(V240,名簿!A:L,12,FALSE)</f>
        <v>3F/事務所</v>
      </c>
    </row>
    <row r="241" spans="1:27" ht="34.200000000000003">
      <c r="A241" s="301">
        <v>235</v>
      </c>
      <c r="B241" s="248">
        <v>45863</v>
      </c>
      <c r="F241" s="252" t="s">
        <v>320</v>
      </c>
      <c r="J241" s="265">
        <v>1</v>
      </c>
      <c r="L241" s="265">
        <v>1</v>
      </c>
      <c r="P241" s="251">
        <v>5</v>
      </c>
      <c r="Q241" s="251">
        <v>5</v>
      </c>
      <c r="R241" s="108" t="s">
        <v>467</v>
      </c>
      <c r="S241" s="310"/>
      <c r="V241" s="243" t="s">
        <v>464</v>
      </c>
      <c r="W241" s="243" t="str">
        <f>VLOOKUP(V241,名簿!A:L,3,FALSE)</f>
        <v>EC事業部</v>
      </c>
      <c r="X241" s="243" t="str">
        <f>VLOOKUP(V241,名簿!A:L,4,FALSE)</f>
        <v>EC事業課</v>
      </c>
      <c r="Y241" s="243" t="str">
        <f>VLOOKUP(V241,名簿!A:L,5,FALSE)</f>
        <v>-</v>
      </c>
      <c r="Z241" s="243" t="str">
        <f>VLOOKUP(V241,名簿!A:L,11,FALSE)</f>
        <v>コスメラボラトリー</v>
      </c>
      <c r="AA241" s="243" t="str">
        <f>VLOOKUP(V241,名簿!A:L,12,FALSE)</f>
        <v>3F/事務所</v>
      </c>
    </row>
    <row r="242" spans="1:27" ht="22.8">
      <c r="A242" s="301">
        <v>236</v>
      </c>
      <c r="B242" s="248">
        <v>45863</v>
      </c>
      <c r="F242" s="252" t="s">
        <v>320</v>
      </c>
      <c r="J242" s="265">
        <v>1</v>
      </c>
      <c r="L242" s="265">
        <v>1</v>
      </c>
      <c r="P242" s="251">
        <v>5</v>
      </c>
      <c r="Q242" s="251">
        <v>5</v>
      </c>
      <c r="R242" s="108" t="s">
        <v>1976</v>
      </c>
      <c r="S242" s="310"/>
      <c r="V242" s="243" t="s">
        <v>471</v>
      </c>
      <c r="W242" s="243" t="str">
        <f>VLOOKUP(V242,名簿!A:L,3,FALSE)</f>
        <v>技術製造部</v>
      </c>
      <c r="X242" s="243" t="str">
        <f>VLOOKUP(V242,名簿!A:L,4,FALSE)</f>
        <v>生産管理課</v>
      </c>
      <c r="Y242" s="243" t="str">
        <f>VLOOKUP(V242,名簿!A:L,5,FALSE)</f>
        <v>生産管理</v>
      </c>
      <c r="Z242" s="243" t="str">
        <f>VLOOKUP(V242,名簿!A:L,11,FALSE)</f>
        <v>本社</v>
      </c>
      <c r="AA242" s="243" t="str">
        <f>VLOOKUP(V242,名簿!A:L,12,FALSE)</f>
        <v>3F/シンク前</v>
      </c>
    </row>
    <row r="243" spans="1:27">
      <c r="A243" s="301">
        <v>237</v>
      </c>
      <c r="B243" s="248">
        <v>45863</v>
      </c>
      <c r="F243" s="252" t="s">
        <v>320</v>
      </c>
      <c r="G243" s="252" t="s">
        <v>2247</v>
      </c>
      <c r="J243" s="265">
        <v>1</v>
      </c>
      <c r="L243" s="265">
        <v>1</v>
      </c>
      <c r="M243" s="265">
        <v>1</v>
      </c>
      <c r="P243" s="251">
        <v>4</v>
      </c>
      <c r="Q243" s="251">
        <v>4</v>
      </c>
      <c r="R243" s="108" t="s">
        <v>481</v>
      </c>
      <c r="S243" s="310"/>
      <c r="V243" s="243" t="s">
        <v>478</v>
      </c>
      <c r="W243" s="243" t="str">
        <f>VLOOKUP(V243,名簿!A:L,3,FALSE)</f>
        <v>技術製造部</v>
      </c>
      <c r="X243" s="243" t="str">
        <f>VLOOKUP(V243,名簿!A:L,4,FALSE)</f>
        <v>生産管理課</v>
      </c>
      <c r="Y243" s="243" t="str">
        <f>VLOOKUP(V243,名簿!A:L,5,FALSE)</f>
        <v>物流</v>
      </c>
      <c r="Z243" s="243" t="str">
        <f>VLOOKUP(V243,名簿!A:L,11,FALSE)</f>
        <v>第一倉庫</v>
      </c>
      <c r="AA243" s="243" t="str">
        <f>VLOOKUP(V243,名簿!A:L,12,FALSE)</f>
        <v>1F/南西角</v>
      </c>
    </row>
    <row r="244" spans="1:27" ht="22.8">
      <c r="A244" s="301">
        <v>238</v>
      </c>
      <c r="B244" s="248">
        <v>45863</v>
      </c>
      <c r="F244" s="252" t="s">
        <v>320</v>
      </c>
      <c r="J244" s="265">
        <v>1</v>
      </c>
      <c r="L244" s="265">
        <v>1</v>
      </c>
      <c r="P244" s="251">
        <v>5</v>
      </c>
      <c r="Q244" s="251">
        <v>5</v>
      </c>
      <c r="R244" s="108" t="s">
        <v>486</v>
      </c>
      <c r="S244" s="310"/>
      <c r="V244" s="243" t="s">
        <v>483</v>
      </c>
      <c r="W244" s="243" t="str">
        <f>VLOOKUP(V244,名簿!A:L,3,FALSE)</f>
        <v>技術製造部</v>
      </c>
      <c r="X244" s="243" t="str">
        <f>VLOOKUP(V244,名簿!A:L,4,FALSE)</f>
        <v>生産管理課</v>
      </c>
      <c r="Y244" s="243" t="str">
        <f>VLOOKUP(V244,名簿!A:L,5,FALSE)</f>
        <v>生産管理</v>
      </c>
      <c r="Z244" s="243" t="str">
        <f>VLOOKUP(V244,名簿!A:L,11,FALSE)</f>
        <v>本社</v>
      </c>
      <c r="AA244" s="243" t="str">
        <f>VLOOKUP(V244,名簿!A:L,12,FALSE)</f>
        <v>3F/シンク前</v>
      </c>
    </row>
    <row r="245" spans="1:27">
      <c r="A245" s="301">
        <v>239</v>
      </c>
      <c r="B245" s="248">
        <v>45863</v>
      </c>
      <c r="F245" s="252" t="s">
        <v>320</v>
      </c>
      <c r="G245" s="252" t="s">
        <v>2247</v>
      </c>
      <c r="J245" s="265">
        <v>1</v>
      </c>
      <c r="L245" s="265">
        <v>1</v>
      </c>
      <c r="M245" s="265">
        <v>1</v>
      </c>
      <c r="P245" s="251">
        <v>3</v>
      </c>
      <c r="Q245" s="251">
        <v>3</v>
      </c>
      <c r="R245" s="108" t="s">
        <v>492</v>
      </c>
      <c r="S245" s="310"/>
      <c r="V245" s="243" t="s">
        <v>489</v>
      </c>
      <c r="W245" s="243" t="str">
        <f>VLOOKUP(V245,名簿!A:L,3,FALSE)</f>
        <v>技術製造部</v>
      </c>
      <c r="X245" s="243" t="str">
        <f>VLOOKUP(V245,名簿!A:L,4,FALSE)</f>
        <v>生産管理課</v>
      </c>
      <c r="Y245" s="243" t="str">
        <f>VLOOKUP(V245,名簿!A:L,5,FALSE)</f>
        <v>生産管理事務</v>
      </c>
      <c r="Z245" s="243" t="str">
        <f>VLOOKUP(V245,名簿!A:L,11,FALSE)</f>
        <v>本社</v>
      </c>
      <c r="AA245" s="243" t="str">
        <f>VLOOKUP(V245,名簿!A:L,12,FALSE)</f>
        <v>3F/シンク前</v>
      </c>
    </row>
    <row r="246" spans="1:27" ht="22.8">
      <c r="A246" s="301">
        <v>240</v>
      </c>
      <c r="B246" s="248">
        <v>45863</v>
      </c>
      <c r="F246" s="252" t="s">
        <v>320</v>
      </c>
      <c r="J246" s="265">
        <v>1</v>
      </c>
      <c r="L246" s="265">
        <v>1</v>
      </c>
      <c r="P246" s="251">
        <v>5</v>
      </c>
      <c r="Q246" s="251">
        <v>5</v>
      </c>
      <c r="R246" s="108" t="s">
        <v>498</v>
      </c>
      <c r="S246" s="310"/>
      <c r="V246" s="243" t="s">
        <v>495</v>
      </c>
      <c r="W246" s="243" t="str">
        <f>VLOOKUP(V246,名簿!A:L,3,FALSE)</f>
        <v>技術製造部</v>
      </c>
      <c r="X246" s="243" t="str">
        <f>VLOOKUP(V246,名簿!A:L,4,FALSE)</f>
        <v>生産管理課</v>
      </c>
      <c r="Y246" s="243" t="str">
        <f>VLOOKUP(V246,名簿!A:L,5,FALSE)</f>
        <v>生産管理</v>
      </c>
      <c r="Z246" s="243" t="str">
        <f>VLOOKUP(V246,名簿!A:L,11,FALSE)</f>
        <v>本社</v>
      </c>
      <c r="AA246" s="243" t="str">
        <f>VLOOKUP(V246,名簿!A:L,12,FALSE)</f>
        <v>3F/シンク前</v>
      </c>
    </row>
    <row r="247" spans="1:27">
      <c r="A247" s="301">
        <v>241</v>
      </c>
      <c r="B247" s="248">
        <v>45863</v>
      </c>
      <c r="F247" s="252" t="s">
        <v>320</v>
      </c>
      <c r="J247" s="265">
        <v>1</v>
      </c>
      <c r="P247" s="251">
        <v>1</v>
      </c>
      <c r="Q247" s="251">
        <v>1</v>
      </c>
      <c r="R247" s="108" t="s">
        <v>358</v>
      </c>
      <c r="S247" s="310"/>
      <c r="V247" s="243" t="s">
        <v>501</v>
      </c>
      <c r="W247" s="243" t="str">
        <f>VLOOKUP(V247,名簿!A:L,3,FALSE)</f>
        <v>技術製造部</v>
      </c>
      <c r="X247" s="243" t="str">
        <f>VLOOKUP(V247,名簿!A:L,4,FALSE)</f>
        <v>製造課</v>
      </c>
      <c r="Y247" s="243" t="str">
        <f>VLOOKUP(V247,名簿!A:L,5,FALSE)</f>
        <v>粉体</v>
      </c>
      <c r="Z247" s="243" t="str">
        <f>VLOOKUP(V247,名簿!A:L,11,FALSE)</f>
        <v>本社</v>
      </c>
      <c r="AA247" s="243" t="str">
        <f>VLOOKUP(V247,名簿!A:L,12,FALSE)</f>
        <v>3F/シンク前</v>
      </c>
    </row>
    <row r="248" spans="1:27">
      <c r="A248" s="301">
        <v>242</v>
      </c>
      <c r="B248" s="248">
        <v>45863</v>
      </c>
      <c r="F248" s="252" t="s">
        <v>320</v>
      </c>
      <c r="J248" s="265">
        <v>1</v>
      </c>
      <c r="L248" s="265">
        <v>1</v>
      </c>
      <c r="P248" s="251">
        <v>4</v>
      </c>
      <c r="Q248" s="251">
        <v>4</v>
      </c>
      <c r="R248" s="108" t="s">
        <v>509</v>
      </c>
      <c r="S248" s="310"/>
      <c r="V248" s="243" t="s">
        <v>506</v>
      </c>
      <c r="W248" s="243" t="str">
        <f>VLOOKUP(V248,名簿!A:L,3,FALSE)</f>
        <v>技術製造部</v>
      </c>
      <c r="X248" s="243" t="str">
        <f>VLOOKUP(V248,名簿!A:L,4,FALSE)</f>
        <v>生産管理課</v>
      </c>
      <c r="Y248" s="243" t="str">
        <f>VLOOKUP(V248,名簿!A:L,5,FALSE)</f>
        <v>生産管理</v>
      </c>
      <c r="Z248" s="243" t="str">
        <f>VLOOKUP(V248,名簿!A:L,11,FALSE)</f>
        <v>本社</v>
      </c>
      <c r="AA248" s="243" t="str">
        <f>VLOOKUP(V248,名簿!A:L,12,FALSE)</f>
        <v>3F/シンク前</v>
      </c>
    </row>
    <row r="249" spans="1:27">
      <c r="A249" s="301">
        <v>243</v>
      </c>
      <c r="B249" s="248">
        <v>45863</v>
      </c>
      <c r="F249" s="252" t="s">
        <v>320</v>
      </c>
      <c r="J249" s="265">
        <v>1</v>
      </c>
      <c r="P249" s="251">
        <v>2</v>
      </c>
      <c r="Q249" s="251">
        <v>2</v>
      </c>
      <c r="R249" s="108" t="s">
        <v>515</v>
      </c>
      <c r="S249" s="310"/>
      <c r="V249" s="243" t="s">
        <v>512</v>
      </c>
      <c r="W249" s="243" t="str">
        <f>VLOOKUP(V249,名簿!A:L,3,FALSE)</f>
        <v>技術製造部</v>
      </c>
      <c r="X249" s="243" t="str">
        <f>VLOOKUP(V249,名簿!A:L,4,FALSE)</f>
        <v>生産管理課</v>
      </c>
      <c r="Y249" s="243" t="str">
        <f>VLOOKUP(V249,名簿!A:L,5,FALSE)</f>
        <v>生産管理事務</v>
      </c>
      <c r="Z249" s="243" t="str">
        <f>VLOOKUP(V249,名簿!A:L,11,FALSE)</f>
        <v>本社</v>
      </c>
      <c r="AA249" s="243" t="str">
        <f>VLOOKUP(V249,名簿!A:L,12,FALSE)</f>
        <v>3F/シンク前</v>
      </c>
    </row>
    <row r="250" spans="1:27">
      <c r="A250" s="301">
        <v>244</v>
      </c>
      <c r="B250" s="248">
        <v>45863</v>
      </c>
      <c r="F250" s="252" t="s">
        <v>320</v>
      </c>
      <c r="J250" s="265">
        <v>1</v>
      </c>
      <c r="L250" s="265">
        <v>1</v>
      </c>
      <c r="P250" s="251">
        <v>3</v>
      </c>
      <c r="Q250" s="251">
        <v>3</v>
      </c>
      <c r="R250" s="108" t="s">
        <v>521</v>
      </c>
      <c r="S250" s="310"/>
      <c r="V250" s="243" t="s">
        <v>519</v>
      </c>
      <c r="W250" s="243" t="str">
        <f>VLOOKUP(V250,名簿!A:L,3,FALSE)</f>
        <v>企画営業部</v>
      </c>
      <c r="X250" s="243" t="str">
        <f>VLOOKUP(V250,名簿!A:L,4,FALSE)</f>
        <v>企画課</v>
      </c>
      <c r="Y250" s="243" t="str">
        <f>VLOOKUP(V250,名簿!A:L,5,FALSE)</f>
        <v>-</v>
      </c>
      <c r="Z250" s="243" t="str">
        <f>VLOOKUP(V250,名簿!A:L,11,FALSE)</f>
        <v>本社</v>
      </c>
      <c r="AA250" s="243" t="str">
        <f>VLOOKUP(V250,名簿!A:L,12,FALSE)</f>
        <v>3F/シンク前</v>
      </c>
    </row>
    <row r="251" spans="1:27">
      <c r="A251" s="301">
        <v>245</v>
      </c>
      <c r="B251" s="248">
        <v>45863</v>
      </c>
      <c r="F251" s="252" t="s">
        <v>320</v>
      </c>
      <c r="I251" s="265">
        <v>1</v>
      </c>
      <c r="J251" s="265">
        <v>1</v>
      </c>
      <c r="P251" s="251">
        <v>3</v>
      </c>
      <c r="Q251" s="251">
        <v>3</v>
      </c>
      <c r="R251" s="108" t="s">
        <v>527</v>
      </c>
      <c r="S251" s="310"/>
      <c r="V251" s="243" t="s">
        <v>524</v>
      </c>
      <c r="W251" s="243" t="str">
        <f>VLOOKUP(V251,名簿!A:L,3,FALSE)</f>
        <v>企画営業部</v>
      </c>
      <c r="X251" s="243" t="str">
        <f>VLOOKUP(V251,名簿!A:L,4,FALSE)</f>
        <v>企画課</v>
      </c>
      <c r="Y251" s="243" t="str">
        <f>VLOOKUP(V251,名簿!A:L,5,FALSE)</f>
        <v>-</v>
      </c>
      <c r="Z251" s="243" t="str">
        <f>VLOOKUP(V251,名簿!A:L,11,FALSE)</f>
        <v>本社</v>
      </c>
      <c r="AA251" s="243" t="str">
        <f>VLOOKUP(V251,名簿!A:L,12,FALSE)</f>
        <v>3F/シンク前</v>
      </c>
    </row>
    <row r="252" spans="1:27">
      <c r="A252" s="301">
        <v>246</v>
      </c>
      <c r="B252" s="248">
        <v>45863</v>
      </c>
      <c r="F252" s="252" t="s">
        <v>320</v>
      </c>
      <c r="J252" s="265">
        <v>1</v>
      </c>
      <c r="P252" s="251">
        <v>1</v>
      </c>
      <c r="Q252" s="251">
        <v>1</v>
      </c>
      <c r="S252" s="310"/>
      <c r="V252" s="243" t="s">
        <v>530</v>
      </c>
      <c r="W252" s="243" t="str">
        <f>VLOOKUP(V252,名簿!A:L,3,FALSE)</f>
        <v>品質保証部</v>
      </c>
      <c r="X252" s="243" t="str">
        <f>VLOOKUP(V252,名簿!A:L,4,FALSE)</f>
        <v>品質管理課</v>
      </c>
      <c r="Y252" s="243" t="str">
        <f>VLOOKUP(V252,名簿!A:L,5,FALSE)</f>
        <v>-</v>
      </c>
      <c r="Z252" s="243" t="str">
        <f>VLOOKUP(V252,名簿!A:L,11,FALSE)</f>
        <v>本社</v>
      </c>
      <c r="AA252" s="243" t="str">
        <f>VLOOKUP(V252,名簿!A:L,12,FALSE)</f>
        <v>3F/シンク前</v>
      </c>
    </row>
    <row r="253" spans="1:27">
      <c r="A253" s="301">
        <v>247</v>
      </c>
      <c r="B253" s="248">
        <v>45863</v>
      </c>
      <c r="F253" s="252" t="s">
        <v>320</v>
      </c>
      <c r="J253" s="265">
        <v>1</v>
      </c>
      <c r="P253" s="251">
        <v>3</v>
      </c>
      <c r="Q253" s="251">
        <v>3</v>
      </c>
      <c r="R253" s="108" t="s">
        <v>538</v>
      </c>
      <c r="S253" s="310"/>
      <c r="V253" s="243" t="s">
        <v>535</v>
      </c>
      <c r="W253" s="243" t="str">
        <f>VLOOKUP(V253,名簿!A:L,3,FALSE)</f>
        <v>管理部</v>
      </c>
      <c r="X253" s="243" t="str">
        <f>VLOOKUP(V253,名簿!A:L,4,FALSE)</f>
        <v>管理課</v>
      </c>
      <c r="Y253" s="243" t="str">
        <f>VLOOKUP(V253,名簿!A:L,5,FALSE)</f>
        <v>-</v>
      </c>
      <c r="Z253" s="243" t="str">
        <f>VLOOKUP(V253,名簿!A:L,11,FALSE)</f>
        <v>本社</v>
      </c>
      <c r="AA253" s="243" t="str">
        <f>VLOOKUP(V253,名簿!A:L,12,FALSE)</f>
        <v>3F/シンク前</v>
      </c>
    </row>
    <row r="254" spans="1:27" ht="22.8">
      <c r="A254" s="301">
        <v>248</v>
      </c>
      <c r="B254" s="248">
        <v>45863</v>
      </c>
      <c r="F254" s="252" t="s">
        <v>320</v>
      </c>
      <c r="I254" s="265">
        <v>1</v>
      </c>
      <c r="J254" s="265">
        <v>1</v>
      </c>
      <c r="P254" s="251">
        <v>4</v>
      </c>
      <c r="Q254" s="251">
        <v>4</v>
      </c>
      <c r="R254" s="108" t="s">
        <v>544</v>
      </c>
      <c r="S254" s="310"/>
      <c r="V254" s="243" t="s">
        <v>541</v>
      </c>
      <c r="W254" s="243" t="str">
        <f>VLOOKUP(V254,名簿!A:L,3,FALSE)</f>
        <v>管理部</v>
      </c>
      <c r="X254" s="243" t="str">
        <f>VLOOKUP(V254,名簿!A:L,4,FALSE)</f>
        <v>管理課</v>
      </c>
      <c r="Y254" s="243" t="str">
        <f>VLOOKUP(V254,名簿!A:L,5,FALSE)</f>
        <v>-</v>
      </c>
      <c r="Z254" s="243" t="str">
        <f>VLOOKUP(V254,名簿!A:L,11,FALSE)</f>
        <v>本社</v>
      </c>
      <c r="AA254" s="243" t="str">
        <f>VLOOKUP(V254,名簿!A:L,12,FALSE)</f>
        <v>3F/シンク前</v>
      </c>
    </row>
    <row r="255" spans="1:27" ht="45.6">
      <c r="A255" s="301">
        <v>249</v>
      </c>
      <c r="B255" s="248">
        <v>45863</v>
      </c>
      <c r="F255" s="252" t="s">
        <v>320</v>
      </c>
      <c r="J255" s="265">
        <v>1</v>
      </c>
      <c r="P255" s="251">
        <v>5</v>
      </c>
      <c r="Q255" s="251">
        <v>5</v>
      </c>
      <c r="R255" s="108" t="s">
        <v>549</v>
      </c>
      <c r="S255" s="310"/>
      <c r="V255" s="243" t="s">
        <v>547</v>
      </c>
      <c r="W255" s="243" t="str">
        <f>VLOOKUP(V255,名簿!A:L,3,FALSE)</f>
        <v>管理部</v>
      </c>
      <c r="X255" s="243" t="str">
        <f>VLOOKUP(V255,名簿!A:L,4,FALSE)</f>
        <v>管理課</v>
      </c>
      <c r="Y255" s="243" t="str">
        <f>VLOOKUP(V255,名簿!A:L,5,FALSE)</f>
        <v>-</v>
      </c>
      <c r="Z255" s="243" t="str">
        <f>VLOOKUP(V255,名簿!A:L,11,FALSE)</f>
        <v>本社</v>
      </c>
      <c r="AA255" s="243" t="str">
        <f>VLOOKUP(V255,名簿!A:L,12,FALSE)</f>
        <v>3F/シンク前</v>
      </c>
    </row>
    <row r="256" spans="1:27">
      <c r="A256" s="301">
        <v>250</v>
      </c>
      <c r="B256" s="248">
        <v>45863</v>
      </c>
      <c r="F256" s="252" t="s">
        <v>320</v>
      </c>
      <c r="J256" s="265">
        <v>1</v>
      </c>
      <c r="P256" s="251">
        <v>3</v>
      </c>
      <c r="Q256" s="251">
        <v>3</v>
      </c>
      <c r="R256" s="108" t="s">
        <v>553</v>
      </c>
      <c r="S256" s="310"/>
      <c r="V256" s="243" t="s">
        <v>1261</v>
      </c>
      <c r="W256" s="243" t="str">
        <f>VLOOKUP(V256,名簿!A:L,3,FALSE)</f>
        <v>技術製造部</v>
      </c>
      <c r="X256" s="243" t="str">
        <f>VLOOKUP(V256,名簿!A:L,4,FALSE)</f>
        <v>生産管理課</v>
      </c>
      <c r="Y256" s="243" t="str">
        <f>VLOOKUP(V256,名簿!A:L,5,FALSE)</f>
        <v>物流</v>
      </c>
      <c r="Z256" s="243" t="str">
        <f>VLOOKUP(V256,名簿!A:L,11,FALSE)</f>
        <v>コスメファクトリー</v>
      </c>
      <c r="AA256" s="243" t="str">
        <f>VLOOKUP(V256,名簿!A:L,12,FALSE)</f>
        <v>1F/事務所</v>
      </c>
    </row>
    <row r="257" spans="1:27">
      <c r="A257" s="301">
        <v>251</v>
      </c>
      <c r="B257" s="248">
        <v>45863</v>
      </c>
      <c r="F257" s="252" t="s">
        <v>320</v>
      </c>
      <c r="J257" s="265">
        <v>1</v>
      </c>
      <c r="L257" s="265">
        <v>1</v>
      </c>
      <c r="P257" s="251">
        <v>4</v>
      </c>
      <c r="Q257" s="251">
        <v>4</v>
      </c>
      <c r="R257" s="108" t="s">
        <v>558</v>
      </c>
      <c r="S257" s="310"/>
      <c r="V257" s="243" t="s">
        <v>555</v>
      </c>
      <c r="W257" s="243" t="str">
        <f>VLOOKUP(V257,名簿!A:L,3,FALSE)</f>
        <v>技術製造部</v>
      </c>
      <c r="X257" s="243" t="str">
        <f>VLOOKUP(V257,名簿!A:L,4,FALSE)</f>
        <v>製造課</v>
      </c>
      <c r="Y257" s="243" t="str">
        <f>VLOOKUP(V257,名簿!A:L,5,FALSE)</f>
        <v>液体</v>
      </c>
      <c r="Z257" s="243" t="str">
        <f>VLOOKUP(V257,名簿!A:L,11,FALSE)</f>
        <v>本社</v>
      </c>
      <c r="AA257" s="243" t="str">
        <f>VLOOKUP(V257,名簿!A:L,12,FALSE)</f>
        <v>3F/シンク前</v>
      </c>
    </row>
    <row r="258" spans="1:27" ht="22.8">
      <c r="A258" s="301">
        <v>252</v>
      </c>
      <c r="B258" s="248">
        <v>45863</v>
      </c>
      <c r="F258" s="252" t="s">
        <v>320</v>
      </c>
      <c r="J258" s="265">
        <v>1</v>
      </c>
      <c r="P258" s="251">
        <v>1</v>
      </c>
      <c r="Q258" s="251">
        <v>1</v>
      </c>
      <c r="R258" s="108" t="s">
        <v>563</v>
      </c>
      <c r="S258" s="310"/>
      <c r="V258" s="243" t="s">
        <v>560</v>
      </c>
      <c r="W258" s="243" t="str">
        <f>VLOOKUP(V258,名簿!A:L,3,FALSE)</f>
        <v>技術製造部</v>
      </c>
      <c r="X258" s="243" t="str">
        <f>VLOOKUP(V258,名簿!A:L,4,FALSE)</f>
        <v>製造課</v>
      </c>
      <c r="Y258" s="243" t="str">
        <f>VLOOKUP(V258,名簿!A:L,5,FALSE)</f>
        <v>液体</v>
      </c>
      <c r="Z258" s="243" t="str">
        <f>VLOOKUP(V258,名簿!A:L,11,FALSE)</f>
        <v>本社</v>
      </c>
      <c r="AA258" s="243" t="str">
        <f>VLOOKUP(V258,名簿!A:L,12,FALSE)</f>
        <v>3F/シンク前</v>
      </c>
    </row>
    <row r="259" spans="1:27">
      <c r="A259" s="301">
        <v>253</v>
      </c>
      <c r="B259" s="248">
        <v>45863</v>
      </c>
      <c r="F259" s="252" t="s">
        <v>320</v>
      </c>
      <c r="J259" s="265">
        <v>1</v>
      </c>
      <c r="P259" s="251">
        <v>1</v>
      </c>
      <c r="Q259" s="251">
        <v>1</v>
      </c>
      <c r="S259" s="310"/>
      <c r="V259" s="243" t="s">
        <v>566</v>
      </c>
      <c r="W259" s="243" t="str">
        <f>VLOOKUP(V259,名簿!A:L,3,FALSE)</f>
        <v>技術製造部</v>
      </c>
      <c r="X259" s="243" t="str">
        <f>VLOOKUP(V259,名簿!A:L,4,FALSE)</f>
        <v>生産管理課</v>
      </c>
      <c r="Y259" s="243" t="str">
        <f>VLOOKUP(V259,名簿!A:L,5,FALSE)</f>
        <v>物流</v>
      </c>
      <c r="Z259" s="243" t="str">
        <f>VLOOKUP(V259,名簿!A:L,11,FALSE)</f>
        <v>本社</v>
      </c>
      <c r="AA259" s="243" t="str">
        <f>VLOOKUP(V259,名簿!A:L,12,FALSE)</f>
        <v>3F/シンク前</v>
      </c>
    </row>
    <row r="260" spans="1:27" ht="22.8">
      <c r="A260" s="301">
        <v>254</v>
      </c>
      <c r="B260" s="248">
        <v>45863</v>
      </c>
      <c r="F260" s="252" t="s">
        <v>320</v>
      </c>
      <c r="J260" s="265">
        <v>1</v>
      </c>
      <c r="P260" s="251">
        <v>1</v>
      </c>
      <c r="Q260" s="251">
        <v>1</v>
      </c>
      <c r="R260" s="108" t="s">
        <v>2030</v>
      </c>
      <c r="S260" s="310"/>
      <c r="V260" s="243" t="s">
        <v>568</v>
      </c>
      <c r="W260" s="243" t="str">
        <f>VLOOKUP(V260,名簿!A:L,3,FALSE)</f>
        <v>品質保証部</v>
      </c>
      <c r="X260" s="243" t="str">
        <f>VLOOKUP(V260,名簿!A:L,4,FALSE)</f>
        <v>品質管理課</v>
      </c>
      <c r="Y260" s="243" t="str">
        <f>VLOOKUP(V260,名簿!A:L,5,FALSE)</f>
        <v>-</v>
      </c>
      <c r="Z260" s="243" t="str">
        <f>VLOOKUP(V260,名簿!A:L,11,FALSE)</f>
        <v>本社</v>
      </c>
      <c r="AA260" s="243" t="str">
        <f>VLOOKUP(V260,名簿!A:L,12,FALSE)</f>
        <v>3F/シンク前</v>
      </c>
    </row>
    <row r="261" spans="1:27">
      <c r="A261" s="301">
        <v>255</v>
      </c>
      <c r="B261" s="248">
        <v>45863</v>
      </c>
      <c r="F261" s="252" t="s">
        <v>320</v>
      </c>
      <c r="J261" s="265">
        <v>1</v>
      </c>
      <c r="P261" s="251">
        <v>1</v>
      </c>
      <c r="Q261" s="251">
        <v>1</v>
      </c>
      <c r="S261" s="310"/>
      <c r="V261" s="243" t="s">
        <v>575</v>
      </c>
      <c r="W261" s="243" t="str">
        <f>VLOOKUP(V261,名簿!A:L,3,FALSE)</f>
        <v>企画営業部</v>
      </c>
      <c r="X261" s="243" t="str">
        <f>VLOOKUP(V261,名簿!A:L,4,FALSE)</f>
        <v>-</v>
      </c>
      <c r="Y261" s="243" t="str">
        <f>VLOOKUP(V261,名簿!A:L,5,FALSE)</f>
        <v>-</v>
      </c>
      <c r="Z261" s="243" t="str">
        <f>VLOOKUP(V261,名簿!A:L,11,FALSE)</f>
        <v>東京営業所</v>
      </c>
      <c r="AA261" s="243" t="str">
        <f>VLOOKUP(V261,名簿!A:L,12,FALSE)</f>
        <v>-</v>
      </c>
    </row>
    <row r="262" spans="1:27">
      <c r="A262" s="301">
        <v>256</v>
      </c>
      <c r="B262" s="248">
        <v>45863</v>
      </c>
      <c r="F262" s="252" t="s">
        <v>320</v>
      </c>
      <c r="J262" s="265">
        <v>1</v>
      </c>
      <c r="P262" s="251">
        <v>1</v>
      </c>
      <c r="Q262" s="251">
        <v>1</v>
      </c>
      <c r="S262" s="310"/>
      <c r="V262" s="243" t="s">
        <v>576</v>
      </c>
      <c r="W262" s="243" t="str">
        <f>VLOOKUP(V262,名簿!A:L,3,FALSE)</f>
        <v>企画営業部</v>
      </c>
      <c r="X262" s="243" t="str">
        <f>VLOOKUP(V262,名簿!A:L,4,FALSE)</f>
        <v>営業課</v>
      </c>
      <c r="Y262" s="243" t="str">
        <f>VLOOKUP(V262,名簿!A:L,5,FALSE)</f>
        <v>-</v>
      </c>
      <c r="Z262" s="243" t="str">
        <f>VLOOKUP(V262,名簿!A:L,11,FALSE)</f>
        <v>東京営業所</v>
      </c>
      <c r="AA262" s="243" t="str">
        <f>VLOOKUP(V262,名簿!A:L,12,FALSE)</f>
        <v>-</v>
      </c>
    </row>
    <row r="263" spans="1:27">
      <c r="A263" s="301">
        <v>257</v>
      </c>
      <c r="B263" s="248">
        <v>45863</v>
      </c>
      <c r="F263" s="252" t="s">
        <v>320</v>
      </c>
      <c r="J263" s="265">
        <v>1</v>
      </c>
      <c r="P263" s="251">
        <v>1</v>
      </c>
      <c r="Q263" s="251">
        <v>1</v>
      </c>
      <c r="S263" s="310"/>
      <c r="V263" s="243" t="s">
        <v>579</v>
      </c>
      <c r="W263" s="243" t="str">
        <f>VLOOKUP(V263,名簿!A:L,3,FALSE)</f>
        <v>企画営業部</v>
      </c>
      <c r="X263" s="243" t="str">
        <f>VLOOKUP(V263,名簿!A:L,4,FALSE)</f>
        <v>営業課</v>
      </c>
      <c r="Y263" s="243" t="str">
        <f>VLOOKUP(V263,名簿!A:L,5,FALSE)</f>
        <v>-</v>
      </c>
      <c r="Z263" s="243" t="str">
        <f>VLOOKUP(V263,名簿!A:L,11,FALSE)</f>
        <v>東京営業所</v>
      </c>
      <c r="AA263" s="243" t="str">
        <f>VLOOKUP(V263,名簿!A:L,12,FALSE)</f>
        <v>-</v>
      </c>
    </row>
    <row r="264" spans="1:27" ht="57">
      <c r="A264" s="301">
        <v>258</v>
      </c>
      <c r="B264" s="248">
        <v>45863</v>
      </c>
      <c r="F264" s="252" t="s">
        <v>320</v>
      </c>
      <c r="J264" s="265">
        <v>1</v>
      </c>
      <c r="L264" s="265">
        <v>1</v>
      </c>
      <c r="P264" s="251">
        <v>5</v>
      </c>
      <c r="Q264" s="251">
        <v>5</v>
      </c>
      <c r="R264" s="108" t="s">
        <v>1977</v>
      </c>
      <c r="S264" s="310"/>
      <c r="V264" s="243" t="s">
        <v>581</v>
      </c>
      <c r="W264" s="243" t="str">
        <f>VLOOKUP(V264,名簿!A:L,3,FALSE)</f>
        <v>企画営業部</v>
      </c>
      <c r="X264" s="243" t="str">
        <f>VLOOKUP(V264,名簿!A:L,4,FALSE)</f>
        <v>営業課</v>
      </c>
      <c r="Y264" s="243" t="str">
        <f>VLOOKUP(V264,名簿!A:L,5,FALSE)</f>
        <v>-</v>
      </c>
      <c r="Z264" s="243" t="str">
        <f>VLOOKUP(V264,名簿!A:L,11,FALSE)</f>
        <v>東京営業所</v>
      </c>
      <c r="AA264" s="243" t="str">
        <f>VLOOKUP(V264,名簿!A:L,12,FALSE)</f>
        <v>-</v>
      </c>
    </row>
    <row r="265" spans="1:27">
      <c r="A265" s="301">
        <v>259</v>
      </c>
      <c r="B265" s="248">
        <v>45863</v>
      </c>
      <c r="F265" s="252" t="s">
        <v>322</v>
      </c>
      <c r="K265" s="265">
        <v>1</v>
      </c>
      <c r="L265" s="265">
        <v>1</v>
      </c>
      <c r="P265" s="251">
        <v>1</v>
      </c>
      <c r="R265" s="108" t="s">
        <v>358</v>
      </c>
      <c r="S265" s="310"/>
      <c r="V265" s="243" t="s">
        <v>376</v>
      </c>
      <c r="W265" s="243" t="str">
        <f>VLOOKUP(V265,名簿!A:L,3,FALSE)</f>
        <v>研究開発部</v>
      </c>
      <c r="X265" s="243" t="str">
        <f>VLOOKUP(V265,名簿!A:L,4,FALSE)</f>
        <v>研究開発課</v>
      </c>
      <c r="Y265" s="243" t="str">
        <f>VLOOKUP(V265,名簿!A:L,5,FALSE)</f>
        <v>-</v>
      </c>
      <c r="Z265" s="243" t="str">
        <f>VLOOKUP(V265,名簿!A:L,11,FALSE)</f>
        <v>コスメラボラトリー</v>
      </c>
      <c r="AA265" s="243" t="str">
        <f>VLOOKUP(V265,名簿!A:L,12,FALSE)</f>
        <v>3F/事務所</v>
      </c>
    </row>
    <row r="266" spans="1:27">
      <c r="A266" s="301">
        <v>260</v>
      </c>
      <c r="B266" s="248">
        <v>45863</v>
      </c>
      <c r="F266" s="252" t="s">
        <v>322</v>
      </c>
      <c r="K266" s="265">
        <v>1</v>
      </c>
      <c r="L266" s="265">
        <v>1</v>
      </c>
      <c r="P266" s="251">
        <v>5</v>
      </c>
      <c r="R266" s="108" t="s">
        <v>384</v>
      </c>
      <c r="S266" s="310"/>
      <c r="V266" s="243" t="s">
        <v>380</v>
      </c>
      <c r="W266" s="243" t="str">
        <f>VLOOKUP(V266,名簿!A:L,3,FALSE)</f>
        <v>研究開発部</v>
      </c>
      <c r="X266" s="243" t="str">
        <f>VLOOKUP(V266,名簿!A:L,4,FALSE)</f>
        <v>研究開発課</v>
      </c>
      <c r="Y266" s="243" t="str">
        <f>VLOOKUP(V266,名簿!A:L,5,FALSE)</f>
        <v>-</v>
      </c>
      <c r="Z266" s="243" t="str">
        <f>VLOOKUP(V266,名簿!A:L,11,FALSE)</f>
        <v>コスメラボラトリー</v>
      </c>
      <c r="AA266" s="243" t="str">
        <f>VLOOKUP(V266,名簿!A:L,12,FALSE)</f>
        <v>3F/事務所</v>
      </c>
    </row>
    <row r="267" spans="1:27">
      <c r="A267" s="301">
        <v>261</v>
      </c>
      <c r="B267" s="248">
        <v>45863</v>
      </c>
      <c r="F267" s="252" t="s">
        <v>322</v>
      </c>
      <c r="K267" s="265">
        <v>1</v>
      </c>
      <c r="L267" s="265">
        <v>1</v>
      </c>
      <c r="P267" s="251">
        <v>4</v>
      </c>
      <c r="R267" s="108" t="s">
        <v>390</v>
      </c>
      <c r="S267" s="310"/>
      <c r="V267" s="243" t="s">
        <v>1463</v>
      </c>
      <c r="W267" s="243" t="str">
        <f>VLOOKUP(V267,名簿!A:L,3,FALSE)</f>
        <v>EC事業部</v>
      </c>
      <c r="X267" s="243" t="str">
        <f>VLOOKUP(V267,名簿!A:L,4,FALSE)</f>
        <v>EC事業課</v>
      </c>
      <c r="Y267" s="243" t="str">
        <f>VLOOKUP(V267,名簿!A:L,5,FALSE)</f>
        <v>-</v>
      </c>
      <c r="Z267" s="243" t="str">
        <f>VLOOKUP(V267,名簿!A:L,11,FALSE)</f>
        <v>コスメラボラトリー</v>
      </c>
      <c r="AA267" s="243" t="str">
        <f>VLOOKUP(V267,名簿!A:L,12,FALSE)</f>
        <v>3F/事務所</v>
      </c>
    </row>
    <row r="268" spans="1:27">
      <c r="A268" s="301">
        <v>262</v>
      </c>
      <c r="B268" s="248">
        <v>45863</v>
      </c>
      <c r="F268" s="252" t="s">
        <v>322</v>
      </c>
      <c r="K268" s="265">
        <v>1</v>
      </c>
      <c r="L268" s="265">
        <v>1</v>
      </c>
      <c r="P268" s="251">
        <v>1</v>
      </c>
      <c r="S268" s="310"/>
      <c r="V268" s="243" t="s">
        <v>392</v>
      </c>
      <c r="W268" s="243" t="str">
        <f>VLOOKUP(V268,名簿!A:L,3,FALSE)</f>
        <v>技術製造部</v>
      </c>
      <c r="X268" s="243" t="str">
        <f>VLOOKUP(V268,名簿!A:L,4,FALSE)</f>
        <v>製造課</v>
      </c>
      <c r="Y268" s="243" t="str">
        <f>VLOOKUP(V268,名簿!A:L,5,FALSE)</f>
        <v>充填包装</v>
      </c>
      <c r="Z268" s="243" t="str">
        <f>VLOOKUP(V268,名簿!A:L,11,FALSE)</f>
        <v>コスメラボラトリー</v>
      </c>
      <c r="AA268" s="243" t="str">
        <f>VLOOKUP(V268,名簿!A:L,12,FALSE)</f>
        <v>1F/作業場南</v>
      </c>
    </row>
    <row r="269" spans="1:27">
      <c r="A269" s="301">
        <v>263</v>
      </c>
      <c r="B269" s="248">
        <v>45863</v>
      </c>
      <c r="F269" s="252" t="s">
        <v>322</v>
      </c>
      <c r="K269" s="265">
        <v>1</v>
      </c>
      <c r="L269" s="265">
        <v>1</v>
      </c>
      <c r="P269" s="251">
        <v>1</v>
      </c>
      <c r="R269" s="108" t="s">
        <v>358</v>
      </c>
      <c r="S269" s="310"/>
      <c r="V269" s="243" t="s">
        <v>395</v>
      </c>
      <c r="W269" s="243" t="str">
        <f>VLOOKUP(V269,名簿!A:L,3,FALSE)</f>
        <v>EC事業部</v>
      </c>
      <c r="X269" s="243" t="str">
        <f>VLOOKUP(V269,名簿!A:L,4,FALSE)</f>
        <v>EC事業課</v>
      </c>
      <c r="Y269" s="243" t="str">
        <f>VLOOKUP(V269,名簿!A:L,5,FALSE)</f>
        <v>-</v>
      </c>
      <c r="Z269" s="243" t="str">
        <f>VLOOKUP(V269,名簿!A:L,11,FALSE)</f>
        <v>コスメラボラトリー</v>
      </c>
      <c r="AA269" s="243" t="str">
        <f>VLOOKUP(V269,名簿!A:L,12,FALSE)</f>
        <v>3F/事務所</v>
      </c>
    </row>
    <row r="270" spans="1:27">
      <c r="A270" s="301">
        <v>264</v>
      </c>
      <c r="B270" s="248">
        <v>45863</v>
      </c>
      <c r="F270" s="252" t="s">
        <v>322</v>
      </c>
      <c r="K270" s="265">
        <v>1</v>
      </c>
      <c r="L270" s="265">
        <v>1</v>
      </c>
      <c r="P270" s="251">
        <v>1</v>
      </c>
      <c r="R270" s="108" t="s">
        <v>398</v>
      </c>
      <c r="S270" s="310"/>
      <c r="V270" s="243" t="s">
        <v>396</v>
      </c>
      <c r="W270" s="243" t="str">
        <f>VLOOKUP(V270,名簿!A:L,3,FALSE)</f>
        <v>技術製造部</v>
      </c>
      <c r="X270" s="243" t="str">
        <f>VLOOKUP(V270,名簿!A:L,4,FALSE)</f>
        <v>製造課</v>
      </c>
      <c r="Y270" s="243" t="str">
        <f>VLOOKUP(V270,名簿!A:L,5,FALSE)</f>
        <v>充填包装</v>
      </c>
      <c r="Z270" s="243" t="str">
        <f>VLOOKUP(V270,名簿!A:L,11,FALSE)</f>
        <v>コスメファクトリー</v>
      </c>
      <c r="AA270" s="243" t="str">
        <f>VLOOKUP(V270,名簿!A:L,12,FALSE)</f>
        <v>2F/充填ライン北</v>
      </c>
    </row>
    <row r="271" spans="1:27">
      <c r="A271" s="301">
        <v>265</v>
      </c>
      <c r="B271" s="248">
        <v>45863</v>
      </c>
      <c r="F271" s="252" t="s">
        <v>322</v>
      </c>
      <c r="K271" s="265">
        <v>1</v>
      </c>
      <c r="L271" s="265">
        <v>1</v>
      </c>
      <c r="P271" s="251">
        <v>1</v>
      </c>
      <c r="S271" s="310"/>
      <c r="V271" s="243" t="s">
        <v>400</v>
      </c>
      <c r="W271" s="243" t="str">
        <f>VLOOKUP(V271,名簿!A:L,3,FALSE)</f>
        <v>技術製造部</v>
      </c>
      <c r="X271" s="243" t="str">
        <f>VLOOKUP(V271,名簿!A:L,4,FALSE)</f>
        <v>製造課</v>
      </c>
      <c r="Y271" s="243" t="str">
        <f>VLOOKUP(V271,名簿!A:L,5,FALSE)</f>
        <v>充填包装</v>
      </c>
      <c r="Z271" s="243" t="str">
        <f>VLOOKUP(V271,名簿!A:L,11,FALSE)</f>
        <v>コスメファクトリー</v>
      </c>
      <c r="AA271" s="243" t="str">
        <f>VLOOKUP(V271,名簿!A:L,12,FALSE)</f>
        <v>2F/充填ライン北</v>
      </c>
    </row>
    <row r="272" spans="1:27">
      <c r="A272" s="301">
        <v>266</v>
      </c>
      <c r="B272" s="248">
        <v>45863</v>
      </c>
      <c r="F272" s="252" t="s">
        <v>322</v>
      </c>
      <c r="G272" s="252" t="s">
        <v>2241</v>
      </c>
      <c r="H272" s="265">
        <v>1</v>
      </c>
      <c r="K272" s="265">
        <v>1</v>
      </c>
      <c r="L272" s="265">
        <v>1</v>
      </c>
      <c r="P272" s="251">
        <v>4</v>
      </c>
      <c r="R272" s="108" t="s">
        <v>2019</v>
      </c>
      <c r="S272" s="310"/>
      <c r="V272" s="243" t="s">
        <v>403</v>
      </c>
      <c r="W272" s="243" t="str">
        <f>VLOOKUP(V272,名簿!A:L,3,FALSE)</f>
        <v>技術製造部</v>
      </c>
      <c r="X272" s="243" t="str">
        <f>VLOOKUP(V272,名簿!A:L,4,FALSE)</f>
        <v>製造課</v>
      </c>
      <c r="Y272" s="243" t="str">
        <f>VLOOKUP(V272,名簿!A:L,5,FALSE)</f>
        <v>充填包装</v>
      </c>
      <c r="Z272" s="243" t="str">
        <f>VLOOKUP(V272,名簿!A:L,11,FALSE)</f>
        <v>コスメファクトリー</v>
      </c>
      <c r="AA272" s="243" t="str">
        <f>VLOOKUP(V272,名簿!A:L,12,FALSE)</f>
        <v>2F/充填ライン南</v>
      </c>
    </row>
    <row r="273" spans="1:27">
      <c r="A273" s="301">
        <v>267</v>
      </c>
      <c r="B273" s="248">
        <v>45863</v>
      </c>
      <c r="F273" s="252" t="s">
        <v>322</v>
      </c>
      <c r="K273" s="265">
        <v>1</v>
      </c>
      <c r="L273" s="265">
        <v>1</v>
      </c>
      <c r="P273" s="251">
        <v>5</v>
      </c>
      <c r="R273" s="108" t="s">
        <v>413</v>
      </c>
      <c r="S273" s="310"/>
      <c r="V273" s="243" t="s">
        <v>409</v>
      </c>
      <c r="W273" s="243" t="str">
        <f>VLOOKUP(V273,名簿!A:L,3,FALSE)</f>
        <v>技術製造部</v>
      </c>
      <c r="X273" s="243" t="str">
        <f>VLOOKUP(V273,名簿!A:L,4,FALSE)</f>
        <v>製造課</v>
      </c>
      <c r="Y273" s="243" t="str">
        <f>VLOOKUP(V273,名簿!A:L,5,FALSE)</f>
        <v>充填包装</v>
      </c>
      <c r="Z273" s="243" t="str">
        <f>VLOOKUP(V273,名簿!A:L,11,FALSE)</f>
        <v>コスメラボラトリー</v>
      </c>
      <c r="AA273" s="243" t="str">
        <f>VLOOKUP(V273,名簿!A:L,12,FALSE)</f>
        <v>2F/事務所</v>
      </c>
    </row>
    <row r="274" spans="1:27">
      <c r="A274" s="301">
        <v>268</v>
      </c>
      <c r="B274" s="248">
        <v>45863</v>
      </c>
      <c r="F274" s="252" t="s">
        <v>322</v>
      </c>
      <c r="G274" s="252" t="s">
        <v>2241</v>
      </c>
      <c r="H274" s="265">
        <v>1</v>
      </c>
      <c r="K274" s="265">
        <v>1</v>
      </c>
      <c r="L274" s="265">
        <v>1</v>
      </c>
      <c r="P274" s="251">
        <v>4</v>
      </c>
      <c r="R274" s="108" t="s">
        <v>418</v>
      </c>
      <c r="S274" s="310"/>
      <c r="V274" s="243" t="s">
        <v>1994</v>
      </c>
      <c r="W274" s="243" t="str">
        <f>VLOOKUP(V274,名簿!A:L,3,FALSE)</f>
        <v>技術製造部</v>
      </c>
      <c r="X274" s="243" t="str">
        <f>VLOOKUP(V274,名簿!A:L,4,FALSE)</f>
        <v>製造課</v>
      </c>
      <c r="Y274" s="243" t="str">
        <f>VLOOKUP(V274,名簿!A:L,5,FALSE)</f>
        <v>バルク・顆粒</v>
      </c>
      <c r="Z274" s="243" t="str">
        <f>VLOOKUP(V274,名簿!A:L,11,FALSE)</f>
        <v>コスメラボラトリー</v>
      </c>
      <c r="AA274" s="243" t="str">
        <f>VLOOKUP(V274,名簿!A:L,12,FALSE)</f>
        <v>2F/事務所</v>
      </c>
    </row>
    <row r="275" spans="1:27">
      <c r="A275" s="301">
        <v>269</v>
      </c>
      <c r="B275" s="248">
        <v>45863</v>
      </c>
      <c r="F275" s="252" t="s">
        <v>322</v>
      </c>
      <c r="K275" s="265">
        <v>1</v>
      </c>
      <c r="L275" s="265">
        <v>1</v>
      </c>
      <c r="P275" s="251">
        <v>1</v>
      </c>
      <c r="R275" s="108" t="s">
        <v>423</v>
      </c>
      <c r="S275" s="310"/>
      <c r="V275" s="243" t="s">
        <v>420</v>
      </c>
      <c r="W275" s="243" t="str">
        <f>VLOOKUP(V275,名簿!A:L,3,FALSE)</f>
        <v>技術製造部</v>
      </c>
      <c r="X275" s="243" t="str">
        <f>VLOOKUP(V275,名簿!A:L,4,FALSE)</f>
        <v>製造課</v>
      </c>
      <c r="Y275" s="243" t="str">
        <f>VLOOKUP(V275,名簿!A:L,5,FALSE)</f>
        <v>粉体</v>
      </c>
      <c r="Z275" s="243" t="str">
        <f>VLOOKUP(V275,名簿!A:L,11,FALSE)</f>
        <v>コスメラボラトリー</v>
      </c>
      <c r="AA275" s="243" t="str">
        <f>VLOOKUP(V275,名簿!A:L,12,FALSE)</f>
        <v>2F/作業場南</v>
      </c>
    </row>
    <row r="276" spans="1:27">
      <c r="A276" s="301">
        <v>270</v>
      </c>
      <c r="B276" s="248">
        <v>45863</v>
      </c>
      <c r="F276" s="252" t="s">
        <v>322</v>
      </c>
      <c r="K276" s="265">
        <v>1</v>
      </c>
      <c r="L276" s="265">
        <v>1</v>
      </c>
      <c r="P276" s="251">
        <v>1</v>
      </c>
      <c r="R276" s="108" t="s">
        <v>360</v>
      </c>
      <c r="S276" s="310"/>
      <c r="V276" s="243" t="s">
        <v>1201</v>
      </c>
      <c r="W276" s="243" t="str">
        <f>VLOOKUP(V276,名簿!A:L,3,FALSE)</f>
        <v>品質保証部</v>
      </c>
      <c r="X276" s="243" t="str">
        <f>VLOOKUP(V276,名簿!A:L,4,FALSE)</f>
        <v>品質管理課</v>
      </c>
      <c r="Y276" s="243" t="str">
        <f>VLOOKUP(V276,名簿!A:L,5,FALSE)</f>
        <v>-</v>
      </c>
      <c r="Z276" s="243" t="str">
        <f>VLOOKUP(V276,名簿!A:L,11,FALSE)</f>
        <v>コスメラボラトリー</v>
      </c>
      <c r="AA276" s="243" t="str">
        <f>VLOOKUP(V276,名簿!A:L,12,FALSE)</f>
        <v>3F/事務所</v>
      </c>
    </row>
    <row r="277" spans="1:27">
      <c r="A277" s="301">
        <v>271</v>
      </c>
      <c r="B277" s="248">
        <v>45863</v>
      </c>
      <c r="F277" s="252" t="s">
        <v>322</v>
      </c>
      <c r="G277" s="252" t="s">
        <v>2241</v>
      </c>
      <c r="H277" s="265">
        <v>1</v>
      </c>
      <c r="K277" s="265">
        <v>1</v>
      </c>
      <c r="L277" s="265">
        <v>1</v>
      </c>
      <c r="P277" s="251">
        <v>4</v>
      </c>
      <c r="R277" s="108" t="s">
        <v>429</v>
      </c>
      <c r="S277" s="310"/>
      <c r="V277" s="243" t="s">
        <v>427</v>
      </c>
      <c r="W277" s="243" t="str">
        <f>VLOOKUP(V277,名簿!A:L,3,FALSE)</f>
        <v>技術製造部</v>
      </c>
      <c r="X277" s="243" t="str">
        <f>VLOOKUP(V277,名簿!A:L,4,FALSE)</f>
        <v>製造課</v>
      </c>
      <c r="Y277" s="243" t="str">
        <f>VLOOKUP(V277,名簿!A:L,5,FALSE)</f>
        <v>バルク・顆粒</v>
      </c>
      <c r="Z277" s="243" t="str">
        <f>VLOOKUP(V277,名簿!A:L,11,FALSE)</f>
        <v>コスメファクトリー</v>
      </c>
      <c r="AA277" s="243" t="str">
        <f>VLOOKUP(V277,名簿!A:L,12,FALSE)</f>
        <v>1F/バルク室</v>
      </c>
    </row>
    <row r="278" spans="1:27" ht="22.8">
      <c r="A278" s="301">
        <v>272</v>
      </c>
      <c r="B278" s="248">
        <v>45863</v>
      </c>
      <c r="F278" s="252" t="s">
        <v>322</v>
      </c>
      <c r="K278" s="265">
        <v>1</v>
      </c>
      <c r="L278" s="265">
        <v>1</v>
      </c>
      <c r="P278" s="251">
        <v>4</v>
      </c>
      <c r="R278" s="108" t="s">
        <v>432</v>
      </c>
      <c r="S278" s="310"/>
      <c r="V278" s="243" t="s">
        <v>430</v>
      </c>
      <c r="W278" s="243" t="str">
        <f>VLOOKUP(V278,名簿!A:L,3,FALSE)</f>
        <v>研究開発部</v>
      </c>
      <c r="X278" s="243" t="str">
        <f>VLOOKUP(V278,名簿!A:L,4,FALSE)</f>
        <v>研究開発課</v>
      </c>
      <c r="Y278" s="243" t="str">
        <f>VLOOKUP(V278,名簿!A:L,5,FALSE)</f>
        <v>-</v>
      </c>
      <c r="Z278" s="243" t="str">
        <f>VLOOKUP(V278,名簿!A:L,11,FALSE)</f>
        <v>コスメラボラトリー</v>
      </c>
      <c r="AA278" s="243" t="str">
        <f>VLOOKUP(V278,名簿!A:L,12,FALSE)</f>
        <v>3F/事務所</v>
      </c>
    </row>
    <row r="279" spans="1:27">
      <c r="A279" s="301">
        <v>273</v>
      </c>
      <c r="B279" s="248">
        <v>45863</v>
      </c>
      <c r="F279" s="252" t="s">
        <v>322</v>
      </c>
      <c r="K279" s="265">
        <v>1</v>
      </c>
      <c r="L279" s="265">
        <v>1</v>
      </c>
      <c r="P279" s="251">
        <v>1</v>
      </c>
      <c r="R279" s="108" t="s">
        <v>358</v>
      </c>
      <c r="S279" s="310"/>
      <c r="V279" s="243" t="s">
        <v>434</v>
      </c>
      <c r="W279" s="243" t="str">
        <f>VLOOKUP(V279,名簿!A:L,3,FALSE)</f>
        <v>技術製造部</v>
      </c>
      <c r="X279" s="243" t="str">
        <f>VLOOKUP(V279,名簿!A:L,4,FALSE)</f>
        <v>製造課</v>
      </c>
      <c r="Y279" s="243" t="str">
        <f>VLOOKUP(V279,名簿!A:L,5,FALSE)</f>
        <v>バルク・顆粒</v>
      </c>
      <c r="Z279" s="243" t="str">
        <f>VLOOKUP(V279,名簿!A:L,11,FALSE)</f>
        <v>コスメファクトリー</v>
      </c>
      <c r="AA279" s="243" t="str">
        <f>VLOOKUP(V279,名簿!A:L,12,FALSE)</f>
        <v>1F/バルク室</v>
      </c>
    </row>
    <row r="280" spans="1:27">
      <c r="A280" s="301">
        <v>274</v>
      </c>
      <c r="B280" s="248">
        <v>45863</v>
      </c>
      <c r="F280" s="252" t="s">
        <v>322</v>
      </c>
      <c r="K280" s="265">
        <v>1</v>
      </c>
      <c r="L280" s="265">
        <v>1</v>
      </c>
      <c r="P280" s="251">
        <v>1</v>
      </c>
      <c r="R280" s="108" t="s">
        <v>423</v>
      </c>
      <c r="S280" s="310"/>
      <c r="V280" s="243" t="s">
        <v>435</v>
      </c>
      <c r="W280" s="243" t="str">
        <f>VLOOKUP(V280,名簿!A:L,3,FALSE)</f>
        <v>技術製造部</v>
      </c>
      <c r="X280" s="243" t="str">
        <f>VLOOKUP(V280,名簿!A:L,4,FALSE)</f>
        <v>製造課</v>
      </c>
      <c r="Y280" s="243" t="str">
        <f>VLOOKUP(V280,名簿!A:L,5,FALSE)</f>
        <v>バルク・顆粒</v>
      </c>
      <c r="Z280" s="243" t="str">
        <f>VLOOKUP(V280,名簿!A:L,11,FALSE)</f>
        <v>コスメファクトリー</v>
      </c>
      <c r="AA280" s="243" t="str">
        <f>VLOOKUP(V280,名簿!A:L,12,FALSE)</f>
        <v>1F/バルク室</v>
      </c>
    </row>
    <row r="281" spans="1:27">
      <c r="A281" s="301">
        <v>275</v>
      </c>
      <c r="B281" s="248">
        <v>45863</v>
      </c>
      <c r="F281" s="252" t="s">
        <v>322</v>
      </c>
      <c r="K281" s="265">
        <v>1</v>
      </c>
      <c r="L281" s="265">
        <v>1</v>
      </c>
      <c r="P281" s="251">
        <v>1</v>
      </c>
      <c r="S281" s="310"/>
      <c r="V281" s="243" t="s">
        <v>440</v>
      </c>
      <c r="W281" s="243" t="str">
        <f>VLOOKUP(V281,名簿!A:L,3,FALSE)</f>
        <v>品質保証部</v>
      </c>
      <c r="X281" s="243" t="str">
        <f>VLOOKUP(V281,名簿!A:L,4,FALSE)</f>
        <v>品質管理課</v>
      </c>
      <c r="Y281" s="243" t="str">
        <f>VLOOKUP(V281,名簿!A:L,5,FALSE)</f>
        <v>-</v>
      </c>
      <c r="Z281" s="243" t="str">
        <f>VLOOKUP(V281,名簿!A:L,11,FALSE)</f>
        <v>コスメラボラトリー</v>
      </c>
      <c r="AA281" s="243" t="str">
        <f>VLOOKUP(V281,名簿!A:L,12,FALSE)</f>
        <v>3F/事務所</v>
      </c>
    </row>
    <row r="282" spans="1:27">
      <c r="A282" s="301">
        <v>276</v>
      </c>
      <c r="B282" s="248">
        <v>45863</v>
      </c>
      <c r="F282" s="252" t="s">
        <v>322</v>
      </c>
      <c r="K282" s="265">
        <v>1</v>
      </c>
      <c r="L282" s="265">
        <v>1</v>
      </c>
      <c r="P282" s="251">
        <v>5</v>
      </c>
      <c r="R282" s="108" t="s">
        <v>447</v>
      </c>
      <c r="S282" s="310"/>
      <c r="V282" s="243" t="s">
        <v>443</v>
      </c>
      <c r="W282" s="243" t="str">
        <f>VLOOKUP(V282,名簿!A:L,3,FALSE)</f>
        <v>研究開発部</v>
      </c>
      <c r="X282" s="243" t="str">
        <f>VLOOKUP(V282,名簿!A:L,4,FALSE)</f>
        <v>研究開発課</v>
      </c>
      <c r="Y282" s="243" t="str">
        <f>VLOOKUP(V282,名簿!A:L,5,FALSE)</f>
        <v>-</v>
      </c>
      <c r="Z282" s="243" t="str">
        <f>VLOOKUP(V282,名簿!A:L,11,FALSE)</f>
        <v>コスメラボラトリー</v>
      </c>
      <c r="AA282" s="243" t="str">
        <f>VLOOKUP(V282,名簿!A:L,12,FALSE)</f>
        <v>3F/事務所</v>
      </c>
    </row>
    <row r="283" spans="1:27">
      <c r="A283" s="301">
        <v>277</v>
      </c>
      <c r="B283" s="248">
        <v>45863</v>
      </c>
      <c r="F283" s="252" t="s">
        <v>322</v>
      </c>
      <c r="K283" s="265">
        <v>1</v>
      </c>
      <c r="L283" s="265">
        <v>1</v>
      </c>
      <c r="P283" s="251">
        <v>5</v>
      </c>
      <c r="R283" s="108" t="s">
        <v>453</v>
      </c>
      <c r="S283" s="310"/>
      <c r="V283" s="243" t="s">
        <v>449</v>
      </c>
      <c r="W283" s="243" t="str">
        <f>VLOOKUP(V283,名簿!A:L,3,FALSE)</f>
        <v>研究開発部</v>
      </c>
      <c r="X283" s="243" t="str">
        <f>VLOOKUP(V283,名簿!A:L,4,FALSE)</f>
        <v>研究開発課</v>
      </c>
      <c r="Y283" s="243" t="str">
        <f>VLOOKUP(V283,名簿!A:L,5,FALSE)</f>
        <v>-</v>
      </c>
      <c r="Z283" s="243" t="str">
        <f>VLOOKUP(V283,名簿!A:L,11,FALSE)</f>
        <v>コスメラボラトリー</v>
      </c>
      <c r="AA283" s="243" t="str">
        <f>VLOOKUP(V283,名簿!A:L,12,FALSE)</f>
        <v>3F/事務所</v>
      </c>
    </row>
    <row r="284" spans="1:27">
      <c r="A284" s="301">
        <v>278</v>
      </c>
      <c r="B284" s="248">
        <v>45863</v>
      </c>
      <c r="F284" s="252" t="s">
        <v>322</v>
      </c>
      <c r="K284" s="265">
        <v>1</v>
      </c>
      <c r="L284" s="265">
        <v>1</v>
      </c>
      <c r="P284" s="251">
        <v>1</v>
      </c>
      <c r="S284" s="310"/>
      <c r="V284" s="243" t="s">
        <v>455</v>
      </c>
      <c r="W284" s="243" t="str">
        <f>VLOOKUP(V284,名簿!A:L,3,FALSE)</f>
        <v>研究開発部</v>
      </c>
      <c r="X284" s="243" t="str">
        <f>VLOOKUP(V284,名簿!A:L,4,FALSE)</f>
        <v>研究開発課</v>
      </c>
      <c r="Y284" s="243" t="str">
        <f>VLOOKUP(V284,名簿!A:L,5,FALSE)</f>
        <v>-</v>
      </c>
      <c r="Z284" s="243" t="str">
        <f>VLOOKUP(V284,名簿!A:L,11,FALSE)</f>
        <v>コスメラボラトリー</v>
      </c>
      <c r="AA284" s="243" t="str">
        <f>VLOOKUP(V284,名簿!A:L,12,FALSE)</f>
        <v>3F/試験室</v>
      </c>
    </row>
    <row r="285" spans="1:27">
      <c r="A285" s="301">
        <v>279</v>
      </c>
      <c r="B285" s="248">
        <v>45863</v>
      </c>
      <c r="F285" s="252" t="s">
        <v>322</v>
      </c>
      <c r="K285" s="265">
        <v>1</v>
      </c>
      <c r="L285" s="265">
        <v>1</v>
      </c>
      <c r="P285" s="251">
        <v>5</v>
      </c>
      <c r="R285" s="108" t="s">
        <v>462</v>
      </c>
      <c r="S285" s="310"/>
      <c r="V285" s="243" t="s">
        <v>458</v>
      </c>
      <c r="W285" s="243" t="str">
        <f>VLOOKUP(V285,名簿!A:L,3,FALSE)</f>
        <v>研究開発部</v>
      </c>
      <c r="X285" s="243" t="str">
        <f>VLOOKUP(V285,名簿!A:L,4,FALSE)</f>
        <v>研究開発課</v>
      </c>
      <c r="Y285" s="243" t="str">
        <f>VLOOKUP(V285,名簿!A:L,5,FALSE)</f>
        <v>-</v>
      </c>
      <c r="Z285" s="243" t="str">
        <f>VLOOKUP(V285,名簿!A:L,11,FALSE)</f>
        <v>コスメラボラトリー</v>
      </c>
      <c r="AA285" s="243" t="str">
        <f>VLOOKUP(V285,名簿!A:L,12,FALSE)</f>
        <v>3F/事務所</v>
      </c>
    </row>
    <row r="286" spans="1:27" ht="34.200000000000003">
      <c r="A286" s="301">
        <v>280</v>
      </c>
      <c r="B286" s="248">
        <v>45863</v>
      </c>
      <c r="F286" s="252" t="s">
        <v>322</v>
      </c>
      <c r="K286" s="265">
        <v>1</v>
      </c>
      <c r="L286" s="265">
        <v>1</v>
      </c>
      <c r="P286" s="251">
        <v>5</v>
      </c>
      <c r="R286" s="108" t="s">
        <v>2031</v>
      </c>
      <c r="S286" s="310"/>
      <c r="V286" s="243" t="s">
        <v>464</v>
      </c>
      <c r="W286" s="243" t="str">
        <f>VLOOKUP(V286,名簿!A:L,3,FALSE)</f>
        <v>EC事業部</v>
      </c>
      <c r="X286" s="243" t="str">
        <f>VLOOKUP(V286,名簿!A:L,4,FALSE)</f>
        <v>EC事業課</v>
      </c>
      <c r="Y286" s="243" t="str">
        <f>VLOOKUP(V286,名簿!A:L,5,FALSE)</f>
        <v>-</v>
      </c>
      <c r="Z286" s="243" t="str">
        <f>VLOOKUP(V286,名簿!A:L,11,FALSE)</f>
        <v>コスメラボラトリー</v>
      </c>
      <c r="AA286" s="243" t="str">
        <f>VLOOKUP(V286,名簿!A:L,12,FALSE)</f>
        <v>3F/事務所</v>
      </c>
    </row>
    <row r="287" spans="1:27" ht="22.8">
      <c r="A287" s="301">
        <v>281</v>
      </c>
      <c r="B287" s="248">
        <v>45863</v>
      </c>
      <c r="F287" s="252" t="s">
        <v>322</v>
      </c>
      <c r="G287" s="252" t="s">
        <v>2241</v>
      </c>
      <c r="H287" s="265">
        <v>1</v>
      </c>
      <c r="K287" s="265">
        <v>1</v>
      </c>
      <c r="L287" s="265">
        <v>1</v>
      </c>
      <c r="P287" s="251">
        <v>4</v>
      </c>
      <c r="R287" s="108" t="s">
        <v>1978</v>
      </c>
      <c r="S287" s="310"/>
      <c r="V287" s="243" t="s">
        <v>471</v>
      </c>
      <c r="W287" s="243" t="str">
        <f>VLOOKUP(V287,名簿!A:L,3,FALSE)</f>
        <v>技術製造部</v>
      </c>
      <c r="X287" s="243" t="str">
        <f>VLOOKUP(V287,名簿!A:L,4,FALSE)</f>
        <v>生産管理課</v>
      </c>
      <c r="Y287" s="243" t="str">
        <f>VLOOKUP(V287,名簿!A:L,5,FALSE)</f>
        <v>生産管理</v>
      </c>
      <c r="Z287" s="243" t="str">
        <f>VLOOKUP(V287,名簿!A:L,11,FALSE)</f>
        <v>本社</v>
      </c>
      <c r="AA287" s="243" t="str">
        <f>VLOOKUP(V287,名簿!A:L,12,FALSE)</f>
        <v>3F/シンク前</v>
      </c>
    </row>
    <row r="288" spans="1:27">
      <c r="A288" s="301">
        <v>282</v>
      </c>
      <c r="B288" s="248">
        <v>45863</v>
      </c>
      <c r="F288" s="252" t="s">
        <v>322</v>
      </c>
      <c r="K288" s="265">
        <v>1</v>
      </c>
      <c r="L288" s="265">
        <v>1</v>
      </c>
      <c r="P288" s="251">
        <v>1</v>
      </c>
      <c r="S288" s="310"/>
      <c r="V288" s="243" t="s">
        <v>478</v>
      </c>
      <c r="W288" s="243" t="str">
        <f>VLOOKUP(V288,名簿!A:L,3,FALSE)</f>
        <v>技術製造部</v>
      </c>
      <c r="X288" s="243" t="str">
        <f>VLOOKUP(V288,名簿!A:L,4,FALSE)</f>
        <v>生産管理課</v>
      </c>
      <c r="Y288" s="243" t="str">
        <f>VLOOKUP(V288,名簿!A:L,5,FALSE)</f>
        <v>物流</v>
      </c>
      <c r="Z288" s="243" t="str">
        <f>VLOOKUP(V288,名簿!A:L,11,FALSE)</f>
        <v>第一倉庫</v>
      </c>
      <c r="AA288" s="243" t="str">
        <f>VLOOKUP(V288,名簿!A:L,12,FALSE)</f>
        <v>1F/南西角</v>
      </c>
    </row>
    <row r="289" spans="1:27" ht="34.200000000000003">
      <c r="A289" s="301">
        <v>283</v>
      </c>
      <c r="B289" s="248">
        <v>45863</v>
      </c>
      <c r="F289" s="252" t="s">
        <v>322</v>
      </c>
      <c r="K289" s="265">
        <v>1</v>
      </c>
      <c r="L289" s="265">
        <v>1</v>
      </c>
      <c r="P289" s="251">
        <v>5</v>
      </c>
      <c r="R289" s="108" t="s">
        <v>2032</v>
      </c>
      <c r="S289" s="310"/>
      <c r="V289" s="243" t="s">
        <v>483</v>
      </c>
      <c r="W289" s="243" t="str">
        <f>VLOOKUP(V289,名簿!A:L,3,FALSE)</f>
        <v>技術製造部</v>
      </c>
      <c r="X289" s="243" t="str">
        <f>VLOOKUP(V289,名簿!A:L,4,FALSE)</f>
        <v>生産管理課</v>
      </c>
      <c r="Y289" s="243" t="str">
        <f>VLOOKUP(V289,名簿!A:L,5,FALSE)</f>
        <v>生産管理</v>
      </c>
      <c r="Z289" s="243" t="str">
        <f>VLOOKUP(V289,名簿!A:L,11,FALSE)</f>
        <v>本社</v>
      </c>
      <c r="AA289" s="243" t="str">
        <f>VLOOKUP(V289,名簿!A:L,12,FALSE)</f>
        <v>3F/シンク前</v>
      </c>
    </row>
    <row r="290" spans="1:27">
      <c r="A290" s="301">
        <v>284</v>
      </c>
      <c r="B290" s="248">
        <v>45863</v>
      </c>
      <c r="F290" s="252" t="s">
        <v>322</v>
      </c>
      <c r="G290" s="252" t="s">
        <v>2241</v>
      </c>
      <c r="H290" s="265">
        <v>1</v>
      </c>
      <c r="K290" s="265">
        <v>1</v>
      </c>
      <c r="L290" s="265">
        <v>1</v>
      </c>
      <c r="P290" s="251">
        <v>4</v>
      </c>
      <c r="R290" s="108" t="s">
        <v>493</v>
      </c>
      <c r="S290" s="310"/>
      <c r="V290" s="243" t="s">
        <v>489</v>
      </c>
      <c r="W290" s="243" t="str">
        <f>VLOOKUP(V290,名簿!A:L,3,FALSE)</f>
        <v>技術製造部</v>
      </c>
      <c r="X290" s="243" t="str">
        <f>VLOOKUP(V290,名簿!A:L,4,FALSE)</f>
        <v>生産管理課</v>
      </c>
      <c r="Y290" s="243" t="str">
        <f>VLOOKUP(V290,名簿!A:L,5,FALSE)</f>
        <v>生産管理事務</v>
      </c>
      <c r="Z290" s="243" t="str">
        <f>VLOOKUP(V290,名簿!A:L,11,FALSE)</f>
        <v>本社</v>
      </c>
      <c r="AA290" s="243" t="str">
        <f>VLOOKUP(V290,名簿!A:L,12,FALSE)</f>
        <v>3F/シンク前</v>
      </c>
    </row>
    <row r="291" spans="1:27">
      <c r="A291" s="301">
        <v>285</v>
      </c>
      <c r="B291" s="248">
        <v>45863</v>
      </c>
      <c r="F291" s="252" t="s">
        <v>322</v>
      </c>
      <c r="K291" s="265">
        <v>1</v>
      </c>
      <c r="L291" s="265">
        <v>1</v>
      </c>
      <c r="P291" s="251">
        <v>5</v>
      </c>
      <c r="R291" s="108" t="s">
        <v>2033</v>
      </c>
      <c r="S291" s="310"/>
      <c r="V291" s="243" t="s">
        <v>495</v>
      </c>
      <c r="W291" s="243" t="str">
        <f>VLOOKUP(V291,名簿!A:L,3,FALSE)</f>
        <v>技術製造部</v>
      </c>
      <c r="X291" s="243" t="str">
        <f>VLOOKUP(V291,名簿!A:L,4,FALSE)</f>
        <v>生産管理課</v>
      </c>
      <c r="Y291" s="243" t="str">
        <f>VLOOKUP(V291,名簿!A:L,5,FALSE)</f>
        <v>生産管理</v>
      </c>
      <c r="Z291" s="243" t="str">
        <f>VLOOKUP(V291,名簿!A:L,11,FALSE)</f>
        <v>本社</v>
      </c>
      <c r="AA291" s="243" t="str">
        <f>VLOOKUP(V291,名簿!A:L,12,FALSE)</f>
        <v>3F/シンク前</v>
      </c>
    </row>
    <row r="292" spans="1:27">
      <c r="A292" s="301">
        <v>286</v>
      </c>
      <c r="B292" s="248">
        <v>45863</v>
      </c>
      <c r="F292" s="252" t="s">
        <v>322</v>
      </c>
      <c r="K292" s="265">
        <v>1</v>
      </c>
      <c r="L292" s="265">
        <v>1</v>
      </c>
      <c r="P292" s="251">
        <v>1</v>
      </c>
      <c r="R292" s="108" t="s">
        <v>358</v>
      </c>
      <c r="S292" s="310"/>
      <c r="V292" s="243" t="s">
        <v>501</v>
      </c>
      <c r="W292" s="243" t="str">
        <f>VLOOKUP(V292,名簿!A:L,3,FALSE)</f>
        <v>技術製造部</v>
      </c>
      <c r="X292" s="243" t="str">
        <f>VLOOKUP(V292,名簿!A:L,4,FALSE)</f>
        <v>製造課</v>
      </c>
      <c r="Y292" s="243" t="str">
        <f>VLOOKUP(V292,名簿!A:L,5,FALSE)</f>
        <v>粉体</v>
      </c>
      <c r="Z292" s="243" t="str">
        <f>VLOOKUP(V292,名簿!A:L,11,FALSE)</f>
        <v>本社</v>
      </c>
      <c r="AA292" s="243" t="str">
        <f>VLOOKUP(V292,名簿!A:L,12,FALSE)</f>
        <v>3F/シンク前</v>
      </c>
    </row>
    <row r="293" spans="1:27">
      <c r="A293" s="301">
        <v>287</v>
      </c>
      <c r="B293" s="248">
        <v>45863</v>
      </c>
      <c r="F293" s="252" t="s">
        <v>322</v>
      </c>
      <c r="G293" s="252" t="s">
        <v>2241</v>
      </c>
      <c r="H293" s="265">
        <v>1</v>
      </c>
      <c r="K293" s="265">
        <v>1</v>
      </c>
      <c r="L293" s="265">
        <v>1</v>
      </c>
      <c r="P293" s="251">
        <v>4</v>
      </c>
      <c r="R293" s="108" t="s">
        <v>1979</v>
      </c>
      <c r="S293" s="310"/>
      <c r="V293" s="243" t="s">
        <v>506</v>
      </c>
      <c r="W293" s="243" t="str">
        <f>VLOOKUP(V293,名簿!A:L,3,FALSE)</f>
        <v>技術製造部</v>
      </c>
      <c r="X293" s="243" t="str">
        <f>VLOOKUP(V293,名簿!A:L,4,FALSE)</f>
        <v>生産管理課</v>
      </c>
      <c r="Y293" s="243" t="str">
        <f>VLOOKUP(V293,名簿!A:L,5,FALSE)</f>
        <v>生産管理</v>
      </c>
      <c r="Z293" s="243" t="str">
        <f>VLOOKUP(V293,名簿!A:L,11,FALSE)</f>
        <v>本社</v>
      </c>
      <c r="AA293" s="243" t="str">
        <f>VLOOKUP(V293,名簿!A:L,12,FALSE)</f>
        <v>3F/シンク前</v>
      </c>
    </row>
    <row r="294" spans="1:27">
      <c r="A294" s="301">
        <v>288</v>
      </c>
      <c r="B294" s="248">
        <v>45863</v>
      </c>
      <c r="F294" s="252" t="s">
        <v>322</v>
      </c>
      <c r="G294" s="252" t="s">
        <v>2241</v>
      </c>
      <c r="H294" s="265">
        <v>1</v>
      </c>
      <c r="K294" s="265">
        <v>1</v>
      </c>
      <c r="L294" s="265">
        <v>1</v>
      </c>
      <c r="P294" s="251">
        <v>3</v>
      </c>
      <c r="R294" s="108" t="s">
        <v>516</v>
      </c>
      <c r="S294" s="310"/>
      <c r="V294" s="243" t="s">
        <v>512</v>
      </c>
      <c r="W294" s="243" t="str">
        <f>VLOOKUP(V294,名簿!A:L,3,FALSE)</f>
        <v>技術製造部</v>
      </c>
      <c r="X294" s="243" t="str">
        <f>VLOOKUP(V294,名簿!A:L,4,FALSE)</f>
        <v>生産管理課</v>
      </c>
      <c r="Y294" s="243" t="str">
        <f>VLOOKUP(V294,名簿!A:L,5,FALSE)</f>
        <v>生産管理事務</v>
      </c>
      <c r="Z294" s="243" t="str">
        <f>VLOOKUP(V294,名簿!A:L,11,FALSE)</f>
        <v>本社</v>
      </c>
      <c r="AA294" s="243" t="str">
        <f>VLOOKUP(V294,名簿!A:L,12,FALSE)</f>
        <v>3F/シンク前</v>
      </c>
    </row>
    <row r="295" spans="1:27">
      <c r="A295" s="301">
        <v>289</v>
      </c>
      <c r="B295" s="248">
        <v>45863</v>
      </c>
      <c r="F295" s="252" t="s">
        <v>322</v>
      </c>
      <c r="K295" s="265">
        <v>1</v>
      </c>
      <c r="L295" s="265">
        <v>1</v>
      </c>
      <c r="P295" s="251">
        <v>5</v>
      </c>
      <c r="R295" s="108" t="s">
        <v>522</v>
      </c>
      <c r="S295" s="310"/>
      <c r="V295" s="243" t="s">
        <v>519</v>
      </c>
      <c r="W295" s="243" t="str">
        <f>VLOOKUP(V295,名簿!A:L,3,FALSE)</f>
        <v>企画営業部</v>
      </c>
      <c r="X295" s="243" t="str">
        <f>VLOOKUP(V295,名簿!A:L,4,FALSE)</f>
        <v>企画課</v>
      </c>
      <c r="Y295" s="243" t="str">
        <f>VLOOKUP(V295,名簿!A:L,5,FALSE)</f>
        <v>-</v>
      </c>
      <c r="Z295" s="243" t="str">
        <f>VLOOKUP(V295,名簿!A:L,11,FALSE)</f>
        <v>本社</v>
      </c>
      <c r="AA295" s="243" t="str">
        <f>VLOOKUP(V295,名簿!A:L,12,FALSE)</f>
        <v>3F/シンク前</v>
      </c>
    </row>
    <row r="296" spans="1:27" ht="22.8">
      <c r="A296" s="301">
        <v>290</v>
      </c>
      <c r="B296" s="248">
        <v>45863</v>
      </c>
      <c r="F296" s="252" t="s">
        <v>322</v>
      </c>
      <c r="K296" s="265">
        <v>1</v>
      </c>
      <c r="L296" s="265">
        <v>1</v>
      </c>
      <c r="P296" s="251">
        <v>5</v>
      </c>
      <c r="R296" s="108" t="s">
        <v>528</v>
      </c>
      <c r="S296" s="310"/>
      <c r="V296" s="243" t="s">
        <v>524</v>
      </c>
      <c r="W296" s="243" t="str">
        <f>VLOOKUP(V296,名簿!A:L,3,FALSE)</f>
        <v>企画営業部</v>
      </c>
      <c r="X296" s="243" t="str">
        <f>VLOOKUP(V296,名簿!A:L,4,FALSE)</f>
        <v>企画課</v>
      </c>
      <c r="Y296" s="243" t="str">
        <f>VLOOKUP(V296,名簿!A:L,5,FALSE)</f>
        <v>-</v>
      </c>
      <c r="Z296" s="243" t="str">
        <f>VLOOKUP(V296,名簿!A:L,11,FALSE)</f>
        <v>本社</v>
      </c>
      <c r="AA296" s="243" t="str">
        <f>VLOOKUP(V296,名簿!A:L,12,FALSE)</f>
        <v>3F/シンク前</v>
      </c>
    </row>
    <row r="297" spans="1:27">
      <c r="A297" s="301">
        <v>291</v>
      </c>
      <c r="B297" s="248">
        <v>45863</v>
      </c>
      <c r="F297" s="252" t="s">
        <v>322</v>
      </c>
      <c r="G297" s="252" t="s">
        <v>2241</v>
      </c>
      <c r="H297" s="265">
        <v>1</v>
      </c>
      <c r="K297" s="265">
        <v>1</v>
      </c>
      <c r="L297" s="265">
        <v>1</v>
      </c>
      <c r="P297" s="251">
        <v>5</v>
      </c>
      <c r="R297" s="108" t="s">
        <v>533</v>
      </c>
      <c r="S297" s="310"/>
      <c r="V297" s="243" t="s">
        <v>530</v>
      </c>
      <c r="W297" s="243" t="str">
        <f>VLOOKUP(V297,名簿!A:L,3,FALSE)</f>
        <v>品質保証部</v>
      </c>
      <c r="X297" s="243" t="str">
        <f>VLOOKUP(V297,名簿!A:L,4,FALSE)</f>
        <v>品質管理課</v>
      </c>
      <c r="Y297" s="243" t="str">
        <f>VLOOKUP(V297,名簿!A:L,5,FALSE)</f>
        <v>-</v>
      </c>
      <c r="Z297" s="243" t="str">
        <f>VLOOKUP(V297,名簿!A:L,11,FALSE)</f>
        <v>本社</v>
      </c>
      <c r="AA297" s="243" t="str">
        <f>VLOOKUP(V297,名簿!A:L,12,FALSE)</f>
        <v>3F/シンク前</v>
      </c>
    </row>
    <row r="298" spans="1:27">
      <c r="A298" s="301">
        <v>292</v>
      </c>
      <c r="B298" s="248">
        <v>45863</v>
      </c>
      <c r="F298" s="252" t="s">
        <v>322</v>
      </c>
      <c r="K298" s="265">
        <v>1</v>
      </c>
      <c r="L298" s="265">
        <v>1</v>
      </c>
      <c r="P298" s="251">
        <v>4</v>
      </c>
      <c r="R298" s="108" t="s">
        <v>539</v>
      </c>
      <c r="S298" s="310"/>
      <c r="V298" s="243" t="s">
        <v>535</v>
      </c>
      <c r="W298" s="243" t="str">
        <f>VLOOKUP(V298,名簿!A:L,3,FALSE)</f>
        <v>管理部</v>
      </c>
      <c r="X298" s="243" t="str">
        <f>VLOOKUP(V298,名簿!A:L,4,FALSE)</f>
        <v>管理課</v>
      </c>
      <c r="Y298" s="243" t="str">
        <f>VLOOKUP(V298,名簿!A:L,5,FALSE)</f>
        <v>-</v>
      </c>
      <c r="Z298" s="243" t="str">
        <f>VLOOKUP(V298,名簿!A:L,11,FALSE)</f>
        <v>本社</v>
      </c>
      <c r="AA298" s="243" t="str">
        <f>VLOOKUP(V298,名簿!A:L,12,FALSE)</f>
        <v>3F/シンク前</v>
      </c>
    </row>
    <row r="299" spans="1:27">
      <c r="A299" s="301">
        <v>293</v>
      </c>
      <c r="B299" s="248">
        <v>45863</v>
      </c>
      <c r="F299" s="252" t="s">
        <v>322</v>
      </c>
      <c r="K299" s="265">
        <v>1</v>
      </c>
      <c r="L299" s="265">
        <v>1</v>
      </c>
      <c r="P299" s="251">
        <v>5</v>
      </c>
      <c r="R299" s="108" t="s">
        <v>545</v>
      </c>
      <c r="S299" s="310"/>
      <c r="V299" s="243" t="s">
        <v>541</v>
      </c>
      <c r="W299" s="243" t="str">
        <f>VLOOKUP(V299,名簿!A:L,3,FALSE)</f>
        <v>管理部</v>
      </c>
      <c r="X299" s="243" t="str">
        <f>VLOOKUP(V299,名簿!A:L,4,FALSE)</f>
        <v>管理課</v>
      </c>
      <c r="Y299" s="243" t="str">
        <f>VLOOKUP(V299,名簿!A:L,5,FALSE)</f>
        <v>-</v>
      </c>
      <c r="Z299" s="243" t="str">
        <f>VLOOKUP(V299,名簿!A:L,11,FALSE)</f>
        <v>本社</v>
      </c>
      <c r="AA299" s="243" t="str">
        <f>VLOOKUP(V299,名簿!A:L,12,FALSE)</f>
        <v>3F/シンク前</v>
      </c>
    </row>
    <row r="300" spans="1:27">
      <c r="A300" s="301">
        <v>294</v>
      </c>
      <c r="B300" s="248">
        <v>45863</v>
      </c>
      <c r="F300" s="252" t="s">
        <v>322</v>
      </c>
      <c r="K300" s="265">
        <v>1</v>
      </c>
      <c r="L300" s="265">
        <v>1</v>
      </c>
      <c r="P300" s="251">
        <v>3</v>
      </c>
      <c r="R300" s="108" t="s">
        <v>550</v>
      </c>
      <c r="S300" s="310"/>
      <c r="V300" s="243" t="s">
        <v>547</v>
      </c>
      <c r="W300" s="243" t="str">
        <f>VLOOKUP(V300,名簿!A:L,3,FALSE)</f>
        <v>管理部</v>
      </c>
      <c r="X300" s="243" t="str">
        <f>VLOOKUP(V300,名簿!A:L,4,FALSE)</f>
        <v>管理課</v>
      </c>
      <c r="Y300" s="243" t="str">
        <f>VLOOKUP(V300,名簿!A:L,5,FALSE)</f>
        <v>-</v>
      </c>
      <c r="Z300" s="243" t="str">
        <f>VLOOKUP(V300,名簿!A:L,11,FALSE)</f>
        <v>本社</v>
      </c>
      <c r="AA300" s="243" t="str">
        <f>VLOOKUP(V300,名簿!A:L,12,FALSE)</f>
        <v>3F/シンク前</v>
      </c>
    </row>
    <row r="301" spans="1:27">
      <c r="A301" s="301">
        <v>295</v>
      </c>
      <c r="B301" s="248">
        <v>45863</v>
      </c>
      <c r="F301" s="252" t="s">
        <v>322</v>
      </c>
      <c r="K301" s="265">
        <v>1</v>
      </c>
      <c r="L301" s="265">
        <v>1</v>
      </c>
      <c r="P301" s="251">
        <v>1</v>
      </c>
      <c r="R301" s="108" t="s">
        <v>358</v>
      </c>
      <c r="S301" s="310"/>
      <c r="V301" s="243" t="s">
        <v>1261</v>
      </c>
      <c r="W301" s="243" t="str">
        <f>VLOOKUP(V301,名簿!A:L,3,FALSE)</f>
        <v>技術製造部</v>
      </c>
      <c r="X301" s="243" t="str">
        <f>VLOOKUP(V301,名簿!A:L,4,FALSE)</f>
        <v>生産管理課</v>
      </c>
      <c r="Y301" s="243" t="str">
        <f>VLOOKUP(V301,名簿!A:L,5,FALSE)</f>
        <v>物流</v>
      </c>
      <c r="Z301" s="243" t="str">
        <f>VLOOKUP(V301,名簿!A:L,11,FALSE)</f>
        <v>コスメファクトリー</v>
      </c>
      <c r="AA301" s="243" t="str">
        <f>VLOOKUP(V301,名簿!A:L,12,FALSE)</f>
        <v>1F/事務所</v>
      </c>
    </row>
    <row r="302" spans="1:27">
      <c r="A302" s="301">
        <v>296</v>
      </c>
      <c r="B302" s="248">
        <v>45863</v>
      </c>
      <c r="F302" s="252" t="s">
        <v>322</v>
      </c>
      <c r="K302" s="265">
        <v>1</v>
      </c>
      <c r="L302" s="265">
        <v>1</v>
      </c>
      <c r="P302" s="251">
        <v>1</v>
      </c>
      <c r="R302" s="108" t="s">
        <v>423</v>
      </c>
      <c r="S302" s="310"/>
      <c r="V302" s="243" t="s">
        <v>555</v>
      </c>
      <c r="W302" s="243" t="str">
        <f>VLOOKUP(V302,名簿!A:L,3,FALSE)</f>
        <v>技術製造部</v>
      </c>
      <c r="X302" s="243" t="str">
        <f>VLOOKUP(V302,名簿!A:L,4,FALSE)</f>
        <v>製造課</v>
      </c>
      <c r="Y302" s="243" t="str">
        <f>VLOOKUP(V302,名簿!A:L,5,FALSE)</f>
        <v>液体</v>
      </c>
      <c r="Z302" s="243" t="str">
        <f>VLOOKUP(V302,名簿!A:L,11,FALSE)</f>
        <v>本社</v>
      </c>
      <c r="AA302" s="243" t="str">
        <f>VLOOKUP(V302,名簿!A:L,12,FALSE)</f>
        <v>3F/シンク前</v>
      </c>
    </row>
    <row r="303" spans="1:27">
      <c r="A303" s="301">
        <v>297</v>
      </c>
      <c r="B303" s="248">
        <v>45863</v>
      </c>
      <c r="F303" s="252" t="s">
        <v>322</v>
      </c>
      <c r="G303" s="252" t="s">
        <v>2241</v>
      </c>
      <c r="H303" s="265">
        <v>1</v>
      </c>
      <c r="K303" s="265">
        <v>1</v>
      </c>
      <c r="L303" s="265">
        <v>1</v>
      </c>
      <c r="P303" s="251">
        <v>4</v>
      </c>
      <c r="R303" s="108" t="s">
        <v>564</v>
      </c>
      <c r="S303" s="310"/>
      <c r="V303" s="243" t="s">
        <v>560</v>
      </c>
      <c r="W303" s="243" t="str">
        <f>VLOOKUP(V303,名簿!A:L,3,FALSE)</f>
        <v>技術製造部</v>
      </c>
      <c r="X303" s="243" t="str">
        <f>VLOOKUP(V303,名簿!A:L,4,FALSE)</f>
        <v>製造課</v>
      </c>
      <c r="Y303" s="243" t="str">
        <f>VLOOKUP(V303,名簿!A:L,5,FALSE)</f>
        <v>液体</v>
      </c>
      <c r="Z303" s="243" t="str">
        <f>VLOOKUP(V303,名簿!A:L,11,FALSE)</f>
        <v>本社</v>
      </c>
      <c r="AA303" s="243" t="str">
        <f>VLOOKUP(V303,名簿!A:L,12,FALSE)</f>
        <v>3F/シンク前</v>
      </c>
    </row>
    <row r="304" spans="1:27">
      <c r="A304" s="301">
        <v>298</v>
      </c>
      <c r="B304" s="248">
        <v>45863</v>
      </c>
      <c r="F304" s="252" t="s">
        <v>322</v>
      </c>
      <c r="K304" s="265">
        <v>1</v>
      </c>
      <c r="L304" s="265">
        <v>1</v>
      </c>
      <c r="P304" s="251">
        <v>4</v>
      </c>
      <c r="R304" s="108" t="s">
        <v>390</v>
      </c>
      <c r="S304" s="310"/>
      <c r="V304" s="243" t="s">
        <v>566</v>
      </c>
      <c r="W304" s="243" t="str">
        <f>VLOOKUP(V304,名簿!A:L,3,FALSE)</f>
        <v>技術製造部</v>
      </c>
      <c r="X304" s="243" t="str">
        <f>VLOOKUP(V304,名簿!A:L,4,FALSE)</f>
        <v>生産管理課</v>
      </c>
      <c r="Y304" s="243" t="str">
        <f>VLOOKUP(V304,名簿!A:L,5,FALSE)</f>
        <v>物流</v>
      </c>
      <c r="Z304" s="243" t="str">
        <f>VLOOKUP(V304,名簿!A:L,11,FALSE)</f>
        <v>本社</v>
      </c>
      <c r="AA304" s="243" t="str">
        <f>VLOOKUP(V304,名簿!A:L,12,FALSE)</f>
        <v>3F/シンク前</v>
      </c>
    </row>
    <row r="305" spans="1:27">
      <c r="A305" s="301">
        <v>299</v>
      </c>
      <c r="B305" s="248">
        <v>45863</v>
      </c>
      <c r="F305" s="252" t="s">
        <v>322</v>
      </c>
      <c r="K305" s="265">
        <v>1</v>
      </c>
      <c r="L305" s="265">
        <v>1</v>
      </c>
      <c r="P305" s="251">
        <v>1</v>
      </c>
      <c r="S305" s="310"/>
      <c r="V305" s="243" t="s">
        <v>568</v>
      </c>
      <c r="W305" s="243" t="str">
        <f>VLOOKUP(V305,名簿!A:L,3,FALSE)</f>
        <v>品質保証部</v>
      </c>
      <c r="X305" s="243" t="str">
        <f>VLOOKUP(V305,名簿!A:L,4,FALSE)</f>
        <v>品質管理課</v>
      </c>
      <c r="Y305" s="243" t="str">
        <f>VLOOKUP(V305,名簿!A:L,5,FALSE)</f>
        <v>-</v>
      </c>
      <c r="Z305" s="243" t="str">
        <f>VLOOKUP(V305,名簿!A:L,11,FALSE)</f>
        <v>本社</v>
      </c>
      <c r="AA305" s="243" t="str">
        <f>VLOOKUP(V305,名簿!A:L,12,FALSE)</f>
        <v>3F/シンク前</v>
      </c>
    </row>
    <row r="306" spans="1:27">
      <c r="A306" s="301">
        <v>300</v>
      </c>
      <c r="B306" s="248">
        <v>45863</v>
      </c>
      <c r="F306" s="252" t="s">
        <v>322</v>
      </c>
      <c r="K306" s="265">
        <v>1</v>
      </c>
      <c r="L306" s="265">
        <v>1</v>
      </c>
      <c r="P306" s="251">
        <v>1</v>
      </c>
      <c r="S306" s="310"/>
      <c r="V306" s="243" t="s">
        <v>575</v>
      </c>
      <c r="W306" s="243" t="str">
        <f>VLOOKUP(V306,名簿!A:L,3,FALSE)</f>
        <v>企画営業部</v>
      </c>
      <c r="X306" s="243" t="str">
        <f>VLOOKUP(V306,名簿!A:L,4,FALSE)</f>
        <v>-</v>
      </c>
      <c r="Y306" s="243" t="str">
        <f>VLOOKUP(V306,名簿!A:L,5,FALSE)</f>
        <v>-</v>
      </c>
      <c r="Z306" s="243" t="str">
        <f>VLOOKUP(V306,名簿!A:L,11,FALSE)</f>
        <v>東京営業所</v>
      </c>
      <c r="AA306" s="243" t="str">
        <f>VLOOKUP(V306,名簿!A:L,12,FALSE)</f>
        <v>-</v>
      </c>
    </row>
    <row r="307" spans="1:27">
      <c r="A307" s="301">
        <v>301</v>
      </c>
      <c r="B307" s="248">
        <v>45863</v>
      </c>
      <c r="F307" s="252" t="s">
        <v>322</v>
      </c>
      <c r="G307" s="252" t="s">
        <v>2247</v>
      </c>
      <c r="K307" s="265">
        <v>1</v>
      </c>
      <c r="L307" s="265">
        <v>1</v>
      </c>
      <c r="M307" s="265">
        <v>1</v>
      </c>
      <c r="P307" s="251">
        <v>5</v>
      </c>
      <c r="R307" s="108" t="s">
        <v>577</v>
      </c>
      <c r="S307" s="310"/>
      <c r="V307" s="243" t="s">
        <v>576</v>
      </c>
      <c r="W307" s="243" t="str">
        <f>VLOOKUP(V307,名簿!A:L,3,FALSE)</f>
        <v>企画営業部</v>
      </c>
      <c r="X307" s="243" t="str">
        <f>VLOOKUP(V307,名簿!A:L,4,FALSE)</f>
        <v>営業課</v>
      </c>
      <c r="Y307" s="243" t="str">
        <f>VLOOKUP(V307,名簿!A:L,5,FALSE)</f>
        <v>-</v>
      </c>
      <c r="Z307" s="243" t="str">
        <f>VLOOKUP(V307,名簿!A:L,11,FALSE)</f>
        <v>東京営業所</v>
      </c>
      <c r="AA307" s="243" t="str">
        <f>VLOOKUP(V307,名簿!A:L,12,FALSE)</f>
        <v>-</v>
      </c>
    </row>
    <row r="308" spans="1:27">
      <c r="A308" s="301">
        <v>302</v>
      </c>
      <c r="B308" s="248">
        <v>45863</v>
      </c>
      <c r="F308" s="252" t="s">
        <v>322</v>
      </c>
      <c r="K308" s="265">
        <v>1</v>
      </c>
      <c r="L308" s="265">
        <v>1</v>
      </c>
      <c r="P308" s="251">
        <v>1</v>
      </c>
      <c r="S308" s="310"/>
      <c r="V308" s="243" t="s">
        <v>579</v>
      </c>
      <c r="W308" s="243" t="str">
        <f>VLOOKUP(V308,名簿!A:L,3,FALSE)</f>
        <v>企画営業部</v>
      </c>
      <c r="X308" s="243" t="str">
        <f>VLOOKUP(V308,名簿!A:L,4,FALSE)</f>
        <v>営業課</v>
      </c>
      <c r="Y308" s="243" t="str">
        <f>VLOOKUP(V308,名簿!A:L,5,FALSE)</f>
        <v>-</v>
      </c>
      <c r="Z308" s="243" t="str">
        <f>VLOOKUP(V308,名簿!A:L,11,FALSE)</f>
        <v>東京営業所</v>
      </c>
      <c r="AA308" s="243" t="str">
        <f>VLOOKUP(V308,名簿!A:L,12,FALSE)</f>
        <v>-</v>
      </c>
    </row>
    <row r="309" spans="1:27">
      <c r="A309" s="301">
        <v>303</v>
      </c>
      <c r="B309" s="248">
        <v>45863</v>
      </c>
      <c r="F309" s="252" t="s">
        <v>322</v>
      </c>
      <c r="K309" s="265">
        <v>1</v>
      </c>
      <c r="L309" s="265">
        <v>1</v>
      </c>
      <c r="P309" s="251">
        <v>1</v>
      </c>
      <c r="S309" s="310"/>
      <c r="V309" s="243" t="s">
        <v>581</v>
      </c>
      <c r="W309" s="243" t="str">
        <f>VLOOKUP(V309,名簿!A:L,3,FALSE)</f>
        <v>企画営業部</v>
      </c>
      <c r="X309" s="243" t="str">
        <f>VLOOKUP(V309,名簿!A:L,4,FALSE)</f>
        <v>営業課</v>
      </c>
      <c r="Y309" s="243" t="str">
        <f>VLOOKUP(V309,名簿!A:L,5,FALSE)</f>
        <v>-</v>
      </c>
      <c r="Z309" s="243" t="str">
        <f>VLOOKUP(V309,名簿!A:L,11,FALSE)</f>
        <v>東京営業所</v>
      </c>
      <c r="AA309" s="243" t="str">
        <f>VLOOKUP(V309,名簿!A:L,12,FALSE)</f>
        <v>-</v>
      </c>
    </row>
    <row r="310" spans="1:27">
      <c r="A310" s="301">
        <v>304</v>
      </c>
      <c r="B310" s="248">
        <v>45863</v>
      </c>
      <c r="F310" s="252" t="s">
        <v>324</v>
      </c>
      <c r="G310" s="252" t="s">
        <v>2247</v>
      </c>
      <c r="K310" s="265">
        <v>1</v>
      </c>
      <c r="L310" s="265">
        <v>1</v>
      </c>
      <c r="M310" s="265">
        <v>1</v>
      </c>
      <c r="P310" s="251">
        <v>4</v>
      </c>
      <c r="R310" s="108" t="s">
        <v>379</v>
      </c>
      <c r="S310" s="310"/>
      <c r="V310" s="243" t="s">
        <v>376</v>
      </c>
      <c r="W310" s="243" t="str">
        <f>VLOOKUP(V310,名簿!A:L,3,FALSE)</f>
        <v>研究開発部</v>
      </c>
      <c r="X310" s="243" t="str">
        <f>VLOOKUP(V310,名簿!A:L,4,FALSE)</f>
        <v>研究開発課</v>
      </c>
      <c r="Y310" s="243" t="str">
        <f>VLOOKUP(V310,名簿!A:L,5,FALSE)</f>
        <v>-</v>
      </c>
      <c r="Z310" s="243" t="str">
        <f>VLOOKUP(V310,名簿!A:L,11,FALSE)</f>
        <v>コスメラボラトリー</v>
      </c>
      <c r="AA310" s="243" t="str">
        <f>VLOOKUP(V310,名簿!A:L,12,FALSE)</f>
        <v>3F/事務所</v>
      </c>
    </row>
    <row r="311" spans="1:27">
      <c r="A311" s="301">
        <v>305</v>
      </c>
      <c r="B311" s="248">
        <v>45863</v>
      </c>
      <c r="F311" s="252" t="s">
        <v>324</v>
      </c>
      <c r="K311" s="265">
        <v>1</v>
      </c>
      <c r="L311" s="265">
        <v>1</v>
      </c>
      <c r="P311" s="251">
        <v>4</v>
      </c>
      <c r="R311" s="108" t="s">
        <v>385</v>
      </c>
      <c r="S311" s="310"/>
      <c r="V311" s="243" t="s">
        <v>380</v>
      </c>
      <c r="W311" s="243" t="str">
        <f>VLOOKUP(V311,名簿!A:L,3,FALSE)</f>
        <v>研究開発部</v>
      </c>
      <c r="X311" s="243" t="str">
        <f>VLOOKUP(V311,名簿!A:L,4,FALSE)</f>
        <v>研究開発課</v>
      </c>
      <c r="Y311" s="243" t="str">
        <f>VLOOKUP(V311,名簿!A:L,5,FALSE)</f>
        <v>-</v>
      </c>
      <c r="Z311" s="243" t="str">
        <f>VLOOKUP(V311,名簿!A:L,11,FALSE)</f>
        <v>コスメラボラトリー</v>
      </c>
      <c r="AA311" s="243" t="str">
        <f>VLOOKUP(V311,名簿!A:L,12,FALSE)</f>
        <v>3F/事務所</v>
      </c>
    </row>
    <row r="312" spans="1:27">
      <c r="A312" s="301">
        <v>306</v>
      </c>
      <c r="B312" s="248">
        <v>45863</v>
      </c>
      <c r="F312" s="252" t="s">
        <v>324</v>
      </c>
      <c r="K312" s="265">
        <v>1</v>
      </c>
      <c r="L312" s="265">
        <v>1</v>
      </c>
      <c r="P312" s="251">
        <v>4</v>
      </c>
      <c r="R312" s="108" t="s">
        <v>391</v>
      </c>
      <c r="S312" s="310"/>
      <c r="V312" s="243" t="s">
        <v>1463</v>
      </c>
      <c r="W312" s="243" t="str">
        <f>VLOOKUP(V312,名簿!A:L,3,FALSE)</f>
        <v>EC事業部</v>
      </c>
      <c r="X312" s="243" t="str">
        <f>VLOOKUP(V312,名簿!A:L,4,FALSE)</f>
        <v>EC事業課</v>
      </c>
      <c r="Y312" s="243" t="str">
        <f>VLOOKUP(V312,名簿!A:L,5,FALSE)</f>
        <v>-</v>
      </c>
      <c r="Z312" s="243" t="str">
        <f>VLOOKUP(V312,名簿!A:L,11,FALSE)</f>
        <v>コスメラボラトリー</v>
      </c>
      <c r="AA312" s="243" t="str">
        <f>VLOOKUP(V312,名簿!A:L,12,FALSE)</f>
        <v>3F/事務所</v>
      </c>
    </row>
    <row r="313" spans="1:27">
      <c r="A313" s="301">
        <v>307</v>
      </c>
      <c r="B313" s="248">
        <v>45863</v>
      </c>
      <c r="F313" s="252" t="s">
        <v>324</v>
      </c>
      <c r="K313" s="265">
        <v>1</v>
      </c>
      <c r="L313" s="265">
        <v>1</v>
      </c>
      <c r="P313" s="251">
        <v>1</v>
      </c>
      <c r="S313" s="310"/>
      <c r="V313" s="243" t="s">
        <v>392</v>
      </c>
      <c r="W313" s="243" t="str">
        <f>VLOOKUP(V313,名簿!A:L,3,FALSE)</f>
        <v>技術製造部</v>
      </c>
      <c r="X313" s="243" t="str">
        <f>VLOOKUP(V313,名簿!A:L,4,FALSE)</f>
        <v>製造課</v>
      </c>
      <c r="Y313" s="243" t="str">
        <f>VLOOKUP(V313,名簿!A:L,5,FALSE)</f>
        <v>充填包装</v>
      </c>
      <c r="Z313" s="243" t="str">
        <f>VLOOKUP(V313,名簿!A:L,11,FALSE)</f>
        <v>コスメラボラトリー</v>
      </c>
      <c r="AA313" s="243" t="str">
        <f>VLOOKUP(V313,名簿!A:L,12,FALSE)</f>
        <v>1F/作業場南</v>
      </c>
    </row>
    <row r="314" spans="1:27">
      <c r="A314" s="301">
        <v>308</v>
      </c>
      <c r="B314" s="248">
        <v>45863</v>
      </c>
      <c r="F314" s="252" t="s">
        <v>324</v>
      </c>
      <c r="K314" s="265">
        <v>1</v>
      </c>
      <c r="L314" s="265">
        <v>1</v>
      </c>
      <c r="P314" s="251">
        <v>1</v>
      </c>
      <c r="R314" s="108" t="s">
        <v>358</v>
      </c>
      <c r="S314" s="310"/>
      <c r="V314" s="243" t="s">
        <v>395</v>
      </c>
      <c r="W314" s="243" t="str">
        <f>VLOOKUP(V314,名簿!A:L,3,FALSE)</f>
        <v>EC事業部</v>
      </c>
      <c r="X314" s="243" t="str">
        <f>VLOOKUP(V314,名簿!A:L,4,FALSE)</f>
        <v>EC事業課</v>
      </c>
      <c r="Y314" s="243" t="str">
        <f>VLOOKUP(V314,名簿!A:L,5,FALSE)</f>
        <v>-</v>
      </c>
      <c r="Z314" s="243" t="str">
        <f>VLOOKUP(V314,名簿!A:L,11,FALSE)</f>
        <v>コスメラボラトリー</v>
      </c>
      <c r="AA314" s="243" t="str">
        <f>VLOOKUP(V314,名簿!A:L,12,FALSE)</f>
        <v>3F/事務所</v>
      </c>
    </row>
    <row r="315" spans="1:27">
      <c r="A315" s="301">
        <v>309</v>
      </c>
      <c r="B315" s="248">
        <v>45863</v>
      </c>
      <c r="F315" s="252" t="s">
        <v>324</v>
      </c>
      <c r="K315" s="265">
        <v>1</v>
      </c>
      <c r="L315" s="265">
        <v>1</v>
      </c>
      <c r="P315" s="251">
        <v>5</v>
      </c>
      <c r="R315" s="108" t="s">
        <v>399</v>
      </c>
      <c r="S315" s="310"/>
      <c r="V315" s="243" t="s">
        <v>396</v>
      </c>
      <c r="W315" s="243" t="str">
        <f>VLOOKUP(V315,名簿!A:L,3,FALSE)</f>
        <v>技術製造部</v>
      </c>
      <c r="X315" s="243" t="str">
        <f>VLOOKUP(V315,名簿!A:L,4,FALSE)</f>
        <v>製造課</v>
      </c>
      <c r="Y315" s="243" t="str">
        <f>VLOOKUP(V315,名簿!A:L,5,FALSE)</f>
        <v>充填包装</v>
      </c>
      <c r="Z315" s="243" t="str">
        <f>VLOOKUP(V315,名簿!A:L,11,FALSE)</f>
        <v>コスメファクトリー</v>
      </c>
      <c r="AA315" s="243" t="str">
        <f>VLOOKUP(V315,名簿!A:L,12,FALSE)</f>
        <v>2F/充填ライン北</v>
      </c>
    </row>
    <row r="316" spans="1:27">
      <c r="A316" s="301">
        <v>310</v>
      </c>
      <c r="B316" s="248">
        <v>45863</v>
      </c>
      <c r="F316" s="252" t="s">
        <v>324</v>
      </c>
      <c r="K316" s="265">
        <v>1</v>
      </c>
      <c r="L316" s="265">
        <v>1</v>
      </c>
      <c r="P316" s="251">
        <v>1</v>
      </c>
      <c r="S316" s="310"/>
      <c r="V316" s="243" t="s">
        <v>400</v>
      </c>
      <c r="W316" s="243" t="str">
        <f>VLOOKUP(V316,名簿!A:L,3,FALSE)</f>
        <v>技術製造部</v>
      </c>
      <c r="X316" s="243" t="str">
        <f>VLOOKUP(V316,名簿!A:L,4,FALSE)</f>
        <v>製造課</v>
      </c>
      <c r="Y316" s="243" t="str">
        <f>VLOOKUP(V316,名簿!A:L,5,FALSE)</f>
        <v>充填包装</v>
      </c>
      <c r="Z316" s="243" t="str">
        <f>VLOOKUP(V316,名簿!A:L,11,FALSE)</f>
        <v>コスメファクトリー</v>
      </c>
      <c r="AA316" s="243" t="str">
        <f>VLOOKUP(V316,名簿!A:L,12,FALSE)</f>
        <v>2F/充填ライン北</v>
      </c>
    </row>
    <row r="317" spans="1:27" ht="22.8">
      <c r="A317" s="301">
        <v>311</v>
      </c>
      <c r="B317" s="248">
        <v>45863</v>
      </c>
      <c r="F317" s="252" t="s">
        <v>324</v>
      </c>
      <c r="G317" s="252" t="s">
        <v>2247</v>
      </c>
      <c r="K317" s="265">
        <v>1</v>
      </c>
      <c r="L317" s="265">
        <v>1</v>
      </c>
      <c r="M317" s="265">
        <v>1</v>
      </c>
      <c r="P317" s="251">
        <v>5</v>
      </c>
      <c r="R317" s="108" t="s">
        <v>2034</v>
      </c>
      <c r="S317" s="310"/>
      <c r="V317" s="243" t="s">
        <v>403</v>
      </c>
      <c r="W317" s="243" t="str">
        <f>VLOOKUP(V317,名簿!A:L,3,FALSE)</f>
        <v>技術製造部</v>
      </c>
      <c r="X317" s="243" t="str">
        <f>VLOOKUP(V317,名簿!A:L,4,FALSE)</f>
        <v>製造課</v>
      </c>
      <c r="Y317" s="243" t="str">
        <f>VLOOKUP(V317,名簿!A:L,5,FALSE)</f>
        <v>充填包装</v>
      </c>
      <c r="Z317" s="243" t="str">
        <f>VLOOKUP(V317,名簿!A:L,11,FALSE)</f>
        <v>コスメファクトリー</v>
      </c>
      <c r="AA317" s="243" t="str">
        <f>VLOOKUP(V317,名簿!A:L,12,FALSE)</f>
        <v>2F/充填ライン南</v>
      </c>
    </row>
    <row r="318" spans="1:27">
      <c r="A318" s="301">
        <v>312</v>
      </c>
      <c r="B318" s="248">
        <v>45863</v>
      </c>
      <c r="F318" s="252" t="s">
        <v>324</v>
      </c>
      <c r="G318" s="252" t="s">
        <v>2247</v>
      </c>
      <c r="K318" s="265">
        <v>1</v>
      </c>
      <c r="L318" s="265">
        <v>1</v>
      </c>
      <c r="M318" s="265">
        <v>1</v>
      </c>
      <c r="P318" s="251">
        <v>5</v>
      </c>
      <c r="R318" s="245" t="s">
        <v>414</v>
      </c>
      <c r="S318" s="310"/>
      <c r="V318" s="243" t="s">
        <v>409</v>
      </c>
      <c r="W318" s="243" t="str">
        <f>VLOOKUP(V318,名簿!A:L,3,FALSE)</f>
        <v>技術製造部</v>
      </c>
      <c r="X318" s="243" t="str">
        <f>VLOOKUP(V318,名簿!A:L,4,FALSE)</f>
        <v>製造課</v>
      </c>
      <c r="Y318" s="243" t="str">
        <f>VLOOKUP(V318,名簿!A:L,5,FALSE)</f>
        <v>充填包装</v>
      </c>
      <c r="Z318" s="243" t="str">
        <f>VLOOKUP(V318,名簿!A:L,11,FALSE)</f>
        <v>コスメラボラトリー</v>
      </c>
      <c r="AA318" s="243" t="str">
        <f>VLOOKUP(V318,名簿!A:L,12,FALSE)</f>
        <v>2F/事務所</v>
      </c>
    </row>
    <row r="319" spans="1:27" ht="22.8">
      <c r="A319" s="301">
        <v>313</v>
      </c>
      <c r="B319" s="248">
        <v>45863</v>
      </c>
      <c r="F319" s="252" t="s">
        <v>324</v>
      </c>
      <c r="K319" s="265">
        <v>1</v>
      </c>
      <c r="L319" s="265">
        <v>1</v>
      </c>
      <c r="P319" s="251">
        <v>4</v>
      </c>
      <c r="R319" s="108" t="s">
        <v>419</v>
      </c>
      <c r="S319" s="310"/>
      <c r="V319" s="243" t="s">
        <v>1994</v>
      </c>
      <c r="W319" s="243" t="str">
        <f>VLOOKUP(V319,名簿!A:L,3,FALSE)</f>
        <v>技術製造部</v>
      </c>
      <c r="X319" s="243" t="str">
        <f>VLOOKUP(V319,名簿!A:L,4,FALSE)</f>
        <v>製造課</v>
      </c>
      <c r="Y319" s="243" t="str">
        <f>VLOOKUP(V319,名簿!A:L,5,FALSE)</f>
        <v>バルク・顆粒</v>
      </c>
      <c r="Z319" s="243" t="str">
        <f>VLOOKUP(V319,名簿!A:L,11,FALSE)</f>
        <v>コスメラボラトリー</v>
      </c>
      <c r="AA319" s="243" t="str">
        <f>VLOOKUP(V319,名簿!A:L,12,FALSE)</f>
        <v>2F/事務所</v>
      </c>
    </row>
    <row r="320" spans="1:27">
      <c r="A320" s="301">
        <v>314</v>
      </c>
      <c r="B320" s="248">
        <v>45863</v>
      </c>
      <c r="F320" s="252" t="s">
        <v>324</v>
      </c>
      <c r="G320" s="252" t="s">
        <v>2247</v>
      </c>
      <c r="K320" s="265">
        <v>1</v>
      </c>
      <c r="L320" s="265">
        <v>1</v>
      </c>
      <c r="M320" s="265">
        <v>1</v>
      </c>
      <c r="P320" s="251">
        <v>4</v>
      </c>
      <c r="R320" s="108" t="s">
        <v>424</v>
      </c>
      <c r="S320" s="310"/>
      <c r="V320" s="243" t="s">
        <v>420</v>
      </c>
      <c r="W320" s="243" t="str">
        <f>VLOOKUP(V320,名簿!A:L,3,FALSE)</f>
        <v>技術製造部</v>
      </c>
      <c r="X320" s="243" t="str">
        <f>VLOOKUP(V320,名簿!A:L,4,FALSE)</f>
        <v>製造課</v>
      </c>
      <c r="Y320" s="243" t="str">
        <f>VLOOKUP(V320,名簿!A:L,5,FALSE)</f>
        <v>粉体</v>
      </c>
      <c r="Z320" s="243" t="str">
        <f>VLOOKUP(V320,名簿!A:L,11,FALSE)</f>
        <v>コスメラボラトリー</v>
      </c>
      <c r="AA320" s="243" t="str">
        <f>VLOOKUP(V320,名簿!A:L,12,FALSE)</f>
        <v>2F/作業場南</v>
      </c>
    </row>
    <row r="321" spans="1:27">
      <c r="A321" s="301">
        <v>315</v>
      </c>
      <c r="B321" s="248">
        <v>45863</v>
      </c>
      <c r="F321" s="252" t="s">
        <v>324</v>
      </c>
      <c r="K321" s="265">
        <v>1</v>
      </c>
      <c r="L321" s="265">
        <v>1</v>
      </c>
      <c r="P321" s="251">
        <v>1</v>
      </c>
      <c r="R321" s="108" t="s">
        <v>360</v>
      </c>
      <c r="S321" s="310"/>
      <c r="V321" s="243" t="s">
        <v>1201</v>
      </c>
      <c r="W321" s="243" t="str">
        <f>VLOOKUP(V321,名簿!A:L,3,FALSE)</f>
        <v>品質保証部</v>
      </c>
      <c r="X321" s="243" t="str">
        <f>VLOOKUP(V321,名簿!A:L,4,FALSE)</f>
        <v>品質管理課</v>
      </c>
      <c r="Y321" s="243" t="str">
        <f>VLOOKUP(V321,名簿!A:L,5,FALSE)</f>
        <v>-</v>
      </c>
      <c r="Z321" s="243" t="str">
        <f>VLOOKUP(V321,名簿!A:L,11,FALSE)</f>
        <v>コスメラボラトリー</v>
      </c>
      <c r="AA321" s="243" t="str">
        <f>VLOOKUP(V321,名簿!A:L,12,FALSE)</f>
        <v>3F/事務所</v>
      </c>
    </row>
    <row r="322" spans="1:27">
      <c r="A322" s="301">
        <v>316</v>
      </c>
      <c r="B322" s="248">
        <v>45863</v>
      </c>
      <c r="F322" s="252" t="s">
        <v>324</v>
      </c>
      <c r="K322" s="265">
        <v>1</v>
      </c>
      <c r="L322" s="265">
        <v>1</v>
      </c>
      <c r="P322" s="251">
        <v>1</v>
      </c>
      <c r="R322" s="108" t="s">
        <v>358</v>
      </c>
      <c r="S322" s="310"/>
      <c r="V322" s="243" t="s">
        <v>427</v>
      </c>
      <c r="W322" s="243" t="str">
        <f>VLOOKUP(V322,名簿!A:L,3,FALSE)</f>
        <v>技術製造部</v>
      </c>
      <c r="X322" s="243" t="str">
        <f>VLOOKUP(V322,名簿!A:L,4,FALSE)</f>
        <v>製造課</v>
      </c>
      <c r="Y322" s="243" t="str">
        <f>VLOOKUP(V322,名簿!A:L,5,FALSE)</f>
        <v>バルク・顆粒</v>
      </c>
      <c r="Z322" s="243" t="str">
        <f>VLOOKUP(V322,名簿!A:L,11,FALSE)</f>
        <v>コスメファクトリー</v>
      </c>
      <c r="AA322" s="243" t="str">
        <f>VLOOKUP(V322,名簿!A:L,12,FALSE)</f>
        <v>1F/バルク室</v>
      </c>
    </row>
    <row r="323" spans="1:27" ht="22.8">
      <c r="A323" s="301">
        <v>317</v>
      </c>
      <c r="B323" s="248">
        <v>45863</v>
      </c>
      <c r="F323" s="252" t="s">
        <v>324</v>
      </c>
      <c r="K323" s="265">
        <v>1</v>
      </c>
      <c r="L323" s="265">
        <v>1</v>
      </c>
      <c r="P323" s="251">
        <v>5</v>
      </c>
      <c r="R323" s="108" t="s">
        <v>433</v>
      </c>
      <c r="S323" s="310"/>
      <c r="V323" s="243" t="s">
        <v>430</v>
      </c>
      <c r="W323" s="243" t="str">
        <f>VLOOKUP(V323,名簿!A:L,3,FALSE)</f>
        <v>研究開発部</v>
      </c>
      <c r="X323" s="243" t="str">
        <f>VLOOKUP(V323,名簿!A:L,4,FALSE)</f>
        <v>研究開発課</v>
      </c>
      <c r="Y323" s="243" t="str">
        <f>VLOOKUP(V323,名簿!A:L,5,FALSE)</f>
        <v>-</v>
      </c>
      <c r="Z323" s="243" t="str">
        <f>VLOOKUP(V323,名簿!A:L,11,FALSE)</f>
        <v>コスメラボラトリー</v>
      </c>
      <c r="AA323" s="243" t="str">
        <f>VLOOKUP(V323,名簿!A:L,12,FALSE)</f>
        <v>3F/事務所</v>
      </c>
    </row>
    <row r="324" spans="1:27">
      <c r="A324" s="301">
        <v>318</v>
      </c>
      <c r="B324" s="248">
        <v>45863</v>
      </c>
      <c r="F324" s="252" t="s">
        <v>324</v>
      </c>
      <c r="K324" s="265">
        <v>1</v>
      </c>
      <c r="L324" s="265">
        <v>1</v>
      </c>
      <c r="P324" s="251">
        <v>1</v>
      </c>
      <c r="R324" s="108" t="s">
        <v>358</v>
      </c>
      <c r="S324" s="310"/>
      <c r="V324" s="243" t="s">
        <v>434</v>
      </c>
      <c r="W324" s="243" t="str">
        <f>VLOOKUP(V324,名簿!A:L,3,FALSE)</f>
        <v>技術製造部</v>
      </c>
      <c r="X324" s="243" t="str">
        <f>VLOOKUP(V324,名簿!A:L,4,FALSE)</f>
        <v>製造課</v>
      </c>
      <c r="Y324" s="243" t="str">
        <f>VLOOKUP(V324,名簿!A:L,5,FALSE)</f>
        <v>バルク・顆粒</v>
      </c>
      <c r="Z324" s="243" t="str">
        <f>VLOOKUP(V324,名簿!A:L,11,FALSE)</f>
        <v>コスメファクトリー</v>
      </c>
      <c r="AA324" s="243" t="str">
        <f>VLOOKUP(V324,名簿!A:L,12,FALSE)</f>
        <v>1F/バルク室</v>
      </c>
    </row>
    <row r="325" spans="1:27" ht="34.200000000000003">
      <c r="A325" s="301">
        <v>319</v>
      </c>
      <c r="B325" s="248">
        <v>45863</v>
      </c>
      <c r="F325" s="252" t="s">
        <v>324</v>
      </c>
      <c r="K325" s="265">
        <v>1</v>
      </c>
      <c r="L325" s="265">
        <v>1</v>
      </c>
      <c r="P325" s="251">
        <v>5</v>
      </c>
      <c r="R325" s="108" t="s">
        <v>2035</v>
      </c>
      <c r="S325" s="310"/>
      <c r="V325" s="243" t="s">
        <v>435</v>
      </c>
      <c r="W325" s="243" t="str">
        <f>VLOOKUP(V325,名簿!A:L,3,FALSE)</f>
        <v>技術製造部</v>
      </c>
      <c r="X325" s="243" t="str">
        <f>VLOOKUP(V325,名簿!A:L,4,FALSE)</f>
        <v>製造課</v>
      </c>
      <c r="Y325" s="243" t="str">
        <f>VLOOKUP(V325,名簿!A:L,5,FALSE)</f>
        <v>バルク・顆粒</v>
      </c>
      <c r="Z325" s="243" t="str">
        <f>VLOOKUP(V325,名簿!A:L,11,FALSE)</f>
        <v>コスメファクトリー</v>
      </c>
      <c r="AA325" s="243" t="str">
        <f>VLOOKUP(V325,名簿!A:L,12,FALSE)</f>
        <v>1F/バルク室</v>
      </c>
    </row>
    <row r="326" spans="1:27">
      <c r="A326" s="301">
        <v>320</v>
      </c>
      <c r="B326" s="248">
        <v>45863</v>
      </c>
      <c r="F326" s="252" t="s">
        <v>324</v>
      </c>
      <c r="G326" s="252" t="s">
        <v>2247</v>
      </c>
      <c r="K326" s="265">
        <v>1</v>
      </c>
      <c r="L326" s="265">
        <v>1</v>
      </c>
      <c r="M326" s="265">
        <v>1</v>
      </c>
      <c r="P326" s="251">
        <v>4</v>
      </c>
      <c r="R326" s="108" t="s">
        <v>442</v>
      </c>
      <c r="S326" s="310"/>
      <c r="V326" s="243" t="s">
        <v>440</v>
      </c>
      <c r="W326" s="243" t="str">
        <f>VLOOKUP(V326,名簿!A:L,3,FALSE)</f>
        <v>品質保証部</v>
      </c>
      <c r="X326" s="243" t="str">
        <f>VLOOKUP(V326,名簿!A:L,4,FALSE)</f>
        <v>品質管理課</v>
      </c>
      <c r="Y326" s="243" t="str">
        <f>VLOOKUP(V326,名簿!A:L,5,FALSE)</f>
        <v>-</v>
      </c>
      <c r="Z326" s="243" t="str">
        <f>VLOOKUP(V326,名簿!A:L,11,FALSE)</f>
        <v>コスメラボラトリー</v>
      </c>
      <c r="AA326" s="243" t="str">
        <f>VLOOKUP(V326,名簿!A:L,12,FALSE)</f>
        <v>3F/事務所</v>
      </c>
    </row>
    <row r="327" spans="1:27">
      <c r="A327" s="301">
        <v>321</v>
      </c>
      <c r="B327" s="248">
        <v>45863</v>
      </c>
      <c r="F327" s="252" t="s">
        <v>324</v>
      </c>
      <c r="K327" s="265">
        <v>1</v>
      </c>
      <c r="L327" s="265">
        <v>1</v>
      </c>
      <c r="P327" s="251">
        <v>4</v>
      </c>
      <c r="R327" s="108" t="s">
        <v>448</v>
      </c>
      <c r="S327" s="310"/>
      <c r="V327" s="243" t="s">
        <v>443</v>
      </c>
      <c r="W327" s="243" t="str">
        <f>VLOOKUP(V327,名簿!A:L,3,FALSE)</f>
        <v>研究開発部</v>
      </c>
      <c r="X327" s="243" t="str">
        <f>VLOOKUP(V327,名簿!A:L,4,FALSE)</f>
        <v>研究開発課</v>
      </c>
      <c r="Y327" s="243" t="str">
        <f>VLOOKUP(V327,名簿!A:L,5,FALSE)</f>
        <v>-</v>
      </c>
      <c r="Z327" s="243" t="str">
        <f>VLOOKUP(V327,名簿!A:L,11,FALSE)</f>
        <v>コスメラボラトリー</v>
      </c>
      <c r="AA327" s="243" t="str">
        <f>VLOOKUP(V327,名簿!A:L,12,FALSE)</f>
        <v>3F/事務所</v>
      </c>
    </row>
    <row r="328" spans="1:27">
      <c r="A328" s="301">
        <v>322</v>
      </c>
      <c r="B328" s="248">
        <v>45863</v>
      </c>
      <c r="F328" s="252" t="s">
        <v>324</v>
      </c>
      <c r="K328" s="265">
        <v>1</v>
      </c>
      <c r="L328" s="265">
        <v>1</v>
      </c>
      <c r="P328" s="251">
        <v>4</v>
      </c>
      <c r="R328" s="108" t="s">
        <v>454</v>
      </c>
      <c r="S328" s="310"/>
      <c r="V328" s="243" t="s">
        <v>449</v>
      </c>
      <c r="W328" s="243" t="str">
        <f>VLOOKUP(V328,名簿!A:L,3,FALSE)</f>
        <v>研究開発部</v>
      </c>
      <c r="X328" s="243" t="str">
        <f>VLOOKUP(V328,名簿!A:L,4,FALSE)</f>
        <v>研究開発課</v>
      </c>
      <c r="Y328" s="243" t="str">
        <f>VLOOKUP(V328,名簿!A:L,5,FALSE)</f>
        <v>-</v>
      </c>
      <c r="Z328" s="243" t="str">
        <f>VLOOKUP(V328,名簿!A:L,11,FALSE)</f>
        <v>コスメラボラトリー</v>
      </c>
      <c r="AA328" s="243" t="str">
        <f>VLOOKUP(V328,名簿!A:L,12,FALSE)</f>
        <v>3F/事務所</v>
      </c>
    </row>
    <row r="329" spans="1:27">
      <c r="A329" s="301">
        <v>323</v>
      </c>
      <c r="B329" s="248">
        <v>45863</v>
      </c>
      <c r="F329" s="252" t="s">
        <v>324</v>
      </c>
      <c r="K329" s="265">
        <v>1</v>
      </c>
      <c r="L329" s="265">
        <v>1</v>
      </c>
      <c r="P329" s="251">
        <v>1</v>
      </c>
      <c r="S329" s="310"/>
      <c r="V329" s="243" t="s">
        <v>455</v>
      </c>
      <c r="W329" s="243" t="str">
        <f>VLOOKUP(V329,名簿!A:L,3,FALSE)</f>
        <v>研究開発部</v>
      </c>
      <c r="X329" s="243" t="str">
        <f>VLOOKUP(V329,名簿!A:L,4,FALSE)</f>
        <v>研究開発課</v>
      </c>
      <c r="Y329" s="243" t="str">
        <f>VLOOKUP(V329,名簿!A:L,5,FALSE)</f>
        <v>-</v>
      </c>
      <c r="Z329" s="243" t="str">
        <f>VLOOKUP(V329,名簿!A:L,11,FALSE)</f>
        <v>コスメラボラトリー</v>
      </c>
      <c r="AA329" s="243" t="str">
        <f>VLOOKUP(V329,名簿!A:L,12,FALSE)</f>
        <v>3F/試験室</v>
      </c>
    </row>
    <row r="330" spans="1:27">
      <c r="A330" s="301">
        <v>324</v>
      </c>
      <c r="B330" s="248">
        <v>45863</v>
      </c>
      <c r="F330" s="252" t="s">
        <v>324</v>
      </c>
      <c r="K330" s="265">
        <v>1</v>
      </c>
      <c r="L330" s="265">
        <v>1</v>
      </c>
      <c r="P330" s="251">
        <v>4</v>
      </c>
      <c r="R330" s="108" t="s">
        <v>463</v>
      </c>
      <c r="S330" s="310"/>
      <c r="V330" s="243" t="s">
        <v>458</v>
      </c>
      <c r="W330" s="243" t="str">
        <f>VLOOKUP(V330,名簿!A:L,3,FALSE)</f>
        <v>研究開発部</v>
      </c>
      <c r="X330" s="243" t="str">
        <f>VLOOKUP(V330,名簿!A:L,4,FALSE)</f>
        <v>研究開発課</v>
      </c>
      <c r="Y330" s="243" t="str">
        <f>VLOOKUP(V330,名簿!A:L,5,FALSE)</f>
        <v>-</v>
      </c>
      <c r="Z330" s="243" t="str">
        <f>VLOOKUP(V330,名簿!A:L,11,FALSE)</f>
        <v>コスメラボラトリー</v>
      </c>
      <c r="AA330" s="243" t="str">
        <f>VLOOKUP(V330,名簿!A:L,12,FALSE)</f>
        <v>3F/事務所</v>
      </c>
    </row>
    <row r="331" spans="1:27" ht="34.200000000000003">
      <c r="A331" s="301">
        <v>325</v>
      </c>
      <c r="B331" s="248">
        <v>45863</v>
      </c>
      <c r="F331" s="252" t="s">
        <v>324</v>
      </c>
      <c r="G331" s="252" t="s">
        <v>2247</v>
      </c>
      <c r="K331" s="265">
        <v>1</v>
      </c>
      <c r="L331" s="265">
        <v>1</v>
      </c>
      <c r="M331" s="265">
        <v>1</v>
      </c>
      <c r="P331" s="251">
        <v>5</v>
      </c>
      <c r="R331" s="108" t="s">
        <v>2036</v>
      </c>
      <c r="S331" s="310"/>
      <c r="V331" s="243" t="s">
        <v>464</v>
      </c>
      <c r="W331" s="243" t="str">
        <f>VLOOKUP(V331,名簿!A:L,3,FALSE)</f>
        <v>EC事業部</v>
      </c>
      <c r="X331" s="243" t="str">
        <f>VLOOKUP(V331,名簿!A:L,4,FALSE)</f>
        <v>EC事業課</v>
      </c>
      <c r="Y331" s="243" t="str">
        <f>VLOOKUP(V331,名簿!A:L,5,FALSE)</f>
        <v>-</v>
      </c>
      <c r="Z331" s="243" t="str">
        <f>VLOOKUP(V331,名簿!A:L,11,FALSE)</f>
        <v>コスメラボラトリー</v>
      </c>
      <c r="AA331" s="243" t="str">
        <f>VLOOKUP(V331,名簿!A:L,12,FALSE)</f>
        <v>3F/事務所</v>
      </c>
    </row>
    <row r="332" spans="1:27" ht="34.200000000000003">
      <c r="A332" s="301">
        <v>326</v>
      </c>
      <c r="B332" s="248">
        <v>45863</v>
      </c>
      <c r="F332" s="252" t="s">
        <v>324</v>
      </c>
      <c r="K332" s="265">
        <v>1</v>
      </c>
      <c r="L332" s="265">
        <v>1</v>
      </c>
      <c r="P332" s="251">
        <v>5</v>
      </c>
      <c r="R332" s="108" t="s">
        <v>2037</v>
      </c>
      <c r="S332" s="310"/>
      <c r="V332" s="243" t="s">
        <v>471</v>
      </c>
      <c r="W332" s="243" t="str">
        <f>VLOOKUP(V332,名簿!A:L,3,FALSE)</f>
        <v>技術製造部</v>
      </c>
      <c r="X332" s="243" t="str">
        <f>VLOOKUP(V332,名簿!A:L,4,FALSE)</f>
        <v>生産管理課</v>
      </c>
      <c r="Y332" s="243" t="str">
        <f>VLOOKUP(V332,名簿!A:L,5,FALSE)</f>
        <v>生産管理</v>
      </c>
      <c r="Z332" s="243" t="str">
        <f>VLOOKUP(V332,名簿!A:L,11,FALSE)</f>
        <v>本社</v>
      </c>
      <c r="AA332" s="243" t="str">
        <f>VLOOKUP(V332,名簿!A:L,12,FALSE)</f>
        <v>3F/シンク前</v>
      </c>
    </row>
    <row r="333" spans="1:27" ht="22.8">
      <c r="A333" s="301">
        <v>327</v>
      </c>
      <c r="B333" s="248">
        <v>45863</v>
      </c>
      <c r="F333" s="252" t="s">
        <v>324</v>
      </c>
      <c r="G333" s="252" t="s">
        <v>2247</v>
      </c>
      <c r="K333" s="265">
        <v>1</v>
      </c>
      <c r="L333" s="265">
        <v>1</v>
      </c>
      <c r="M333" s="265">
        <v>1</v>
      </c>
      <c r="P333" s="251">
        <v>5</v>
      </c>
      <c r="R333" s="108" t="s">
        <v>482</v>
      </c>
      <c r="S333" s="310"/>
      <c r="V333" s="243" t="s">
        <v>478</v>
      </c>
      <c r="W333" s="243" t="str">
        <f>VLOOKUP(V333,名簿!A:L,3,FALSE)</f>
        <v>技術製造部</v>
      </c>
      <c r="X333" s="243" t="str">
        <f>VLOOKUP(V333,名簿!A:L,4,FALSE)</f>
        <v>生産管理課</v>
      </c>
      <c r="Y333" s="243" t="str">
        <f>VLOOKUP(V333,名簿!A:L,5,FALSE)</f>
        <v>物流</v>
      </c>
      <c r="Z333" s="243" t="str">
        <f>VLOOKUP(V333,名簿!A:L,11,FALSE)</f>
        <v>第一倉庫</v>
      </c>
      <c r="AA333" s="243" t="str">
        <f>VLOOKUP(V333,名簿!A:L,12,FALSE)</f>
        <v>1F/南西角</v>
      </c>
    </row>
    <row r="334" spans="1:27" ht="45.6">
      <c r="A334" s="301">
        <v>328</v>
      </c>
      <c r="B334" s="248">
        <v>45863</v>
      </c>
      <c r="F334" s="252" t="s">
        <v>324</v>
      </c>
      <c r="K334" s="265">
        <v>1</v>
      </c>
      <c r="L334" s="265">
        <v>1</v>
      </c>
      <c r="P334" s="251">
        <v>5</v>
      </c>
      <c r="R334" s="108" t="s">
        <v>2038</v>
      </c>
      <c r="S334" s="310"/>
      <c r="V334" s="243" t="s">
        <v>483</v>
      </c>
      <c r="W334" s="243" t="str">
        <f>VLOOKUP(V334,名簿!A:L,3,FALSE)</f>
        <v>技術製造部</v>
      </c>
      <c r="X334" s="243" t="str">
        <f>VLOOKUP(V334,名簿!A:L,4,FALSE)</f>
        <v>生産管理課</v>
      </c>
      <c r="Y334" s="243" t="str">
        <f>VLOOKUP(V334,名簿!A:L,5,FALSE)</f>
        <v>生産管理</v>
      </c>
      <c r="Z334" s="243" t="str">
        <f>VLOOKUP(V334,名簿!A:L,11,FALSE)</f>
        <v>本社</v>
      </c>
      <c r="AA334" s="243" t="str">
        <f>VLOOKUP(V334,名簿!A:L,12,FALSE)</f>
        <v>3F/シンク前</v>
      </c>
    </row>
    <row r="335" spans="1:27">
      <c r="A335" s="301">
        <v>329</v>
      </c>
      <c r="B335" s="248">
        <v>45863</v>
      </c>
      <c r="F335" s="252" t="s">
        <v>324</v>
      </c>
      <c r="G335" s="252" t="s">
        <v>2247</v>
      </c>
      <c r="K335" s="265">
        <v>1</v>
      </c>
      <c r="L335" s="265">
        <v>1</v>
      </c>
      <c r="M335" s="265">
        <v>1</v>
      </c>
      <c r="P335" s="251">
        <v>4</v>
      </c>
      <c r="R335" s="108" t="s">
        <v>494</v>
      </c>
      <c r="S335" s="310"/>
      <c r="V335" s="243" t="s">
        <v>489</v>
      </c>
      <c r="W335" s="243" t="str">
        <f>VLOOKUP(V335,名簿!A:L,3,FALSE)</f>
        <v>技術製造部</v>
      </c>
      <c r="X335" s="243" t="str">
        <f>VLOOKUP(V335,名簿!A:L,4,FALSE)</f>
        <v>生産管理課</v>
      </c>
      <c r="Y335" s="243" t="str">
        <f>VLOOKUP(V335,名簿!A:L,5,FALSE)</f>
        <v>生産管理事務</v>
      </c>
      <c r="Z335" s="243" t="str">
        <f>VLOOKUP(V335,名簿!A:L,11,FALSE)</f>
        <v>本社</v>
      </c>
      <c r="AA335" s="243" t="str">
        <f>VLOOKUP(V335,名簿!A:L,12,FALSE)</f>
        <v>3F/シンク前</v>
      </c>
    </row>
    <row r="336" spans="1:27">
      <c r="A336" s="301">
        <v>330</v>
      </c>
      <c r="B336" s="248">
        <v>45863</v>
      </c>
      <c r="F336" s="252" t="s">
        <v>324</v>
      </c>
      <c r="G336" s="252" t="s">
        <v>2247</v>
      </c>
      <c r="K336" s="265">
        <v>1</v>
      </c>
      <c r="L336" s="265">
        <v>1</v>
      </c>
      <c r="M336" s="265">
        <v>1</v>
      </c>
      <c r="P336" s="251">
        <v>5</v>
      </c>
      <c r="R336" s="108" t="s">
        <v>500</v>
      </c>
      <c r="S336" s="310"/>
      <c r="V336" s="243" t="s">
        <v>495</v>
      </c>
      <c r="W336" s="243" t="str">
        <f>VLOOKUP(V336,名簿!A:L,3,FALSE)</f>
        <v>技術製造部</v>
      </c>
      <c r="X336" s="243" t="str">
        <f>VLOOKUP(V336,名簿!A:L,4,FALSE)</f>
        <v>生産管理課</v>
      </c>
      <c r="Y336" s="243" t="str">
        <f>VLOOKUP(V336,名簿!A:L,5,FALSE)</f>
        <v>生産管理</v>
      </c>
      <c r="Z336" s="243" t="str">
        <f>VLOOKUP(V336,名簿!A:L,11,FALSE)</f>
        <v>本社</v>
      </c>
      <c r="AA336" s="243" t="str">
        <f>VLOOKUP(V336,名簿!A:L,12,FALSE)</f>
        <v>3F/シンク前</v>
      </c>
    </row>
    <row r="337" spans="1:27" ht="22.8">
      <c r="A337" s="301">
        <v>331</v>
      </c>
      <c r="B337" s="248">
        <v>45863</v>
      </c>
      <c r="F337" s="252" t="s">
        <v>324</v>
      </c>
      <c r="K337" s="265">
        <v>1</v>
      </c>
      <c r="L337" s="265">
        <v>1</v>
      </c>
      <c r="P337" s="251">
        <v>5</v>
      </c>
      <c r="R337" s="108" t="s">
        <v>504</v>
      </c>
      <c r="S337" s="310"/>
      <c r="V337" s="243" t="s">
        <v>501</v>
      </c>
      <c r="W337" s="243" t="str">
        <f>VLOOKUP(V337,名簿!A:L,3,FALSE)</f>
        <v>技術製造部</v>
      </c>
      <c r="X337" s="243" t="str">
        <f>VLOOKUP(V337,名簿!A:L,4,FALSE)</f>
        <v>製造課</v>
      </c>
      <c r="Y337" s="243" t="str">
        <f>VLOOKUP(V337,名簿!A:L,5,FALSE)</f>
        <v>粉体</v>
      </c>
      <c r="Z337" s="243" t="str">
        <f>VLOOKUP(V337,名簿!A:L,11,FALSE)</f>
        <v>本社</v>
      </c>
      <c r="AA337" s="243" t="str">
        <f>VLOOKUP(V337,名簿!A:L,12,FALSE)</f>
        <v>3F/シンク前</v>
      </c>
    </row>
    <row r="338" spans="1:27">
      <c r="A338" s="301">
        <v>332</v>
      </c>
      <c r="B338" s="248">
        <v>45863</v>
      </c>
      <c r="F338" s="252" t="s">
        <v>324</v>
      </c>
      <c r="G338" s="252" t="s">
        <v>2247</v>
      </c>
      <c r="K338" s="265">
        <v>1</v>
      </c>
      <c r="L338" s="265">
        <v>1</v>
      </c>
      <c r="M338" s="265">
        <v>1</v>
      </c>
      <c r="P338" s="251">
        <v>4</v>
      </c>
      <c r="R338" s="108" t="s">
        <v>511</v>
      </c>
      <c r="S338" s="310"/>
      <c r="V338" s="243" t="s">
        <v>506</v>
      </c>
      <c r="W338" s="243" t="str">
        <f>VLOOKUP(V338,名簿!A:L,3,FALSE)</f>
        <v>技術製造部</v>
      </c>
      <c r="X338" s="243" t="str">
        <f>VLOOKUP(V338,名簿!A:L,4,FALSE)</f>
        <v>生産管理課</v>
      </c>
      <c r="Y338" s="243" t="str">
        <f>VLOOKUP(V338,名簿!A:L,5,FALSE)</f>
        <v>生産管理</v>
      </c>
      <c r="Z338" s="243" t="str">
        <f>VLOOKUP(V338,名簿!A:L,11,FALSE)</f>
        <v>本社</v>
      </c>
      <c r="AA338" s="243" t="str">
        <f>VLOOKUP(V338,名簿!A:L,12,FALSE)</f>
        <v>3F/シンク前</v>
      </c>
    </row>
    <row r="339" spans="1:27">
      <c r="A339" s="301">
        <v>333</v>
      </c>
      <c r="B339" s="248">
        <v>45863</v>
      </c>
      <c r="F339" s="252" t="s">
        <v>324</v>
      </c>
      <c r="K339" s="265">
        <v>1</v>
      </c>
      <c r="L339" s="265">
        <v>1</v>
      </c>
      <c r="P339" s="251">
        <v>4</v>
      </c>
      <c r="R339" s="108" t="s">
        <v>517</v>
      </c>
      <c r="S339" s="310"/>
      <c r="V339" s="243" t="s">
        <v>512</v>
      </c>
      <c r="W339" s="243" t="str">
        <f>VLOOKUP(V339,名簿!A:L,3,FALSE)</f>
        <v>技術製造部</v>
      </c>
      <c r="X339" s="243" t="str">
        <f>VLOOKUP(V339,名簿!A:L,4,FALSE)</f>
        <v>生産管理課</v>
      </c>
      <c r="Y339" s="243" t="str">
        <f>VLOOKUP(V339,名簿!A:L,5,FALSE)</f>
        <v>生産管理事務</v>
      </c>
      <c r="Z339" s="243" t="str">
        <f>VLOOKUP(V339,名簿!A:L,11,FALSE)</f>
        <v>本社</v>
      </c>
      <c r="AA339" s="243" t="str">
        <f>VLOOKUP(V339,名簿!A:L,12,FALSE)</f>
        <v>3F/シンク前</v>
      </c>
    </row>
    <row r="340" spans="1:27">
      <c r="A340" s="301">
        <v>334</v>
      </c>
      <c r="B340" s="248">
        <v>45863</v>
      </c>
      <c r="F340" s="252" t="s">
        <v>324</v>
      </c>
      <c r="G340" s="252" t="s">
        <v>2247</v>
      </c>
      <c r="K340" s="265">
        <v>1</v>
      </c>
      <c r="L340" s="265">
        <v>1</v>
      </c>
      <c r="M340" s="265">
        <v>1</v>
      </c>
      <c r="P340" s="251">
        <v>4</v>
      </c>
      <c r="R340" s="108" t="s">
        <v>523</v>
      </c>
      <c r="S340" s="310"/>
      <c r="V340" s="243" t="s">
        <v>519</v>
      </c>
      <c r="W340" s="243" t="str">
        <f>VLOOKUP(V340,名簿!A:L,3,FALSE)</f>
        <v>企画営業部</v>
      </c>
      <c r="X340" s="243" t="str">
        <f>VLOOKUP(V340,名簿!A:L,4,FALSE)</f>
        <v>企画課</v>
      </c>
      <c r="Y340" s="243" t="str">
        <f>VLOOKUP(V340,名簿!A:L,5,FALSE)</f>
        <v>-</v>
      </c>
      <c r="Z340" s="243" t="str">
        <f>VLOOKUP(V340,名簿!A:L,11,FALSE)</f>
        <v>本社</v>
      </c>
      <c r="AA340" s="243" t="str">
        <f>VLOOKUP(V340,名簿!A:L,12,FALSE)</f>
        <v>3F/シンク前</v>
      </c>
    </row>
    <row r="341" spans="1:27">
      <c r="A341" s="301">
        <v>335</v>
      </c>
      <c r="B341" s="248">
        <v>45863</v>
      </c>
      <c r="F341" s="252" t="s">
        <v>324</v>
      </c>
      <c r="K341" s="265">
        <v>1</v>
      </c>
      <c r="L341" s="265">
        <v>1</v>
      </c>
      <c r="P341" s="251">
        <v>4</v>
      </c>
      <c r="R341" s="108" t="s">
        <v>529</v>
      </c>
      <c r="S341" s="310"/>
      <c r="V341" s="243" t="s">
        <v>524</v>
      </c>
      <c r="W341" s="243" t="str">
        <f>VLOOKUP(V341,名簿!A:L,3,FALSE)</f>
        <v>企画営業部</v>
      </c>
      <c r="X341" s="243" t="str">
        <f>VLOOKUP(V341,名簿!A:L,4,FALSE)</f>
        <v>企画課</v>
      </c>
      <c r="Y341" s="243" t="str">
        <f>VLOOKUP(V341,名簿!A:L,5,FALSE)</f>
        <v>-</v>
      </c>
      <c r="Z341" s="243" t="str">
        <f>VLOOKUP(V341,名簿!A:L,11,FALSE)</f>
        <v>本社</v>
      </c>
      <c r="AA341" s="243" t="str">
        <f>VLOOKUP(V341,名簿!A:L,12,FALSE)</f>
        <v>3F/シンク前</v>
      </c>
    </row>
    <row r="342" spans="1:27">
      <c r="A342" s="301">
        <v>336</v>
      </c>
      <c r="B342" s="248">
        <v>45863</v>
      </c>
      <c r="F342" s="252" t="s">
        <v>324</v>
      </c>
      <c r="K342" s="265">
        <v>1</v>
      </c>
      <c r="L342" s="265">
        <v>1</v>
      </c>
      <c r="P342" s="251">
        <v>5</v>
      </c>
      <c r="R342" s="108" t="s">
        <v>534</v>
      </c>
      <c r="S342" s="310"/>
      <c r="V342" s="243" t="s">
        <v>530</v>
      </c>
      <c r="W342" s="243" t="str">
        <f>VLOOKUP(V342,名簿!A:L,3,FALSE)</f>
        <v>品質保証部</v>
      </c>
      <c r="X342" s="243" t="str">
        <f>VLOOKUP(V342,名簿!A:L,4,FALSE)</f>
        <v>品質管理課</v>
      </c>
      <c r="Y342" s="243" t="str">
        <f>VLOOKUP(V342,名簿!A:L,5,FALSE)</f>
        <v>-</v>
      </c>
      <c r="Z342" s="243" t="str">
        <f>VLOOKUP(V342,名簿!A:L,11,FALSE)</f>
        <v>本社</v>
      </c>
      <c r="AA342" s="243" t="str">
        <f>VLOOKUP(V342,名簿!A:L,12,FALSE)</f>
        <v>3F/シンク前</v>
      </c>
    </row>
    <row r="343" spans="1:27" ht="22.8">
      <c r="A343" s="301">
        <v>337</v>
      </c>
      <c r="B343" s="248">
        <v>45863</v>
      </c>
      <c r="F343" s="252" t="s">
        <v>324</v>
      </c>
      <c r="K343" s="265">
        <v>1</v>
      </c>
      <c r="L343" s="265">
        <v>1</v>
      </c>
      <c r="P343" s="251">
        <v>5</v>
      </c>
      <c r="R343" s="108" t="s">
        <v>2039</v>
      </c>
      <c r="S343" s="310"/>
      <c r="V343" s="243" t="s">
        <v>535</v>
      </c>
      <c r="W343" s="243" t="str">
        <f>VLOOKUP(V343,名簿!A:L,3,FALSE)</f>
        <v>管理部</v>
      </c>
      <c r="X343" s="243" t="str">
        <f>VLOOKUP(V343,名簿!A:L,4,FALSE)</f>
        <v>管理課</v>
      </c>
      <c r="Y343" s="243" t="str">
        <f>VLOOKUP(V343,名簿!A:L,5,FALSE)</f>
        <v>-</v>
      </c>
      <c r="Z343" s="243" t="str">
        <f>VLOOKUP(V343,名簿!A:L,11,FALSE)</f>
        <v>本社</v>
      </c>
      <c r="AA343" s="243" t="str">
        <f>VLOOKUP(V343,名簿!A:L,12,FALSE)</f>
        <v>3F/シンク前</v>
      </c>
    </row>
    <row r="344" spans="1:27">
      <c r="A344" s="301">
        <v>338</v>
      </c>
      <c r="B344" s="248">
        <v>45863</v>
      </c>
      <c r="F344" s="252" t="s">
        <v>324</v>
      </c>
      <c r="K344" s="265">
        <v>1</v>
      </c>
      <c r="L344" s="265">
        <v>1</v>
      </c>
      <c r="P344" s="251">
        <v>4</v>
      </c>
      <c r="R344" s="108" t="s">
        <v>546</v>
      </c>
      <c r="S344" s="310"/>
      <c r="V344" s="243" t="s">
        <v>541</v>
      </c>
      <c r="W344" s="243" t="str">
        <f>VLOOKUP(V344,名簿!A:L,3,FALSE)</f>
        <v>管理部</v>
      </c>
      <c r="X344" s="243" t="str">
        <f>VLOOKUP(V344,名簿!A:L,4,FALSE)</f>
        <v>管理課</v>
      </c>
      <c r="Y344" s="243" t="str">
        <f>VLOOKUP(V344,名簿!A:L,5,FALSE)</f>
        <v>-</v>
      </c>
      <c r="Z344" s="243" t="str">
        <f>VLOOKUP(V344,名簿!A:L,11,FALSE)</f>
        <v>本社</v>
      </c>
      <c r="AA344" s="243" t="str">
        <f>VLOOKUP(V344,名簿!A:L,12,FALSE)</f>
        <v>3F/シンク前</v>
      </c>
    </row>
    <row r="345" spans="1:27" ht="22.8">
      <c r="A345" s="301">
        <v>339</v>
      </c>
      <c r="B345" s="248">
        <v>45863</v>
      </c>
      <c r="F345" s="252" t="s">
        <v>324</v>
      </c>
      <c r="K345" s="265">
        <v>1</v>
      </c>
      <c r="L345" s="265">
        <v>1</v>
      </c>
      <c r="P345" s="251">
        <v>4</v>
      </c>
      <c r="R345" s="108" t="s">
        <v>551</v>
      </c>
      <c r="S345" s="310"/>
      <c r="V345" s="243" t="s">
        <v>547</v>
      </c>
      <c r="W345" s="243" t="str">
        <f>VLOOKUP(V345,名簿!A:L,3,FALSE)</f>
        <v>管理部</v>
      </c>
      <c r="X345" s="243" t="str">
        <f>VLOOKUP(V345,名簿!A:L,4,FALSE)</f>
        <v>管理課</v>
      </c>
      <c r="Y345" s="243" t="str">
        <f>VLOOKUP(V345,名簿!A:L,5,FALSE)</f>
        <v>-</v>
      </c>
      <c r="Z345" s="243" t="str">
        <f>VLOOKUP(V345,名簿!A:L,11,FALSE)</f>
        <v>本社</v>
      </c>
      <c r="AA345" s="243" t="str">
        <f>VLOOKUP(V345,名簿!A:L,12,FALSE)</f>
        <v>3F/シンク前</v>
      </c>
    </row>
    <row r="346" spans="1:27">
      <c r="A346" s="301">
        <v>340</v>
      </c>
      <c r="B346" s="248">
        <v>45863</v>
      </c>
      <c r="F346" s="252" t="s">
        <v>324</v>
      </c>
      <c r="G346" s="252" t="s">
        <v>2247</v>
      </c>
      <c r="K346" s="265">
        <v>1</v>
      </c>
      <c r="L346" s="265">
        <v>1</v>
      </c>
      <c r="M346" s="265">
        <v>1</v>
      </c>
      <c r="P346" s="251">
        <v>4</v>
      </c>
      <c r="R346" s="108" t="s">
        <v>554</v>
      </c>
      <c r="S346" s="310"/>
      <c r="V346" s="243" t="s">
        <v>1261</v>
      </c>
      <c r="W346" s="243" t="str">
        <f>VLOOKUP(V346,名簿!A:L,3,FALSE)</f>
        <v>技術製造部</v>
      </c>
      <c r="X346" s="243" t="str">
        <f>VLOOKUP(V346,名簿!A:L,4,FALSE)</f>
        <v>生産管理課</v>
      </c>
      <c r="Y346" s="243" t="str">
        <f>VLOOKUP(V346,名簿!A:L,5,FALSE)</f>
        <v>物流</v>
      </c>
      <c r="Z346" s="243" t="str">
        <f>VLOOKUP(V346,名簿!A:L,11,FALSE)</f>
        <v>コスメファクトリー</v>
      </c>
      <c r="AA346" s="243" t="str">
        <f>VLOOKUP(V346,名簿!A:L,12,FALSE)</f>
        <v>1F/事務所</v>
      </c>
    </row>
    <row r="347" spans="1:27">
      <c r="A347" s="301">
        <v>341</v>
      </c>
      <c r="B347" s="248">
        <v>45863</v>
      </c>
      <c r="F347" s="252" t="s">
        <v>324</v>
      </c>
      <c r="K347" s="265">
        <v>1</v>
      </c>
      <c r="L347" s="265">
        <v>1</v>
      </c>
      <c r="P347" s="251">
        <v>5</v>
      </c>
      <c r="R347" s="108" t="s">
        <v>559</v>
      </c>
      <c r="S347" s="310"/>
      <c r="V347" s="243" t="s">
        <v>555</v>
      </c>
      <c r="W347" s="243" t="str">
        <f>VLOOKUP(V347,名簿!A:L,3,FALSE)</f>
        <v>技術製造部</v>
      </c>
      <c r="X347" s="243" t="str">
        <f>VLOOKUP(V347,名簿!A:L,4,FALSE)</f>
        <v>製造課</v>
      </c>
      <c r="Y347" s="243" t="str">
        <f>VLOOKUP(V347,名簿!A:L,5,FALSE)</f>
        <v>液体</v>
      </c>
      <c r="Z347" s="243" t="str">
        <f>VLOOKUP(V347,名簿!A:L,11,FALSE)</f>
        <v>本社</v>
      </c>
      <c r="AA347" s="243" t="str">
        <f>VLOOKUP(V347,名簿!A:L,12,FALSE)</f>
        <v>3F/シンク前</v>
      </c>
    </row>
    <row r="348" spans="1:27" ht="22.8">
      <c r="A348" s="301">
        <v>342</v>
      </c>
      <c r="B348" s="248">
        <v>45863</v>
      </c>
      <c r="F348" s="252" t="s">
        <v>324</v>
      </c>
      <c r="G348" s="252" t="s">
        <v>2244</v>
      </c>
      <c r="K348" s="265">
        <v>1</v>
      </c>
      <c r="L348" s="265">
        <v>1</v>
      </c>
      <c r="P348" s="251">
        <v>3</v>
      </c>
      <c r="R348" s="108" t="s">
        <v>565</v>
      </c>
      <c r="S348" s="310"/>
      <c r="V348" s="243" t="s">
        <v>560</v>
      </c>
      <c r="W348" s="243" t="str">
        <f>VLOOKUP(V348,名簿!A:L,3,FALSE)</f>
        <v>技術製造部</v>
      </c>
      <c r="X348" s="243" t="str">
        <f>VLOOKUP(V348,名簿!A:L,4,FALSE)</f>
        <v>製造課</v>
      </c>
      <c r="Y348" s="243" t="str">
        <f>VLOOKUP(V348,名簿!A:L,5,FALSE)</f>
        <v>液体</v>
      </c>
      <c r="Z348" s="243" t="str">
        <f>VLOOKUP(V348,名簿!A:L,11,FALSE)</f>
        <v>本社</v>
      </c>
      <c r="AA348" s="243" t="str">
        <f>VLOOKUP(V348,名簿!A:L,12,FALSE)</f>
        <v>3F/シンク前</v>
      </c>
    </row>
    <row r="349" spans="1:27">
      <c r="A349" s="301">
        <v>343</v>
      </c>
      <c r="B349" s="248">
        <v>45863</v>
      </c>
      <c r="F349" s="252" t="s">
        <v>324</v>
      </c>
      <c r="G349" s="252" t="s">
        <v>2247</v>
      </c>
      <c r="K349" s="265">
        <v>1</v>
      </c>
      <c r="L349" s="265">
        <v>1</v>
      </c>
      <c r="M349" s="265">
        <v>1</v>
      </c>
      <c r="P349" s="251">
        <v>4</v>
      </c>
      <c r="R349" s="108" t="s">
        <v>228</v>
      </c>
      <c r="S349" s="310"/>
      <c r="V349" s="243" t="s">
        <v>566</v>
      </c>
      <c r="W349" s="243" t="str">
        <f>VLOOKUP(V349,名簿!A:L,3,FALSE)</f>
        <v>技術製造部</v>
      </c>
      <c r="X349" s="243" t="str">
        <f>VLOOKUP(V349,名簿!A:L,4,FALSE)</f>
        <v>生産管理課</v>
      </c>
      <c r="Y349" s="243" t="str">
        <f>VLOOKUP(V349,名簿!A:L,5,FALSE)</f>
        <v>物流</v>
      </c>
      <c r="Z349" s="243" t="str">
        <f>VLOOKUP(V349,名簿!A:L,11,FALSE)</f>
        <v>本社</v>
      </c>
      <c r="AA349" s="243" t="str">
        <f>VLOOKUP(V349,名簿!A:L,12,FALSE)</f>
        <v>3F/シンク前</v>
      </c>
    </row>
    <row r="350" spans="1:27">
      <c r="A350" s="301">
        <v>344</v>
      </c>
      <c r="B350" s="248">
        <v>45863</v>
      </c>
      <c r="F350" s="252" t="s">
        <v>324</v>
      </c>
      <c r="K350" s="265">
        <v>1</v>
      </c>
      <c r="L350" s="265">
        <v>1</v>
      </c>
      <c r="P350" s="251">
        <v>5</v>
      </c>
      <c r="R350" s="108" t="s">
        <v>2040</v>
      </c>
      <c r="S350" s="310"/>
      <c r="V350" s="243" t="s">
        <v>568</v>
      </c>
      <c r="W350" s="243" t="str">
        <f>VLOOKUP(V350,名簿!A:L,3,FALSE)</f>
        <v>品質保証部</v>
      </c>
      <c r="X350" s="243" t="str">
        <f>VLOOKUP(V350,名簿!A:L,4,FALSE)</f>
        <v>品質管理課</v>
      </c>
      <c r="Y350" s="243" t="str">
        <f>VLOOKUP(V350,名簿!A:L,5,FALSE)</f>
        <v>-</v>
      </c>
      <c r="Z350" s="243" t="str">
        <f>VLOOKUP(V350,名簿!A:L,11,FALSE)</f>
        <v>本社</v>
      </c>
      <c r="AA350" s="243" t="str">
        <f>VLOOKUP(V350,名簿!A:L,12,FALSE)</f>
        <v>3F/シンク前</v>
      </c>
    </row>
    <row r="351" spans="1:27">
      <c r="A351" s="301">
        <v>345</v>
      </c>
      <c r="B351" s="248">
        <v>45863</v>
      </c>
      <c r="F351" s="252" t="s">
        <v>324</v>
      </c>
      <c r="K351" s="265">
        <v>1</v>
      </c>
      <c r="L351" s="265">
        <v>1</v>
      </c>
      <c r="P351" s="251">
        <v>1</v>
      </c>
      <c r="S351" s="310"/>
      <c r="V351" s="243" t="s">
        <v>575</v>
      </c>
      <c r="W351" s="243" t="str">
        <f>VLOOKUP(V351,名簿!A:L,3,FALSE)</f>
        <v>企画営業部</v>
      </c>
      <c r="X351" s="243" t="str">
        <f>VLOOKUP(V351,名簿!A:L,4,FALSE)</f>
        <v>-</v>
      </c>
      <c r="Y351" s="243" t="str">
        <f>VLOOKUP(V351,名簿!A:L,5,FALSE)</f>
        <v>-</v>
      </c>
      <c r="Z351" s="243" t="str">
        <f>VLOOKUP(V351,名簿!A:L,11,FALSE)</f>
        <v>東京営業所</v>
      </c>
      <c r="AA351" s="243" t="str">
        <f>VLOOKUP(V351,名簿!A:L,12,FALSE)</f>
        <v>-</v>
      </c>
    </row>
    <row r="352" spans="1:27">
      <c r="A352" s="301">
        <v>346</v>
      </c>
      <c r="B352" s="248">
        <v>45863</v>
      </c>
      <c r="F352" s="252" t="s">
        <v>324</v>
      </c>
      <c r="K352" s="265">
        <v>1</v>
      </c>
      <c r="L352" s="265">
        <v>1</v>
      </c>
      <c r="P352" s="251">
        <v>5</v>
      </c>
      <c r="R352" s="108" t="s">
        <v>578</v>
      </c>
      <c r="S352" s="310"/>
      <c r="V352" s="243" t="s">
        <v>576</v>
      </c>
      <c r="W352" s="243" t="str">
        <f>VLOOKUP(V352,名簿!A:L,3,FALSE)</f>
        <v>企画営業部</v>
      </c>
      <c r="X352" s="243" t="str">
        <f>VLOOKUP(V352,名簿!A:L,4,FALSE)</f>
        <v>営業課</v>
      </c>
      <c r="Y352" s="243" t="str">
        <f>VLOOKUP(V352,名簿!A:L,5,FALSE)</f>
        <v>-</v>
      </c>
      <c r="Z352" s="243" t="str">
        <f>VLOOKUP(V352,名簿!A:L,11,FALSE)</f>
        <v>東京営業所</v>
      </c>
      <c r="AA352" s="243" t="str">
        <f>VLOOKUP(V352,名簿!A:L,12,FALSE)</f>
        <v>-</v>
      </c>
    </row>
    <row r="353" spans="1:27" ht="22.8">
      <c r="A353" s="301">
        <v>347</v>
      </c>
      <c r="B353" s="248">
        <v>45863</v>
      </c>
      <c r="F353" s="252" t="s">
        <v>324</v>
      </c>
      <c r="K353" s="265">
        <v>1</v>
      </c>
      <c r="L353" s="265">
        <v>1</v>
      </c>
      <c r="P353" s="251">
        <v>5</v>
      </c>
      <c r="R353" s="108" t="s">
        <v>580</v>
      </c>
      <c r="S353" s="310"/>
      <c r="V353" s="243" t="s">
        <v>579</v>
      </c>
      <c r="W353" s="243" t="str">
        <f>VLOOKUP(V353,名簿!A:L,3,FALSE)</f>
        <v>企画営業部</v>
      </c>
      <c r="X353" s="243" t="str">
        <f>VLOOKUP(V353,名簿!A:L,4,FALSE)</f>
        <v>営業課</v>
      </c>
      <c r="Y353" s="243" t="str">
        <f>VLOOKUP(V353,名簿!A:L,5,FALSE)</f>
        <v>-</v>
      </c>
      <c r="Z353" s="243" t="str">
        <f>VLOOKUP(V353,名簿!A:L,11,FALSE)</f>
        <v>東京営業所</v>
      </c>
      <c r="AA353" s="243" t="str">
        <f>VLOOKUP(V353,名簿!A:L,12,FALSE)</f>
        <v>-</v>
      </c>
    </row>
    <row r="354" spans="1:27">
      <c r="A354" s="301">
        <v>348</v>
      </c>
      <c r="B354" s="248">
        <v>45863</v>
      </c>
      <c r="F354" s="252" t="s">
        <v>324</v>
      </c>
      <c r="K354" s="265">
        <v>1</v>
      </c>
      <c r="L354" s="265">
        <v>1</v>
      </c>
      <c r="P354" s="251">
        <v>1</v>
      </c>
      <c r="S354" s="310"/>
      <c r="V354" s="243" t="s">
        <v>581</v>
      </c>
      <c r="W354" s="243" t="str">
        <f>VLOOKUP(V354,名簿!A:L,3,FALSE)</f>
        <v>企画営業部</v>
      </c>
      <c r="X354" s="243" t="str">
        <f>VLOOKUP(V354,名簿!A:L,4,FALSE)</f>
        <v>営業課</v>
      </c>
      <c r="Y354" s="243" t="str">
        <f>VLOOKUP(V354,名簿!A:L,5,FALSE)</f>
        <v>-</v>
      </c>
      <c r="Z354" s="243" t="str">
        <f>VLOOKUP(V354,名簿!A:L,11,FALSE)</f>
        <v>東京営業所</v>
      </c>
      <c r="AA354" s="243" t="str">
        <f>VLOOKUP(V354,名簿!A:L,12,FALSE)</f>
        <v>-</v>
      </c>
    </row>
    <row r="355" spans="1:27">
      <c r="A355" s="301">
        <v>349</v>
      </c>
      <c r="B355" s="248">
        <v>45863</v>
      </c>
      <c r="F355" s="252" t="s">
        <v>1980</v>
      </c>
      <c r="P355" s="251">
        <v>1</v>
      </c>
      <c r="S355" s="310"/>
      <c r="V355" s="243" t="s">
        <v>376</v>
      </c>
      <c r="W355" s="243" t="str">
        <f>VLOOKUP(V355,名簿!A:L,3,FALSE)</f>
        <v>研究開発部</v>
      </c>
      <c r="X355" s="243" t="str">
        <f>VLOOKUP(V355,名簿!A:L,4,FALSE)</f>
        <v>研究開発課</v>
      </c>
      <c r="Y355" s="243" t="str">
        <f>VLOOKUP(V355,名簿!A:L,5,FALSE)</f>
        <v>-</v>
      </c>
      <c r="Z355" s="243" t="str">
        <f>VLOOKUP(V355,名簿!A:L,11,FALSE)</f>
        <v>コスメラボラトリー</v>
      </c>
      <c r="AA355" s="243" t="str">
        <f>VLOOKUP(V355,名簿!A:L,12,FALSE)</f>
        <v>3F/事務所</v>
      </c>
    </row>
    <row r="356" spans="1:27">
      <c r="A356" s="301">
        <v>350</v>
      </c>
      <c r="B356" s="248">
        <v>45863</v>
      </c>
      <c r="F356" s="252" t="s">
        <v>1980</v>
      </c>
      <c r="P356" s="251">
        <v>1</v>
      </c>
      <c r="S356" s="310"/>
      <c r="V356" s="243" t="s">
        <v>380</v>
      </c>
      <c r="W356" s="243" t="str">
        <f>VLOOKUP(V356,名簿!A:L,3,FALSE)</f>
        <v>研究開発部</v>
      </c>
      <c r="X356" s="243" t="str">
        <f>VLOOKUP(V356,名簿!A:L,4,FALSE)</f>
        <v>研究開発課</v>
      </c>
      <c r="Y356" s="243" t="str">
        <f>VLOOKUP(V356,名簿!A:L,5,FALSE)</f>
        <v>-</v>
      </c>
      <c r="Z356" s="243" t="str">
        <f>VLOOKUP(V356,名簿!A:L,11,FALSE)</f>
        <v>コスメラボラトリー</v>
      </c>
      <c r="AA356" s="243" t="str">
        <f>VLOOKUP(V356,名簿!A:L,12,FALSE)</f>
        <v>3F/事務所</v>
      </c>
    </row>
    <row r="357" spans="1:27" ht="22.8">
      <c r="A357" s="301">
        <v>351</v>
      </c>
      <c r="B357" s="248">
        <v>45863</v>
      </c>
      <c r="F357" s="252" t="s">
        <v>1980</v>
      </c>
      <c r="J357" s="265">
        <v>1</v>
      </c>
      <c r="K357" s="265">
        <v>1</v>
      </c>
      <c r="P357" s="251">
        <v>4</v>
      </c>
      <c r="R357" s="108" t="s">
        <v>341</v>
      </c>
      <c r="S357" s="310"/>
      <c r="V357" s="243" t="s">
        <v>1463</v>
      </c>
      <c r="W357" s="243" t="str">
        <f>VLOOKUP(V357,名簿!A:L,3,FALSE)</f>
        <v>EC事業部</v>
      </c>
      <c r="X357" s="243" t="str">
        <f>VLOOKUP(V357,名簿!A:L,4,FALSE)</f>
        <v>EC事業課</v>
      </c>
      <c r="Y357" s="243" t="str">
        <f>VLOOKUP(V357,名簿!A:L,5,FALSE)</f>
        <v>-</v>
      </c>
      <c r="Z357" s="243" t="str">
        <f>VLOOKUP(V357,名簿!A:L,11,FALSE)</f>
        <v>コスメラボラトリー</v>
      </c>
      <c r="AA357" s="243" t="str">
        <f>VLOOKUP(V357,名簿!A:L,12,FALSE)</f>
        <v>3F/事務所</v>
      </c>
    </row>
    <row r="358" spans="1:27" ht="22.8">
      <c r="A358" s="301">
        <v>352</v>
      </c>
      <c r="B358" s="248">
        <v>45863</v>
      </c>
      <c r="F358" s="252" t="s">
        <v>1980</v>
      </c>
      <c r="H358" s="265">
        <v>1</v>
      </c>
      <c r="I358" s="265">
        <v>1</v>
      </c>
      <c r="P358" s="251">
        <v>3</v>
      </c>
      <c r="R358" s="108" t="s">
        <v>348</v>
      </c>
      <c r="S358" s="310"/>
      <c r="V358" s="243" t="s">
        <v>392</v>
      </c>
      <c r="W358" s="243" t="str">
        <f>VLOOKUP(V358,名簿!A:L,3,FALSE)</f>
        <v>技術製造部</v>
      </c>
      <c r="X358" s="243" t="str">
        <f>VLOOKUP(V358,名簿!A:L,4,FALSE)</f>
        <v>製造課</v>
      </c>
      <c r="Y358" s="243" t="str">
        <f>VLOOKUP(V358,名簿!A:L,5,FALSE)</f>
        <v>充填包装</v>
      </c>
      <c r="Z358" s="243" t="str">
        <f>VLOOKUP(V358,名簿!A:L,11,FALSE)</f>
        <v>コスメラボラトリー</v>
      </c>
      <c r="AA358" s="243" t="str">
        <f>VLOOKUP(V358,名簿!A:L,12,FALSE)</f>
        <v>1F/作業場南</v>
      </c>
    </row>
    <row r="359" spans="1:27">
      <c r="A359" s="301">
        <v>353</v>
      </c>
      <c r="B359" s="248">
        <v>45863</v>
      </c>
      <c r="F359" s="252" t="s">
        <v>1980</v>
      </c>
      <c r="P359" s="251">
        <v>1</v>
      </c>
      <c r="R359" s="108" t="s">
        <v>359</v>
      </c>
      <c r="S359" s="310"/>
      <c r="V359" s="243" t="s">
        <v>395</v>
      </c>
      <c r="W359" s="243" t="str">
        <f>VLOOKUP(V359,名簿!A:L,3,FALSE)</f>
        <v>EC事業部</v>
      </c>
      <c r="X359" s="243" t="str">
        <f>VLOOKUP(V359,名簿!A:L,4,FALSE)</f>
        <v>EC事業課</v>
      </c>
      <c r="Y359" s="243" t="str">
        <f>VLOOKUP(V359,名簿!A:L,5,FALSE)</f>
        <v>-</v>
      </c>
      <c r="Z359" s="243" t="str">
        <f>VLOOKUP(V359,名簿!A:L,11,FALSE)</f>
        <v>コスメラボラトリー</v>
      </c>
      <c r="AA359" s="243" t="str">
        <f>VLOOKUP(V359,名簿!A:L,12,FALSE)</f>
        <v>3F/事務所</v>
      </c>
    </row>
    <row r="360" spans="1:27">
      <c r="A360" s="301">
        <v>354</v>
      </c>
      <c r="B360" s="248">
        <v>45863</v>
      </c>
      <c r="F360" s="252" t="s">
        <v>1980</v>
      </c>
      <c r="H360" s="265">
        <v>1</v>
      </c>
      <c r="I360" s="265">
        <v>1</v>
      </c>
      <c r="P360" s="251">
        <v>3</v>
      </c>
      <c r="R360" s="108" t="s">
        <v>343</v>
      </c>
      <c r="S360" s="310"/>
      <c r="V360" s="243" t="s">
        <v>396</v>
      </c>
      <c r="W360" s="243" t="str">
        <f>VLOOKUP(V360,名簿!A:L,3,FALSE)</f>
        <v>技術製造部</v>
      </c>
      <c r="X360" s="243" t="str">
        <f>VLOOKUP(V360,名簿!A:L,4,FALSE)</f>
        <v>製造課</v>
      </c>
      <c r="Y360" s="243" t="str">
        <f>VLOOKUP(V360,名簿!A:L,5,FALSE)</f>
        <v>充填包装</v>
      </c>
      <c r="Z360" s="243" t="str">
        <f>VLOOKUP(V360,名簿!A:L,11,FALSE)</f>
        <v>コスメファクトリー</v>
      </c>
      <c r="AA360" s="243" t="str">
        <f>VLOOKUP(V360,名簿!A:L,12,FALSE)</f>
        <v>2F/充填ライン北</v>
      </c>
    </row>
    <row r="361" spans="1:27">
      <c r="A361" s="301">
        <v>355</v>
      </c>
      <c r="B361" s="248">
        <v>45863</v>
      </c>
      <c r="F361" s="252" t="s">
        <v>1980</v>
      </c>
      <c r="P361" s="251">
        <v>1</v>
      </c>
      <c r="S361" s="310"/>
      <c r="V361" s="243" t="s">
        <v>400</v>
      </c>
      <c r="W361" s="243" t="str">
        <f>VLOOKUP(V361,名簿!A:L,3,FALSE)</f>
        <v>技術製造部</v>
      </c>
      <c r="X361" s="243" t="str">
        <f>VLOOKUP(V361,名簿!A:L,4,FALSE)</f>
        <v>製造課</v>
      </c>
      <c r="Y361" s="243" t="str">
        <f>VLOOKUP(V361,名簿!A:L,5,FALSE)</f>
        <v>充填包装</v>
      </c>
      <c r="Z361" s="243" t="str">
        <f>VLOOKUP(V361,名簿!A:L,11,FALSE)</f>
        <v>コスメファクトリー</v>
      </c>
      <c r="AA361" s="243" t="str">
        <f>VLOOKUP(V361,名簿!A:L,12,FALSE)</f>
        <v>2F/充填ライン北</v>
      </c>
    </row>
    <row r="362" spans="1:27">
      <c r="A362" s="301">
        <v>356</v>
      </c>
      <c r="B362" s="248">
        <v>45863</v>
      </c>
      <c r="F362" s="252" t="s">
        <v>1980</v>
      </c>
      <c r="K362" s="265">
        <v>1</v>
      </c>
      <c r="L362" s="265">
        <v>1</v>
      </c>
      <c r="P362" s="251">
        <v>5</v>
      </c>
      <c r="R362" s="108" t="s">
        <v>2041</v>
      </c>
      <c r="S362" s="310"/>
      <c r="V362" s="243" t="s">
        <v>403</v>
      </c>
      <c r="W362" s="243" t="str">
        <f>VLOOKUP(V362,名簿!A:L,3,FALSE)</f>
        <v>技術製造部</v>
      </c>
      <c r="X362" s="243" t="str">
        <f>VLOOKUP(V362,名簿!A:L,4,FALSE)</f>
        <v>製造課</v>
      </c>
      <c r="Y362" s="243" t="str">
        <f>VLOOKUP(V362,名簿!A:L,5,FALSE)</f>
        <v>充填包装</v>
      </c>
      <c r="Z362" s="243" t="str">
        <f>VLOOKUP(V362,名簿!A:L,11,FALSE)</f>
        <v>コスメファクトリー</v>
      </c>
      <c r="AA362" s="243" t="str">
        <f>VLOOKUP(V362,名簿!A:L,12,FALSE)</f>
        <v>2F/充填ライン南</v>
      </c>
    </row>
    <row r="363" spans="1:27">
      <c r="A363" s="301">
        <v>357</v>
      </c>
      <c r="B363" s="248">
        <v>45863</v>
      </c>
      <c r="F363" s="252" t="s">
        <v>1980</v>
      </c>
      <c r="P363" s="251">
        <v>1</v>
      </c>
      <c r="S363" s="310"/>
      <c r="V363" s="243" t="s">
        <v>409</v>
      </c>
      <c r="W363" s="243" t="str">
        <f>VLOOKUP(V363,名簿!A:L,3,FALSE)</f>
        <v>技術製造部</v>
      </c>
      <c r="X363" s="243" t="str">
        <f>VLOOKUP(V363,名簿!A:L,4,FALSE)</f>
        <v>製造課</v>
      </c>
      <c r="Y363" s="243" t="str">
        <f>VLOOKUP(V363,名簿!A:L,5,FALSE)</f>
        <v>充填包装</v>
      </c>
      <c r="Z363" s="243" t="str">
        <f>VLOOKUP(V363,名簿!A:L,11,FALSE)</f>
        <v>コスメラボラトリー</v>
      </c>
      <c r="AA363" s="243" t="str">
        <f>VLOOKUP(V363,名簿!A:L,12,FALSE)</f>
        <v>2F/事務所</v>
      </c>
    </row>
    <row r="364" spans="1:27" ht="57">
      <c r="A364" s="301">
        <v>358</v>
      </c>
      <c r="B364" s="248">
        <v>45863</v>
      </c>
      <c r="F364" s="252" t="s">
        <v>1980</v>
      </c>
      <c r="I364" s="265">
        <v>1</v>
      </c>
      <c r="J364" s="265">
        <v>1</v>
      </c>
      <c r="K364" s="265">
        <v>1</v>
      </c>
      <c r="P364" s="251">
        <v>3</v>
      </c>
      <c r="R364" s="108" t="s">
        <v>2042</v>
      </c>
      <c r="S364" s="310"/>
      <c r="V364" s="243" t="s">
        <v>1994</v>
      </c>
      <c r="W364" s="243" t="str">
        <f>VLOOKUP(V364,名簿!A:L,3,FALSE)</f>
        <v>技術製造部</v>
      </c>
      <c r="X364" s="243" t="str">
        <f>VLOOKUP(V364,名簿!A:L,4,FALSE)</f>
        <v>製造課</v>
      </c>
      <c r="Y364" s="243" t="str">
        <f>VLOOKUP(V364,名簿!A:L,5,FALSE)</f>
        <v>バルク・顆粒</v>
      </c>
      <c r="Z364" s="243" t="str">
        <f>VLOOKUP(V364,名簿!A:L,11,FALSE)</f>
        <v>コスメラボラトリー</v>
      </c>
      <c r="AA364" s="243" t="str">
        <f>VLOOKUP(V364,名簿!A:L,12,FALSE)</f>
        <v>2F/事務所</v>
      </c>
    </row>
    <row r="365" spans="1:27">
      <c r="A365" s="301">
        <v>359</v>
      </c>
      <c r="B365" s="248">
        <v>45863</v>
      </c>
      <c r="F365" s="252" t="s">
        <v>1980</v>
      </c>
      <c r="P365" s="251">
        <v>1</v>
      </c>
      <c r="S365" s="310"/>
      <c r="V365" s="243" t="s">
        <v>420</v>
      </c>
      <c r="W365" s="243" t="str">
        <f>VLOOKUP(V365,名簿!A:L,3,FALSE)</f>
        <v>技術製造部</v>
      </c>
      <c r="X365" s="243" t="str">
        <f>VLOOKUP(V365,名簿!A:L,4,FALSE)</f>
        <v>製造課</v>
      </c>
      <c r="Y365" s="243" t="str">
        <f>VLOOKUP(V365,名簿!A:L,5,FALSE)</f>
        <v>粉体</v>
      </c>
      <c r="Z365" s="243" t="str">
        <f>VLOOKUP(V365,名簿!A:L,11,FALSE)</f>
        <v>コスメラボラトリー</v>
      </c>
      <c r="AA365" s="243" t="str">
        <f>VLOOKUP(V365,名簿!A:L,12,FALSE)</f>
        <v>2F/作業場南</v>
      </c>
    </row>
    <row r="366" spans="1:27">
      <c r="A366" s="301">
        <v>360</v>
      </c>
      <c r="B366" s="248">
        <v>45863</v>
      </c>
      <c r="F366" s="252" t="s">
        <v>1980</v>
      </c>
      <c r="P366" s="251">
        <v>1</v>
      </c>
      <c r="R366" s="108" t="s">
        <v>360</v>
      </c>
      <c r="S366" s="310"/>
      <c r="V366" s="243" t="s">
        <v>1201</v>
      </c>
      <c r="W366" s="243" t="str">
        <f>VLOOKUP(V366,名簿!A:L,3,FALSE)</f>
        <v>品質保証部</v>
      </c>
      <c r="X366" s="243" t="str">
        <f>VLOOKUP(V366,名簿!A:L,4,FALSE)</f>
        <v>品質管理課</v>
      </c>
      <c r="Y366" s="243" t="str">
        <f>VLOOKUP(V366,名簿!A:L,5,FALSE)</f>
        <v>-</v>
      </c>
      <c r="Z366" s="243" t="str">
        <f>VLOOKUP(V366,名簿!A:L,11,FALSE)</f>
        <v>コスメラボラトリー</v>
      </c>
      <c r="AA366" s="243" t="str">
        <f>VLOOKUP(V366,名簿!A:L,12,FALSE)</f>
        <v>3F/事務所</v>
      </c>
    </row>
    <row r="367" spans="1:27">
      <c r="A367" s="301">
        <v>361</v>
      </c>
      <c r="B367" s="248">
        <v>45863</v>
      </c>
      <c r="F367" s="252" t="s">
        <v>1980</v>
      </c>
      <c r="H367" s="265">
        <v>1</v>
      </c>
      <c r="I367" s="265">
        <v>1</v>
      </c>
      <c r="P367" s="251">
        <v>3</v>
      </c>
      <c r="R367" s="108" t="s">
        <v>347</v>
      </c>
      <c r="S367" s="310"/>
      <c r="V367" s="243" t="s">
        <v>427</v>
      </c>
      <c r="W367" s="243" t="str">
        <f>VLOOKUP(V367,名簿!A:L,3,FALSE)</f>
        <v>技術製造部</v>
      </c>
      <c r="X367" s="243" t="str">
        <f>VLOOKUP(V367,名簿!A:L,4,FALSE)</f>
        <v>製造課</v>
      </c>
      <c r="Y367" s="243" t="str">
        <f>VLOOKUP(V367,名簿!A:L,5,FALSE)</f>
        <v>バルク・顆粒</v>
      </c>
      <c r="Z367" s="243" t="str">
        <f>VLOOKUP(V367,名簿!A:L,11,FALSE)</f>
        <v>コスメファクトリー</v>
      </c>
      <c r="AA367" s="243" t="str">
        <f>VLOOKUP(V367,名簿!A:L,12,FALSE)</f>
        <v>1F/バルク室</v>
      </c>
    </row>
    <row r="368" spans="1:27">
      <c r="A368" s="301">
        <v>362</v>
      </c>
      <c r="B368" s="248">
        <v>45863</v>
      </c>
      <c r="F368" s="252" t="s">
        <v>1980</v>
      </c>
      <c r="P368" s="251">
        <v>1</v>
      </c>
      <c r="S368" s="310"/>
      <c r="V368" s="243" t="s">
        <v>430</v>
      </c>
      <c r="W368" s="243" t="str">
        <f>VLOOKUP(V368,名簿!A:L,3,FALSE)</f>
        <v>研究開発部</v>
      </c>
      <c r="X368" s="243" t="str">
        <f>VLOOKUP(V368,名簿!A:L,4,FALSE)</f>
        <v>研究開発課</v>
      </c>
      <c r="Y368" s="243" t="str">
        <f>VLOOKUP(V368,名簿!A:L,5,FALSE)</f>
        <v>-</v>
      </c>
      <c r="Z368" s="243" t="str">
        <f>VLOOKUP(V368,名簿!A:L,11,FALSE)</f>
        <v>コスメラボラトリー</v>
      </c>
      <c r="AA368" s="243" t="str">
        <f>VLOOKUP(V368,名簿!A:L,12,FALSE)</f>
        <v>3F/事務所</v>
      </c>
    </row>
    <row r="369" spans="1:27">
      <c r="A369" s="301">
        <v>363</v>
      </c>
      <c r="B369" s="248">
        <v>45863</v>
      </c>
      <c r="F369" s="252" t="s">
        <v>1980</v>
      </c>
      <c r="K369" s="265">
        <v>1</v>
      </c>
      <c r="L369" s="265">
        <v>1</v>
      </c>
      <c r="P369" s="251">
        <v>5</v>
      </c>
      <c r="R369" s="108" t="s">
        <v>344</v>
      </c>
      <c r="S369" s="310"/>
      <c r="V369" s="243" t="s">
        <v>434</v>
      </c>
      <c r="W369" s="243" t="str">
        <f>VLOOKUP(V369,名簿!A:L,3,FALSE)</f>
        <v>技術製造部</v>
      </c>
      <c r="X369" s="243" t="str">
        <f>VLOOKUP(V369,名簿!A:L,4,FALSE)</f>
        <v>製造課</v>
      </c>
      <c r="Y369" s="243" t="str">
        <f>VLOOKUP(V369,名簿!A:L,5,FALSE)</f>
        <v>バルク・顆粒</v>
      </c>
      <c r="Z369" s="243" t="str">
        <f>VLOOKUP(V369,名簿!A:L,11,FALSE)</f>
        <v>コスメファクトリー</v>
      </c>
      <c r="AA369" s="243" t="str">
        <f>VLOOKUP(V369,名簿!A:L,12,FALSE)</f>
        <v>1F/バルク室</v>
      </c>
    </row>
    <row r="370" spans="1:27">
      <c r="A370" s="301">
        <v>364</v>
      </c>
      <c r="B370" s="248">
        <v>45863</v>
      </c>
      <c r="F370" s="252" t="s">
        <v>1980</v>
      </c>
      <c r="H370" s="265">
        <v>1</v>
      </c>
      <c r="I370" s="265">
        <v>1</v>
      </c>
      <c r="P370" s="251">
        <v>3</v>
      </c>
      <c r="R370" s="108" t="s">
        <v>345</v>
      </c>
      <c r="S370" s="310"/>
      <c r="V370" s="243" t="s">
        <v>435</v>
      </c>
      <c r="W370" s="243" t="str">
        <f>VLOOKUP(V370,名簿!A:L,3,FALSE)</f>
        <v>技術製造部</v>
      </c>
      <c r="X370" s="243" t="str">
        <f>VLOOKUP(V370,名簿!A:L,4,FALSE)</f>
        <v>製造課</v>
      </c>
      <c r="Y370" s="243" t="str">
        <f>VLOOKUP(V370,名簿!A:L,5,FALSE)</f>
        <v>バルク・顆粒</v>
      </c>
      <c r="Z370" s="243" t="str">
        <f>VLOOKUP(V370,名簿!A:L,11,FALSE)</f>
        <v>コスメファクトリー</v>
      </c>
      <c r="AA370" s="243" t="str">
        <f>VLOOKUP(V370,名簿!A:L,12,FALSE)</f>
        <v>1F/バルク室</v>
      </c>
    </row>
    <row r="371" spans="1:27">
      <c r="A371" s="301">
        <v>365</v>
      </c>
      <c r="B371" s="248">
        <v>45863</v>
      </c>
      <c r="F371" s="252" t="s">
        <v>1980</v>
      </c>
      <c r="P371" s="251">
        <v>1</v>
      </c>
      <c r="S371" s="310"/>
      <c r="V371" s="243" t="s">
        <v>440</v>
      </c>
      <c r="W371" s="243" t="str">
        <f>VLOOKUP(V371,名簿!A:L,3,FALSE)</f>
        <v>品質保証部</v>
      </c>
      <c r="X371" s="243" t="str">
        <f>VLOOKUP(V371,名簿!A:L,4,FALSE)</f>
        <v>品質管理課</v>
      </c>
      <c r="Y371" s="243" t="str">
        <f>VLOOKUP(V371,名簿!A:L,5,FALSE)</f>
        <v>-</v>
      </c>
      <c r="Z371" s="243" t="str">
        <f>VLOOKUP(V371,名簿!A:L,11,FALSE)</f>
        <v>コスメラボラトリー</v>
      </c>
      <c r="AA371" s="243" t="str">
        <f>VLOOKUP(V371,名簿!A:L,12,FALSE)</f>
        <v>3F/事務所</v>
      </c>
    </row>
    <row r="372" spans="1:27">
      <c r="A372" s="301">
        <v>366</v>
      </c>
      <c r="B372" s="248">
        <v>45863</v>
      </c>
      <c r="F372" s="252" t="s">
        <v>1980</v>
      </c>
      <c r="K372" s="265">
        <v>1</v>
      </c>
      <c r="P372" s="251">
        <v>3</v>
      </c>
      <c r="R372" s="108" t="s">
        <v>351</v>
      </c>
      <c r="S372" s="310"/>
      <c r="V372" s="243" t="s">
        <v>443</v>
      </c>
      <c r="W372" s="243" t="str">
        <f>VLOOKUP(V372,名簿!A:L,3,FALSE)</f>
        <v>研究開発部</v>
      </c>
      <c r="X372" s="243" t="str">
        <f>VLOOKUP(V372,名簿!A:L,4,FALSE)</f>
        <v>研究開発課</v>
      </c>
      <c r="Y372" s="243" t="str">
        <f>VLOOKUP(V372,名簿!A:L,5,FALSE)</f>
        <v>-</v>
      </c>
      <c r="Z372" s="243" t="str">
        <f>VLOOKUP(V372,名簿!A:L,11,FALSE)</f>
        <v>コスメラボラトリー</v>
      </c>
      <c r="AA372" s="243" t="str">
        <f>VLOOKUP(V372,名簿!A:L,12,FALSE)</f>
        <v>3F/事務所</v>
      </c>
    </row>
    <row r="373" spans="1:27" ht="22.8">
      <c r="A373" s="301">
        <v>367</v>
      </c>
      <c r="B373" s="248">
        <v>45863</v>
      </c>
      <c r="F373" s="252" t="s">
        <v>1980</v>
      </c>
      <c r="K373" s="265">
        <v>1</v>
      </c>
      <c r="L373" s="265">
        <v>1</v>
      </c>
      <c r="P373" s="251">
        <v>4</v>
      </c>
      <c r="R373" s="108" t="s">
        <v>338</v>
      </c>
      <c r="S373" s="310"/>
      <c r="V373" s="243" t="s">
        <v>449</v>
      </c>
      <c r="W373" s="243" t="str">
        <f>VLOOKUP(V373,名簿!A:L,3,FALSE)</f>
        <v>研究開発部</v>
      </c>
      <c r="X373" s="243" t="str">
        <f>VLOOKUP(V373,名簿!A:L,4,FALSE)</f>
        <v>研究開発課</v>
      </c>
      <c r="Y373" s="243" t="str">
        <f>VLOOKUP(V373,名簿!A:L,5,FALSE)</f>
        <v>-</v>
      </c>
      <c r="Z373" s="243" t="str">
        <f>VLOOKUP(V373,名簿!A:L,11,FALSE)</f>
        <v>コスメラボラトリー</v>
      </c>
      <c r="AA373" s="243" t="str">
        <f>VLOOKUP(V373,名簿!A:L,12,FALSE)</f>
        <v>3F/事務所</v>
      </c>
    </row>
    <row r="374" spans="1:27">
      <c r="A374" s="301">
        <v>368</v>
      </c>
      <c r="B374" s="248">
        <v>45863</v>
      </c>
      <c r="F374" s="252" t="s">
        <v>1980</v>
      </c>
      <c r="P374" s="251">
        <v>1</v>
      </c>
      <c r="S374" s="310"/>
      <c r="V374" s="243" t="s">
        <v>455</v>
      </c>
      <c r="W374" s="243" t="str">
        <f>VLOOKUP(V374,名簿!A:L,3,FALSE)</f>
        <v>研究開発部</v>
      </c>
      <c r="X374" s="243" t="str">
        <f>VLOOKUP(V374,名簿!A:L,4,FALSE)</f>
        <v>研究開発課</v>
      </c>
      <c r="Y374" s="243" t="str">
        <f>VLOOKUP(V374,名簿!A:L,5,FALSE)</f>
        <v>-</v>
      </c>
      <c r="Z374" s="243" t="str">
        <f>VLOOKUP(V374,名簿!A:L,11,FALSE)</f>
        <v>コスメラボラトリー</v>
      </c>
      <c r="AA374" s="243" t="str">
        <f>VLOOKUP(V374,名簿!A:L,12,FALSE)</f>
        <v>3F/試験室</v>
      </c>
    </row>
    <row r="375" spans="1:27">
      <c r="A375" s="301">
        <v>369</v>
      </c>
      <c r="B375" s="248">
        <v>45863</v>
      </c>
      <c r="F375" s="252" t="s">
        <v>1980</v>
      </c>
      <c r="K375" s="265">
        <v>1</v>
      </c>
      <c r="P375" s="251">
        <v>3</v>
      </c>
      <c r="R375" s="108" t="s">
        <v>352</v>
      </c>
      <c r="S375" s="310"/>
      <c r="V375" s="243" t="s">
        <v>458</v>
      </c>
      <c r="W375" s="243" t="str">
        <f>VLOOKUP(V375,名簿!A:L,3,FALSE)</f>
        <v>研究開発部</v>
      </c>
      <c r="X375" s="243" t="str">
        <f>VLOOKUP(V375,名簿!A:L,4,FALSE)</f>
        <v>研究開発課</v>
      </c>
      <c r="Y375" s="243" t="str">
        <f>VLOOKUP(V375,名簿!A:L,5,FALSE)</f>
        <v>-</v>
      </c>
      <c r="Z375" s="243" t="str">
        <f>VLOOKUP(V375,名簿!A:L,11,FALSE)</f>
        <v>コスメラボラトリー</v>
      </c>
      <c r="AA375" s="243" t="str">
        <f>VLOOKUP(V375,名簿!A:L,12,FALSE)</f>
        <v>3F/事務所</v>
      </c>
    </row>
    <row r="376" spans="1:27">
      <c r="A376" s="301">
        <v>370</v>
      </c>
      <c r="B376" s="248">
        <v>45863</v>
      </c>
      <c r="F376" s="252" t="s">
        <v>1980</v>
      </c>
      <c r="P376" s="251">
        <v>1</v>
      </c>
      <c r="S376" s="310"/>
      <c r="V376" s="243" t="s">
        <v>464</v>
      </c>
      <c r="W376" s="243" t="str">
        <f>VLOOKUP(V376,名簿!A:L,3,FALSE)</f>
        <v>EC事業部</v>
      </c>
      <c r="X376" s="243" t="str">
        <f>VLOOKUP(V376,名簿!A:L,4,FALSE)</f>
        <v>EC事業課</v>
      </c>
      <c r="Y376" s="243" t="str">
        <f>VLOOKUP(V376,名簿!A:L,5,FALSE)</f>
        <v>-</v>
      </c>
      <c r="Z376" s="243" t="str">
        <f>VLOOKUP(V376,名簿!A:L,11,FALSE)</f>
        <v>コスメラボラトリー</v>
      </c>
      <c r="AA376" s="243" t="str">
        <f>VLOOKUP(V376,名簿!A:L,12,FALSE)</f>
        <v>3F/事務所</v>
      </c>
    </row>
    <row r="377" spans="1:27" ht="68.400000000000006">
      <c r="A377" s="301">
        <v>371</v>
      </c>
      <c r="B377" s="248">
        <v>45863</v>
      </c>
      <c r="F377" s="252" t="s">
        <v>1980</v>
      </c>
      <c r="K377" s="265">
        <v>1</v>
      </c>
      <c r="P377" s="251">
        <v>4</v>
      </c>
      <c r="R377" s="108" t="s">
        <v>2043</v>
      </c>
      <c r="S377" s="310"/>
      <c r="V377" s="243" t="s">
        <v>471</v>
      </c>
      <c r="W377" s="243" t="str">
        <f>VLOOKUP(V377,名簿!A:L,3,FALSE)</f>
        <v>技術製造部</v>
      </c>
      <c r="X377" s="243" t="str">
        <f>VLOOKUP(V377,名簿!A:L,4,FALSE)</f>
        <v>生産管理課</v>
      </c>
      <c r="Y377" s="243" t="str">
        <f>VLOOKUP(V377,名簿!A:L,5,FALSE)</f>
        <v>生産管理</v>
      </c>
      <c r="Z377" s="243" t="str">
        <f>VLOOKUP(V377,名簿!A:L,11,FALSE)</f>
        <v>本社</v>
      </c>
      <c r="AA377" s="243" t="str">
        <f>VLOOKUP(V377,名簿!A:L,12,FALSE)</f>
        <v>3F/シンク前</v>
      </c>
    </row>
    <row r="378" spans="1:27">
      <c r="A378" s="301">
        <v>372</v>
      </c>
      <c r="B378" s="248">
        <v>45863</v>
      </c>
      <c r="F378" s="252" t="s">
        <v>1980</v>
      </c>
      <c r="P378" s="251">
        <v>1</v>
      </c>
      <c r="S378" s="310"/>
      <c r="V378" s="243" t="s">
        <v>478</v>
      </c>
      <c r="W378" s="243" t="str">
        <f>VLOOKUP(V378,名簿!A:L,3,FALSE)</f>
        <v>技術製造部</v>
      </c>
      <c r="X378" s="243" t="str">
        <f>VLOOKUP(V378,名簿!A:L,4,FALSE)</f>
        <v>生産管理課</v>
      </c>
      <c r="Y378" s="243" t="str">
        <f>VLOOKUP(V378,名簿!A:L,5,FALSE)</f>
        <v>物流</v>
      </c>
      <c r="Z378" s="243" t="str">
        <f>VLOOKUP(V378,名簿!A:L,11,FALSE)</f>
        <v>第一倉庫</v>
      </c>
      <c r="AA378" s="243" t="str">
        <f>VLOOKUP(V378,名簿!A:L,12,FALSE)</f>
        <v>1F/南西角</v>
      </c>
    </row>
    <row r="379" spans="1:27" ht="34.200000000000003">
      <c r="A379" s="301">
        <v>373</v>
      </c>
      <c r="B379" s="248">
        <v>45863</v>
      </c>
      <c r="F379" s="252" t="s">
        <v>1980</v>
      </c>
      <c r="K379" s="265">
        <v>1</v>
      </c>
      <c r="L379" s="265">
        <v>1</v>
      </c>
      <c r="P379" s="251">
        <v>5</v>
      </c>
      <c r="R379" s="108" t="s">
        <v>2044</v>
      </c>
      <c r="S379" s="310"/>
      <c r="V379" s="243" t="s">
        <v>483</v>
      </c>
      <c r="W379" s="243" t="str">
        <f>VLOOKUP(V379,名簿!A:L,3,FALSE)</f>
        <v>技術製造部</v>
      </c>
      <c r="X379" s="243" t="str">
        <f>VLOOKUP(V379,名簿!A:L,4,FALSE)</f>
        <v>生産管理課</v>
      </c>
      <c r="Y379" s="243" t="str">
        <f>VLOOKUP(V379,名簿!A:L,5,FALSE)</f>
        <v>生産管理</v>
      </c>
      <c r="Z379" s="243" t="str">
        <f>VLOOKUP(V379,名簿!A:L,11,FALSE)</f>
        <v>本社</v>
      </c>
      <c r="AA379" s="243" t="str">
        <f>VLOOKUP(V379,名簿!A:L,12,FALSE)</f>
        <v>3F/シンク前</v>
      </c>
    </row>
    <row r="380" spans="1:27" ht="22.8">
      <c r="A380" s="301">
        <v>374</v>
      </c>
      <c r="B380" s="248">
        <v>45863</v>
      </c>
      <c r="F380" s="252" t="s">
        <v>1980</v>
      </c>
      <c r="H380" s="265">
        <v>1</v>
      </c>
      <c r="I380" s="265">
        <v>1</v>
      </c>
      <c r="P380" s="251">
        <v>3</v>
      </c>
      <c r="R380" s="108" t="s">
        <v>2045</v>
      </c>
      <c r="S380" s="310"/>
      <c r="V380" s="243" t="s">
        <v>489</v>
      </c>
      <c r="W380" s="243" t="str">
        <f>VLOOKUP(V380,名簿!A:L,3,FALSE)</f>
        <v>技術製造部</v>
      </c>
      <c r="X380" s="243" t="str">
        <f>VLOOKUP(V380,名簿!A:L,4,FALSE)</f>
        <v>生産管理課</v>
      </c>
      <c r="Y380" s="243" t="str">
        <f>VLOOKUP(V380,名簿!A:L,5,FALSE)</f>
        <v>生産管理事務</v>
      </c>
      <c r="Z380" s="243" t="str">
        <f>VLOOKUP(V380,名簿!A:L,11,FALSE)</f>
        <v>本社</v>
      </c>
      <c r="AA380" s="243" t="str">
        <f>VLOOKUP(V380,名簿!A:L,12,FALSE)</f>
        <v>3F/シンク前</v>
      </c>
    </row>
    <row r="381" spans="1:27">
      <c r="A381" s="301">
        <v>375</v>
      </c>
      <c r="B381" s="248">
        <v>45863</v>
      </c>
      <c r="F381" s="252" t="s">
        <v>1980</v>
      </c>
      <c r="P381" s="251">
        <v>1</v>
      </c>
      <c r="S381" s="310"/>
      <c r="V381" s="243" t="s">
        <v>495</v>
      </c>
      <c r="W381" s="243" t="str">
        <f>VLOOKUP(V381,名簿!A:L,3,FALSE)</f>
        <v>技術製造部</v>
      </c>
      <c r="X381" s="243" t="str">
        <f>VLOOKUP(V381,名簿!A:L,4,FALSE)</f>
        <v>生産管理課</v>
      </c>
      <c r="Y381" s="243" t="str">
        <f>VLOOKUP(V381,名簿!A:L,5,FALSE)</f>
        <v>生産管理</v>
      </c>
      <c r="Z381" s="243" t="str">
        <f>VLOOKUP(V381,名簿!A:L,11,FALSE)</f>
        <v>本社</v>
      </c>
      <c r="AA381" s="243" t="str">
        <f>VLOOKUP(V381,名簿!A:L,12,FALSE)</f>
        <v>3F/シンク前</v>
      </c>
    </row>
    <row r="382" spans="1:27">
      <c r="A382" s="301">
        <v>376</v>
      </c>
      <c r="B382" s="248">
        <v>45863</v>
      </c>
      <c r="F382" s="252" t="s">
        <v>1980</v>
      </c>
      <c r="G382" s="252" t="s">
        <v>2241</v>
      </c>
      <c r="H382" s="265">
        <v>1</v>
      </c>
      <c r="I382" s="265">
        <v>1</v>
      </c>
      <c r="K382" s="265">
        <v>1</v>
      </c>
      <c r="P382" s="251">
        <v>3</v>
      </c>
      <c r="R382" s="108" t="s">
        <v>350</v>
      </c>
      <c r="S382" s="310"/>
      <c r="V382" s="243" t="s">
        <v>501</v>
      </c>
      <c r="W382" s="243" t="str">
        <f>VLOOKUP(V382,名簿!A:L,3,FALSE)</f>
        <v>技術製造部</v>
      </c>
      <c r="X382" s="243" t="str">
        <f>VLOOKUP(V382,名簿!A:L,4,FALSE)</f>
        <v>製造課</v>
      </c>
      <c r="Y382" s="243" t="str">
        <f>VLOOKUP(V382,名簿!A:L,5,FALSE)</f>
        <v>粉体</v>
      </c>
      <c r="Z382" s="243" t="str">
        <f>VLOOKUP(V382,名簿!A:L,11,FALSE)</f>
        <v>本社</v>
      </c>
      <c r="AA382" s="243" t="str">
        <f>VLOOKUP(V382,名簿!A:L,12,FALSE)</f>
        <v>3F/シンク前</v>
      </c>
    </row>
    <row r="383" spans="1:27">
      <c r="A383" s="301">
        <v>377</v>
      </c>
      <c r="B383" s="248">
        <v>45863</v>
      </c>
      <c r="F383" s="252" t="s">
        <v>1980</v>
      </c>
      <c r="K383" s="265">
        <v>1</v>
      </c>
      <c r="L383" s="265">
        <v>1</v>
      </c>
      <c r="P383" s="251">
        <v>4</v>
      </c>
      <c r="R383" s="108" t="s">
        <v>339</v>
      </c>
      <c r="S383" s="310"/>
      <c r="V383" s="243" t="s">
        <v>506</v>
      </c>
      <c r="W383" s="243" t="str">
        <f>VLOOKUP(V383,名簿!A:L,3,FALSE)</f>
        <v>技術製造部</v>
      </c>
      <c r="X383" s="243" t="str">
        <f>VLOOKUP(V383,名簿!A:L,4,FALSE)</f>
        <v>生産管理課</v>
      </c>
      <c r="Y383" s="243" t="str">
        <f>VLOOKUP(V383,名簿!A:L,5,FALSE)</f>
        <v>生産管理</v>
      </c>
      <c r="Z383" s="243" t="str">
        <f>VLOOKUP(V383,名簿!A:L,11,FALSE)</f>
        <v>本社</v>
      </c>
      <c r="AA383" s="243" t="str">
        <f>VLOOKUP(V383,名簿!A:L,12,FALSE)</f>
        <v>3F/シンク前</v>
      </c>
    </row>
    <row r="384" spans="1:27" ht="34.200000000000003">
      <c r="A384" s="301">
        <v>378</v>
      </c>
      <c r="B384" s="248">
        <v>45863</v>
      </c>
      <c r="F384" s="252" t="s">
        <v>1980</v>
      </c>
      <c r="I384" s="265">
        <v>1</v>
      </c>
      <c r="J384" s="265">
        <v>1</v>
      </c>
      <c r="K384" s="265">
        <v>1</v>
      </c>
      <c r="P384" s="251">
        <v>3</v>
      </c>
      <c r="R384" s="108" t="s">
        <v>353</v>
      </c>
      <c r="S384" s="310"/>
      <c r="V384" s="243" t="s">
        <v>512</v>
      </c>
      <c r="W384" s="243" t="str">
        <f>VLOOKUP(V384,名簿!A:L,3,FALSE)</f>
        <v>技術製造部</v>
      </c>
      <c r="X384" s="243" t="str">
        <f>VLOOKUP(V384,名簿!A:L,4,FALSE)</f>
        <v>生産管理課</v>
      </c>
      <c r="Y384" s="243" t="str">
        <f>VLOOKUP(V384,名簿!A:L,5,FALSE)</f>
        <v>生産管理事務</v>
      </c>
      <c r="Z384" s="243" t="str">
        <f>VLOOKUP(V384,名簿!A:L,11,FALSE)</f>
        <v>本社</v>
      </c>
      <c r="AA384" s="243" t="str">
        <f>VLOOKUP(V384,名簿!A:L,12,FALSE)</f>
        <v>3F/シンク前</v>
      </c>
    </row>
    <row r="385" spans="1:27">
      <c r="A385" s="301">
        <v>379</v>
      </c>
      <c r="B385" s="248">
        <v>45863</v>
      </c>
      <c r="F385" s="252" t="s">
        <v>1980</v>
      </c>
      <c r="P385" s="251">
        <v>1</v>
      </c>
      <c r="R385" s="108" t="s">
        <v>356</v>
      </c>
      <c r="S385" s="310"/>
      <c r="V385" s="243" t="s">
        <v>519</v>
      </c>
      <c r="W385" s="243" t="str">
        <f>VLOOKUP(V385,名簿!A:L,3,FALSE)</f>
        <v>企画営業部</v>
      </c>
      <c r="X385" s="243" t="str">
        <f>VLOOKUP(V385,名簿!A:L,4,FALSE)</f>
        <v>企画課</v>
      </c>
      <c r="Y385" s="243" t="str">
        <f>VLOOKUP(V385,名簿!A:L,5,FALSE)</f>
        <v>-</v>
      </c>
      <c r="Z385" s="243" t="str">
        <f>VLOOKUP(V385,名簿!A:L,11,FALSE)</f>
        <v>本社</v>
      </c>
      <c r="AA385" s="243" t="str">
        <f>VLOOKUP(V385,名簿!A:L,12,FALSE)</f>
        <v>3F/シンク前</v>
      </c>
    </row>
    <row r="386" spans="1:27">
      <c r="A386" s="301">
        <v>380</v>
      </c>
      <c r="B386" s="248">
        <v>45863</v>
      </c>
      <c r="F386" s="252" t="s">
        <v>1980</v>
      </c>
      <c r="P386" s="251">
        <v>1</v>
      </c>
      <c r="S386" s="310"/>
      <c r="V386" s="243" t="s">
        <v>524</v>
      </c>
      <c r="W386" s="243" t="str">
        <f>VLOOKUP(V386,名簿!A:L,3,FALSE)</f>
        <v>企画営業部</v>
      </c>
      <c r="X386" s="243" t="str">
        <f>VLOOKUP(V386,名簿!A:L,4,FALSE)</f>
        <v>企画課</v>
      </c>
      <c r="Y386" s="243" t="str">
        <f>VLOOKUP(V386,名簿!A:L,5,FALSE)</f>
        <v>-</v>
      </c>
      <c r="Z386" s="243" t="str">
        <f>VLOOKUP(V386,名簿!A:L,11,FALSE)</f>
        <v>本社</v>
      </c>
      <c r="AA386" s="243" t="str">
        <f>VLOOKUP(V386,名簿!A:L,12,FALSE)</f>
        <v>3F/シンク前</v>
      </c>
    </row>
    <row r="387" spans="1:27">
      <c r="A387" s="301">
        <v>381</v>
      </c>
      <c r="B387" s="248">
        <v>45863</v>
      </c>
      <c r="F387" s="252" t="s">
        <v>1980</v>
      </c>
      <c r="P387" s="251">
        <v>1</v>
      </c>
      <c r="S387" s="310"/>
      <c r="V387" s="243" t="s">
        <v>530</v>
      </c>
      <c r="W387" s="243" t="str">
        <f>VLOOKUP(V387,名簿!A:L,3,FALSE)</f>
        <v>品質保証部</v>
      </c>
      <c r="X387" s="243" t="str">
        <f>VLOOKUP(V387,名簿!A:L,4,FALSE)</f>
        <v>品質管理課</v>
      </c>
      <c r="Y387" s="243" t="str">
        <f>VLOOKUP(V387,名簿!A:L,5,FALSE)</f>
        <v>-</v>
      </c>
      <c r="Z387" s="243" t="str">
        <f>VLOOKUP(V387,名簿!A:L,11,FALSE)</f>
        <v>本社</v>
      </c>
      <c r="AA387" s="243" t="str">
        <f>VLOOKUP(V387,名簿!A:L,12,FALSE)</f>
        <v>3F/シンク前</v>
      </c>
    </row>
    <row r="388" spans="1:27">
      <c r="A388" s="301">
        <v>382</v>
      </c>
      <c r="B388" s="248">
        <v>45863</v>
      </c>
      <c r="F388" s="252" t="s">
        <v>1980</v>
      </c>
      <c r="P388" s="251">
        <v>1</v>
      </c>
      <c r="R388" s="108" t="s">
        <v>355</v>
      </c>
      <c r="S388" s="310"/>
      <c r="V388" s="243" t="s">
        <v>535</v>
      </c>
      <c r="W388" s="243" t="str">
        <f>VLOOKUP(V388,名簿!A:L,3,FALSE)</f>
        <v>管理部</v>
      </c>
      <c r="X388" s="243" t="str">
        <f>VLOOKUP(V388,名簿!A:L,4,FALSE)</f>
        <v>管理課</v>
      </c>
      <c r="Y388" s="243" t="str">
        <f>VLOOKUP(V388,名簿!A:L,5,FALSE)</f>
        <v>-</v>
      </c>
      <c r="Z388" s="243" t="str">
        <f>VLOOKUP(V388,名簿!A:L,11,FALSE)</f>
        <v>本社</v>
      </c>
      <c r="AA388" s="243" t="str">
        <f>VLOOKUP(V388,名簿!A:L,12,FALSE)</f>
        <v>3F/シンク前</v>
      </c>
    </row>
    <row r="389" spans="1:27" ht="22.8">
      <c r="A389" s="301">
        <v>383</v>
      </c>
      <c r="B389" s="248">
        <v>45863</v>
      </c>
      <c r="F389" s="252" t="s">
        <v>1980</v>
      </c>
      <c r="K389" s="265">
        <v>1</v>
      </c>
      <c r="P389" s="251">
        <v>4</v>
      </c>
      <c r="R389" s="108" t="s">
        <v>335</v>
      </c>
      <c r="S389" s="310"/>
      <c r="V389" s="243" t="s">
        <v>541</v>
      </c>
      <c r="W389" s="243" t="str">
        <f>VLOOKUP(V389,名簿!A:L,3,FALSE)</f>
        <v>管理部</v>
      </c>
      <c r="X389" s="243" t="str">
        <f>VLOOKUP(V389,名簿!A:L,4,FALSE)</f>
        <v>管理課</v>
      </c>
      <c r="Y389" s="243" t="str">
        <f>VLOOKUP(V389,名簿!A:L,5,FALSE)</f>
        <v>-</v>
      </c>
      <c r="Z389" s="243" t="str">
        <f>VLOOKUP(V389,名簿!A:L,11,FALSE)</f>
        <v>本社</v>
      </c>
      <c r="AA389" s="243" t="str">
        <f>VLOOKUP(V389,名簿!A:L,12,FALSE)</f>
        <v>3F/シンク前</v>
      </c>
    </row>
    <row r="390" spans="1:27" ht="22.8">
      <c r="A390" s="301">
        <v>384</v>
      </c>
      <c r="B390" s="248">
        <v>45863</v>
      </c>
      <c r="F390" s="252" t="s">
        <v>1980</v>
      </c>
      <c r="K390" s="265">
        <v>1</v>
      </c>
      <c r="P390" s="251">
        <v>4</v>
      </c>
      <c r="R390" s="108" t="s">
        <v>336</v>
      </c>
      <c r="S390" s="310"/>
      <c r="V390" s="243" t="s">
        <v>547</v>
      </c>
      <c r="W390" s="243" t="str">
        <f>VLOOKUP(V390,名簿!A:L,3,FALSE)</f>
        <v>管理部</v>
      </c>
      <c r="X390" s="243" t="str">
        <f>VLOOKUP(V390,名簿!A:L,4,FALSE)</f>
        <v>管理課</v>
      </c>
      <c r="Y390" s="243" t="str">
        <f>VLOOKUP(V390,名簿!A:L,5,FALSE)</f>
        <v>-</v>
      </c>
      <c r="Z390" s="243" t="str">
        <f>VLOOKUP(V390,名簿!A:L,11,FALSE)</f>
        <v>本社</v>
      </c>
      <c r="AA390" s="243" t="str">
        <f>VLOOKUP(V390,名簿!A:L,12,FALSE)</f>
        <v>3F/シンク前</v>
      </c>
    </row>
    <row r="391" spans="1:27">
      <c r="A391" s="301">
        <v>385</v>
      </c>
      <c r="B391" s="248">
        <v>45863</v>
      </c>
      <c r="F391" s="252" t="s">
        <v>1980</v>
      </c>
      <c r="P391" s="251">
        <v>1</v>
      </c>
      <c r="R391" s="108" t="s">
        <v>358</v>
      </c>
      <c r="S391" s="310"/>
      <c r="V391" s="243" t="s">
        <v>1261</v>
      </c>
      <c r="W391" s="243" t="str">
        <f>VLOOKUP(V391,名簿!A:L,3,FALSE)</f>
        <v>技術製造部</v>
      </c>
      <c r="X391" s="243" t="str">
        <f>VLOOKUP(V391,名簿!A:L,4,FALSE)</f>
        <v>生産管理課</v>
      </c>
      <c r="Y391" s="243" t="str">
        <f>VLOOKUP(V391,名簿!A:L,5,FALSE)</f>
        <v>物流</v>
      </c>
      <c r="Z391" s="243" t="str">
        <f>VLOOKUP(V391,名簿!A:L,11,FALSE)</f>
        <v>コスメファクトリー</v>
      </c>
      <c r="AA391" s="243" t="str">
        <f>VLOOKUP(V391,名簿!A:L,12,FALSE)</f>
        <v>1F/事務所</v>
      </c>
    </row>
    <row r="392" spans="1:27">
      <c r="A392" s="301">
        <v>386</v>
      </c>
      <c r="B392" s="248">
        <v>45863</v>
      </c>
      <c r="F392" s="252" t="s">
        <v>1980</v>
      </c>
      <c r="P392" s="251">
        <v>1</v>
      </c>
      <c r="R392" s="108" t="s">
        <v>357</v>
      </c>
      <c r="S392" s="310"/>
      <c r="V392" s="243" t="s">
        <v>555</v>
      </c>
      <c r="W392" s="243" t="str">
        <f>VLOOKUP(V392,名簿!A:L,3,FALSE)</f>
        <v>技術製造部</v>
      </c>
      <c r="X392" s="243" t="str">
        <f>VLOOKUP(V392,名簿!A:L,4,FALSE)</f>
        <v>製造課</v>
      </c>
      <c r="Y392" s="243" t="str">
        <f>VLOOKUP(V392,名簿!A:L,5,FALSE)</f>
        <v>液体</v>
      </c>
      <c r="Z392" s="243" t="str">
        <f>VLOOKUP(V392,名簿!A:L,11,FALSE)</f>
        <v>本社</v>
      </c>
      <c r="AA392" s="243" t="str">
        <f>VLOOKUP(V392,名簿!A:L,12,FALSE)</f>
        <v>3F/シンク前</v>
      </c>
    </row>
    <row r="393" spans="1:27">
      <c r="A393" s="301">
        <v>387</v>
      </c>
      <c r="B393" s="248">
        <v>45863</v>
      </c>
      <c r="F393" s="252" t="s">
        <v>1980</v>
      </c>
      <c r="K393" s="265">
        <v>1</v>
      </c>
      <c r="P393" s="251">
        <v>4</v>
      </c>
      <c r="R393" s="108" t="s">
        <v>346</v>
      </c>
      <c r="S393" s="310"/>
      <c r="V393" s="243" t="s">
        <v>560</v>
      </c>
      <c r="W393" s="243" t="str">
        <f>VLOOKUP(V393,名簿!A:L,3,FALSE)</f>
        <v>技術製造部</v>
      </c>
      <c r="X393" s="243" t="str">
        <f>VLOOKUP(V393,名簿!A:L,4,FALSE)</f>
        <v>製造課</v>
      </c>
      <c r="Y393" s="243" t="str">
        <f>VLOOKUP(V393,名簿!A:L,5,FALSE)</f>
        <v>液体</v>
      </c>
      <c r="Z393" s="243" t="str">
        <f>VLOOKUP(V393,名簿!A:L,11,FALSE)</f>
        <v>本社</v>
      </c>
      <c r="AA393" s="243" t="str">
        <f>VLOOKUP(V393,名簿!A:L,12,FALSE)</f>
        <v>3F/シンク前</v>
      </c>
    </row>
    <row r="394" spans="1:27">
      <c r="A394" s="301">
        <v>388</v>
      </c>
      <c r="B394" s="248">
        <v>45863</v>
      </c>
      <c r="F394" s="252" t="s">
        <v>1980</v>
      </c>
      <c r="P394" s="251">
        <v>1</v>
      </c>
      <c r="S394" s="310"/>
      <c r="V394" s="243" t="s">
        <v>566</v>
      </c>
      <c r="W394" s="243" t="str">
        <f>VLOOKUP(V394,名簿!A:L,3,FALSE)</f>
        <v>技術製造部</v>
      </c>
      <c r="X394" s="243" t="str">
        <f>VLOOKUP(V394,名簿!A:L,4,FALSE)</f>
        <v>生産管理課</v>
      </c>
      <c r="Y394" s="243" t="str">
        <f>VLOOKUP(V394,名簿!A:L,5,FALSE)</f>
        <v>物流</v>
      </c>
      <c r="Z394" s="243" t="str">
        <f>VLOOKUP(V394,名簿!A:L,11,FALSE)</f>
        <v>本社</v>
      </c>
      <c r="AA394" s="243" t="str">
        <f>VLOOKUP(V394,名簿!A:L,12,FALSE)</f>
        <v>3F/シンク前</v>
      </c>
    </row>
    <row r="395" spans="1:27" ht="57">
      <c r="A395" s="301">
        <v>389</v>
      </c>
      <c r="B395" s="248">
        <v>45863</v>
      </c>
      <c r="F395" s="252" t="s">
        <v>1980</v>
      </c>
      <c r="K395" s="265">
        <v>1</v>
      </c>
      <c r="O395" s="265">
        <v>1</v>
      </c>
      <c r="P395" s="251">
        <v>5</v>
      </c>
      <c r="R395" s="108" t="s">
        <v>2046</v>
      </c>
      <c r="S395" s="310"/>
      <c r="V395" s="243" t="s">
        <v>568</v>
      </c>
      <c r="W395" s="243" t="str">
        <f>VLOOKUP(V395,名簿!A:L,3,FALSE)</f>
        <v>品質保証部</v>
      </c>
      <c r="X395" s="243" t="str">
        <f>VLOOKUP(V395,名簿!A:L,4,FALSE)</f>
        <v>品質管理課</v>
      </c>
      <c r="Y395" s="243" t="str">
        <f>VLOOKUP(V395,名簿!A:L,5,FALSE)</f>
        <v>-</v>
      </c>
      <c r="Z395" s="243" t="str">
        <f>VLOOKUP(V395,名簿!A:L,11,FALSE)</f>
        <v>本社</v>
      </c>
      <c r="AA395" s="243" t="str">
        <f>VLOOKUP(V395,名簿!A:L,12,FALSE)</f>
        <v>3F/シンク前</v>
      </c>
    </row>
    <row r="396" spans="1:27" ht="45.6">
      <c r="A396" s="301">
        <v>390</v>
      </c>
      <c r="B396" s="248">
        <v>45863</v>
      </c>
      <c r="F396" s="252" t="s">
        <v>1980</v>
      </c>
      <c r="I396" s="265">
        <v>1</v>
      </c>
      <c r="J396" s="265">
        <v>1</v>
      </c>
      <c r="K396" s="265">
        <v>1</v>
      </c>
      <c r="P396" s="251">
        <v>5</v>
      </c>
      <c r="R396" s="108" t="s">
        <v>2047</v>
      </c>
      <c r="S396" s="310"/>
      <c r="V396" s="243" t="s">
        <v>575</v>
      </c>
      <c r="W396" s="243" t="str">
        <f>VLOOKUP(V396,名簿!A:L,3,FALSE)</f>
        <v>企画営業部</v>
      </c>
      <c r="X396" s="243" t="str">
        <f>VLOOKUP(V396,名簿!A:L,4,FALSE)</f>
        <v>-</v>
      </c>
      <c r="Y396" s="243" t="str">
        <f>VLOOKUP(V396,名簿!A:L,5,FALSE)</f>
        <v>-</v>
      </c>
      <c r="Z396" s="243" t="str">
        <f>VLOOKUP(V396,名簿!A:L,11,FALSE)</f>
        <v>東京営業所</v>
      </c>
      <c r="AA396" s="243" t="str">
        <f>VLOOKUP(V396,名簿!A:L,12,FALSE)</f>
        <v>-</v>
      </c>
    </row>
    <row r="397" spans="1:27" ht="159.6">
      <c r="A397" s="301">
        <v>391</v>
      </c>
      <c r="B397" s="248">
        <v>45863</v>
      </c>
      <c r="F397" s="252" t="s">
        <v>1980</v>
      </c>
      <c r="I397" s="265">
        <v>1</v>
      </c>
      <c r="J397" s="265">
        <v>1</v>
      </c>
      <c r="K397" s="265">
        <v>1</v>
      </c>
      <c r="O397" s="265">
        <v>1</v>
      </c>
      <c r="P397" s="251">
        <v>5</v>
      </c>
      <c r="R397" s="108" t="s">
        <v>333</v>
      </c>
      <c r="S397" s="310"/>
      <c r="V397" s="243" t="s">
        <v>576</v>
      </c>
      <c r="W397" s="243" t="str">
        <f>VLOOKUP(V397,名簿!A:L,3,FALSE)</f>
        <v>企画営業部</v>
      </c>
      <c r="X397" s="243" t="str">
        <f>VLOOKUP(V397,名簿!A:L,4,FALSE)</f>
        <v>営業課</v>
      </c>
      <c r="Y397" s="243" t="str">
        <f>VLOOKUP(V397,名簿!A:L,5,FALSE)</f>
        <v>-</v>
      </c>
      <c r="Z397" s="243" t="str">
        <f>VLOOKUP(V397,名簿!A:L,11,FALSE)</f>
        <v>東京営業所</v>
      </c>
      <c r="AA397" s="243" t="str">
        <f>VLOOKUP(V397,名簿!A:L,12,FALSE)</f>
        <v>-</v>
      </c>
    </row>
    <row r="398" spans="1:27">
      <c r="A398" s="301">
        <v>392</v>
      </c>
      <c r="B398" s="248">
        <v>45863</v>
      </c>
      <c r="F398" s="252" t="s">
        <v>1980</v>
      </c>
      <c r="P398" s="251">
        <v>1</v>
      </c>
      <c r="S398" s="310"/>
      <c r="V398" s="243" t="s">
        <v>579</v>
      </c>
      <c r="W398" s="243" t="str">
        <f>VLOOKUP(V398,名簿!A:L,3,FALSE)</f>
        <v>企画営業部</v>
      </c>
      <c r="X398" s="243" t="str">
        <f>VLOOKUP(V398,名簿!A:L,4,FALSE)</f>
        <v>営業課</v>
      </c>
      <c r="Y398" s="243" t="str">
        <f>VLOOKUP(V398,名簿!A:L,5,FALSE)</f>
        <v>-</v>
      </c>
      <c r="Z398" s="243" t="str">
        <f>VLOOKUP(V398,名簿!A:L,11,FALSE)</f>
        <v>東京営業所</v>
      </c>
      <c r="AA398" s="243" t="str">
        <f>VLOOKUP(V398,名簿!A:L,12,FALSE)</f>
        <v>-</v>
      </c>
    </row>
    <row r="399" spans="1:27">
      <c r="A399" s="301">
        <v>393</v>
      </c>
      <c r="B399" s="248">
        <v>45863</v>
      </c>
      <c r="F399" s="252" t="s">
        <v>1980</v>
      </c>
      <c r="P399" s="251">
        <v>1</v>
      </c>
      <c r="S399" s="310"/>
      <c r="V399" s="243" t="s">
        <v>581</v>
      </c>
      <c r="W399" s="243" t="str">
        <f>VLOOKUP(V399,名簿!A:L,3,FALSE)</f>
        <v>企画営業部</v>
      </c>
      <c r="X399" s="243" t="str">
        <f>VLOOKUP(V399,名簿!A:L,4,FALSE)</f>
        <v>営業課</v>
      </c>
      <c r="Y399" s="243" t="str">
        <f>VLOOKUP(V399,名簿!A:L,5,FALSE)</f>
        <v>-</v>
      </c>
      <c r="Z399" s="243" t="str">
        <f>VLOOKUP(V399,名簿!A:L,11,FALSE)</f>
        <v>東京営業所</v>
      </c>
      <c r="AA399" s="243" t="str">
        <f>VLOOKUP(V399,名簿!A:L,12,FALSE)</f>
        <v>-</v>
      </c>
    </row>
    <row r="400" spans="1:27">
      <c r="A400" s="301">
        <v>394</v>
      </c>
      <c r="B400" s="248">
        <v>46066</v>
      </c>
      <c r="F400" s="252" t="s">
        <v>1986</v>
      </c>
      <c r="K400" s="265">
        <v>1</v>
      </c>
      <c r="O400" s="265">
        <v>1</v>
      </c>
      <c r="P400" s="251">
        <v>4</v>
      </c>
      <c r="R400" s="108" t="s">
        <v>615</v>
      </c>
      <c r="S400" s="310"/>
      <c r="V400" s="243" t="s">
        <v>1991</v>
      </c>
      <c r="W400" s="243" t="str">
        <f>VLOOKUP(V400,名簿!A:L,3,FALSE)</f>
        <v>技術製造部</v>
      </c>
      <c r="X400" s="243" t="str">
        <f>VLOOKUP(V400,名簿!A:L,4,FALSE)</f>
        <v>-</v>
      </c>
      <c r="Y400" s="243" t="str">
        <f>VLOOKUP(V400,名簿!A:L,5,FALSE)</f>
        <v>-</v>
      </c>
      <c r="Z400" s="243" t="str">
        <f>VLOOKUP(V400,名簿!A:L,11,FALSE)</f>
        <v>コスメラボラトリー</v>
      </c>
      <c r="AA400" s="243" t="str">
        <f>VLOOKUP(V400,名簿!A:L,12,FALSE)</f>
        <v>2F/事務所</v>
      </c>
    </row>
    <row r="401" spans="1:27" ht="45.6">
      <c r="A401" s="301">
        <v>395</v>
      </c>
      <c r="B401" s="248">
        <v>46066</v>
      </c>
      <c r="F401" s="252" t="s">
        <v>1986</v>
      </c>
      <c r="K401" s="265">
        <v>1</v>
      </c>
      <c r="N401" s="265">
        <v>1</v>
      </c>
      <c r="O401" s="265">
        <v>1</v>
      </c>
      <c r="P401" s="251">
        <v>5</v>
      </c>
      <c r="R401" s="108" t="s">
        <v>2056</v>
      </c>
      <c r="S401" s="310"/>
      <c r="V401" s="243" t="s">
        <v>483</v>
      </c>
      <c r="W401" s="243" t="str">
        <f>VLOOKUP(V401,名簿!A:L,3,FALSE)</f>
        <v>技術製造部</v>
      </c>
      <c r="X401" s="243" t="str">
        <f>VLOOKUP(V401,名簿!A:L,4,FALSE)</f>
        <v>生産管理課</v>
      </c>
      <c r="Y401" s="243" t="str">
        <f>VLOOKUP(V401,名簿!A:L,5,FALSE)</f>
        <v>生産管理</v>
      </c>
      <c r="Z401" s="243" t="str">
        <f>VLOOKUP(V401,名簿!A:L,11,FALSE)</f>
        <v>本社</v>
      </c>
      <c r="AA401" s="243" t="str">
        <f>VLOOKUP(V401,名簿!A:L,12,FALSE)</f>
        <v>3F/シンク前</v>
      </c>
    </row>
    <row r="402" spans="1:27">
      <c r="A402" s="301">
        <v>396</v>
      </c>
      <c r="B402" s="248">
        <v>46066</v>
      </c>
      <c r="F402" s="252" t="s">
        <v>1986</v>
      </c>
      <c r="K402" s="265">
        <v>1</v>
      </c>
      <c r="N402" s="265">
        <v>1</v>
      </c>
      <c r="P402" s="251">
        <v>4</v>
      </c>
      <c r="R402" s="108" t="s">
        <v>629</v>
      </c>
      <c r="S402" s="310"/>
      <c r="V402" s="243" t="s">
        <v>1992</v>
      </c>
      <c r="W402" s="243" t="str">
        <f>VLOOKUP(V402,名簿!A:L,3,FALSE)</f>
        <v>企画営業部</v>
      </c>
      <c r="X402" s="243" t="str">
        <f>VLOOKUP(V402,名簿!A:L,4,FALSE)</f>
        <v>-</v>
      </c>
      <c r="Y402" s="243" t="str">
        <f>VLOOKUP(V402,名簿!A:L,5,FALSE)</f>
        <v>-</v>
      </c>
      <c r="Z402" s="243" t="str">
        <f>VLOOKUP(V402,名簿!A:L,11,FALSE)</f>
        <v>東京営業所</v>
      </c>
      <c r="AA402" s="243" t="str">
        <f>VLOOKUP(V402,名簿!A:L,12,FALSE)</f>
        <v>-</v>
      </c>
    </row>
    <row r="403" spans="1:27">
      <c r="A403" s="301">
        <v>397</v>
      </c>
      <c r="B403" s="248">
        <v>46066</v>
      </c>
      <c r="D403" s="293">
        <v>46091</v>
      </c>
      <c r="E403" s="249">
        <v>2</v>
      </c>
      <c r="F403" s="252" t="s">
        <v>1986</v>
      </c>
      <c r="G403" s="252" t="s">
        <v>2205</v>
      </c>
      <c r="K403" s="265">
        <v>1</v>
      </c>
      <c r="N403" s="265">
        <v>1</v>
      </c>
      <c r="P403" s="251">
        <v>4</v>
      </c>
      <c r="R403" s="108" t="s">
        <v>2220</v>
      </c>
      <c r="S403" s="312" t="s">
        <v>2216</v>
      </c>
      <c r="V403" s="243" t="s">
        <v>471</v>
      </c>
      <c r="W403" s="243" t="str">
        <f>VLOOKUP(V403,名簿!A:L,3,FALSE)</f>
        <v>技術製造部</v>
      </c>
      <c r="X403" s="243" t="str">
        <f>VLOOKUP(V403,名簿!A:L,4,FALSE)</f>
        <v>生産管理課</v>
      </c>
      <c r="Y403" s="243" t="str">
        <f>VLOOKUP(V403,名簿!A:L,5,FALSE)</f>
        <v>生産管理</v>
      </c>
      <c r="Z403" s="243" t="str">
        <f>VLOOKUP(V403,名簿!A:L,11,FALSE)</f>
        <v>本社</v>
      </c>
      <c r="AA403" s="243" t="str">
        <f>VLOOKUP(V403,名簿!A:L,12,FALSE)</f>
        <v>3F/シンク前</v>
      </c>
    </row>
    <row r="404" spans="1:27">
      <c r="A404" s="301">
        <v>398</v>
      </c>
      <c r="B404" s="248">
        <v>46066</v>
      </c>
      <c r="D404" s="293">
        <v>46091</v>
      </c>
      <c r="E404" s="249">
        <v>2</v>
      </c>
      <c r="F404" s="252" t="s">
        <v>1986</v>
      </c>
      <c r="G404" s="252" t="s">
        <v>2202</v>
      </c>
      <c r="K404" s="265">
        <v>1</v>
      </c>
      <c r="N404" s="265">
        <v>1</v>
      </c>
      <c r="P404" s="251">
        <v>4</v>
      </c>
      <c r="R404" s="108" t="s">
        <v>2221</v>
      </c>
      <c r="S404" s="312" t="s">
        <v>2216</v>
      </c>
      <c r="T404" s="108" t="s">
        <v>2331</v>
      </c>
      <c r="V404" s="243" t="s">
        <v>471</v>
      </c>
      <c r="W404" s="243" t="str">
        <f>VLOOKUP(V404,名簿!A:L,3,FALSE)</f>
        <v>技術製造部</v>
      </c>
      <c r="X404" s="243" t="str">
        <f>VLOOKUP(V404,名簿!A:L,4,FALSE)</f>
        <v>生産管理課</v>
      </c>
      <c r="Y404" s="243" t="str">
        <f>VLOOKUP(V404,名簿!A:L,5,FALSE)</f>
        <v>生産管理</v>
      </c>
      <c r="Z404" s="243" t="str">
        <f>VLOOKUP(V404,名簿!A:L,11,FALSE)</f>
        <v>本社</v>
      </c>
      <c r="AA404" s="243" t="str">
        <f>VLOOKUP(V404,名簿!A:L,12,FALSE)</f>
        <v>3F/シンク前</v>
      </c>
    </row>
    <row r="405" spans="1:27" ht="22.8">
      <c r="A405" s="301">
        <v>399</v>
      </c>
      <c r="B405" s="248">
        <v>46066</v>
      </c>
      <c r="F405" s="252" t="s">
        <v>1986</v>
      </c>
      <c r="K405" s="265">
        <v>1</v>
      </c>
      <c r="N405" s="265">
        <v>1</v>
      </c>
      <c r="O405" s="265">
        <v>1</v>
      </c>
      <c r="P405" s="251">
        <v>5</v>
      </c>
      <c r="R405" s="108" t="s">
        <v>633</v>
      </c>
      <c r="S405" s="310"/>
      <c r="V405" s="243" t="s">
        <v>478</v>
      </c>
      <c r="W405" s="243" t="str">
        <f>VLOOKUP(V405,名簿!A:L,3,FALSE)</f>
        <v>技術製造部</v>
      </c>
      <c r="X405" s="243" t="str">
        <f>VLOOKUP(V405,名簿!A:L,4,FALSE)</f>
        <v>生産管理課</v>
      </c>
      <c r="Y405" s="243" t="str">
        <f>VLOOKUP(V405,名簿!A:L,5,FALSE)</f>
        <v>物流</v>
      </c>
      <c r="Z405" s="243" t="str">
        <f>VLOOKUP(V405,名簿!A:L,11,FALSE)</f>
        <v>第一倉庫</v>
      </c>
      <c r="AA405" s="243" t="str">
        <f>VLOOKUP(V405,名簿!A:L,12,FALSE)</f>
        <v>1F/南西角</v>
      </c>
    </row>
    <row r="406" spans="1:27" ht="22.8">
      <c r="A406" s="301">
        <v>400</v>
      </c>
      <c r="B406" s="248">
        <v>46066</v>
      </c>
      <c r="F406" s="252" t="s">
        <v>1986</v>
      </c>
      <c r="K406" s="265">
        <v>1</v>
      </c>
      <c r="N406" s="265">
        <v>1</v>
      </c>
      <c r="P406" s="251">
        <v>4</v>
      </c>
      <c r="R406" s="108" t="s">
        <v>2057</v>
      </c>
      <c r="S406" s="310"/>
      <c r="V406" s="243" t="s">
        <v>636</v>
      </c>
      <c r="W406" s="243" t="str">
        <f>VLOOKUP(V406,名簿!A:L,3,FALSE)</f>
        <v>企画営業部</v>
      </c>
      <c r="X406" s="243" t="str">
        <f>VLOOKUP(V406,名簿!A:L,4,FALSE)</f>
        <v>営業課</v>
      </c>
      <c r="Y406" s="243" t="str">
        <f>VLOOKUP(V406,名簿!A:L,5,FALSE)</f>
        <v>-</v>
      </c>
      <c r="Z406" s="243" t="str">
        <f>VLOOKUP(V406,名簿!A:L,11,FALSE)</f>
        <v>東京営業所</v>
      </c>
      <c r="AA406" s="243" t="str">
        <f>VLOOKUP(V406,名簿!A:L,12,FALSE)</f>
        <v>-</v>
      </c>
    </row>
    <row r="407" spans="1:27" ht="22.8">
      <c r="A407" s="301">
        <v>401</v>
      </c>
      <c r="B407" s="248">
        <v>46066</v>
      </c>
      <c r="F407" s="252" t="s">
        <v>1986</v>
      </c>
      <c r="K407" s="265">
        <v>1</v>
      </c>
      <c r="N407" s="265">
        <v>1</v>
      </c>
      <c r="P407" s="251">
        <v>4</v>
      </c>
      <c r="R407" s="108" t="s">
        <v>644</v>
      </c>
      <c r="S407" s="310"/>
      <c r="V407" s="243" t="s">
        <v>560</v>
      </c>
      <c r="W407" s="243" t="str">
        <f>VLOOKUP(V407,名簿!A:L,3,FALSE)</f>
        <v>技術製造部</v>
      </c>
      <c r="X407" s="243" t="str">
        <f>VLOOKUP(V407,名簿!A:L,4,FALSE)</f>
        <v>製造課</v>
      </c>
      <c r="Y407" s="243" t="str">
        <f>VLOOKUP(V407,名簿!A:L,5,FALSE)</f>
        <v>液体</v>
      </c>
      <c r="Z407" s="243" t="str">
        <f>VLOOKUP(V407,名簿!A:L,11,FALSE)</f>
        <v>本社</v>
      </c>
      <c r="AA407" s="243" t="str">
        <f>VLOOKUP(V407,名簿!A:L,12,FALSE)</f>
        <v>3F/シンク前</v>
      </c>
    </row>
    <row r="408" spans="1:27">
      <c r="A408" s="301">
        <v>402</v>
      </c>
      <c r="B408" s="248">
        <v>46069</v>
      </c>
      <c r="F408" s="252" t="s">
        <v>1986</v>
      </c>
      <c r="K408" s="265">
        <v>1</v>
      </c>
      <c r="N408" s="265">
        <v>1</v>
      </c>
      <c r="P408" s="251">
        <v>5</v>
      </c>
      <c r="R408" s="108" t="s">
        <v>647</v>
      </c>
      <c r="S408" s="310"/>
      <c r="V408" s="243" t="s">
        <v>646</v>
      </c>
      <c r="W408" s="243" t="str">
        <f>VLOOKUP(V408,名簿!A:L,3,FALSE)</f>
        <v>企画営業部</v>
      </c>
      <c r="X408" s="243" t="str">
        <f>VLOOKUP(V408,名簿!A:L,4,FALSE)</f>
        <v>営業課</v>
      </c>
      <c r="Y408" s="243" t="str">
        <f>VLOOKUP(V408,名簿!A:L,5,FALSE)</f>
        <v>-</v>
      </c>
      <c r="Z408" s="243" t="str">
        <f>VLOOKUP(V408,名簿!A:L,11,FALSE)</f>
        <v>東京営業所</v>
      </c>
      <c r="AA408" s="243" t="str">
        <f>VLOOKUP(V408,名簿!A:L,12,FALSE)</f>
        <v>-</v>
      </c>
    </row>
    <row r="409" spans="1:27" ht="57">
      <c r="A409" s="301">
        <v>403</v>
      </c>
      <c r="B409" s="248">
        <v>46069</v>
      </c>
      <c r="F409" s="252" t="s">
        <v>1986</v>
      </c>
      <c r="K409" s="265">
        <v>1</v>
      </c>
      <c r="P409" s="251">
        <v>4</v>
      </c>
      <c r="R409" s="108" t="s">
        <v>2058</v>
      </c>
      <c r="S409" s="310"/>
      <c r="V409" s="243" t="s">
        <v>568</v>
      </c>
      <c r="W409" s="243" t="str">
        <f>VLOOKUP(V409,名簿!A:L,3,FALSE)</f>
        <v>品質保証部</v>
      </c>
      <c r="X409" s="243" t="str">
        <f>VLOOKUP(V409,名簿!A:L,4,FALSE)</f>
        <v>品質管理課</v>
      </c>
      <c r="Y409" s="243" t="str">
        <f>VLOOKUP(V409,名簿!A:L,5,FALSE)</f>
        <v>-</v>
      </c>
      <c r="Z409" s="243" t="str">
        <f>VLOOKUP(V409,名簿!A:L,11,FALSE)</f>
        <v>本社</v>
      </c>
      <c r="AA409" s="243" t="str">
        <f>VLOOKUP(V409,名簿!A:L,12,FALSE)</f>
        <v>3F/シンク前</v>
      </c>
    </row>
    <row r="410" spans="1:27">
      <c r="A410" s="301">
        <v>404</v>
      </c>
      <c r="B410" s="248">
        <v>46070</v>
      </c>
      <c r="D410" s="293">
        <v>46091</v>
      </c>
      <c r="E410" s="249">
        <v>1</v>
      </c>
      <c r="F410" s="252" t="s">
        <v>1986</v>
      </c>
      <c r="G410" s="252" t="s">
        <v>2205</v>
      </c>
      <c r="K410" s="265">
        <v>1</v>
      </c>
      <c r="N410" s="265">
        <v>1</v>
      </c>
      <c r="P410" s="251">
        <v>4</v>
      </c>
      <c r="R410" s="108" t="s">
        <v>660</v>
      </c>
      <c r="S410" s="312" t="s">
        <v>2216</v>
      </c>
      <c r="T410" s="108" t="s">
        <v>2217</v>
      </c>
      <c r="V410" s="243" t="s">
        <v>501</v>
      </c>
      <c r="W410" s="243" t="str">
        <f>VLOOKUP(V410,名簿!A:L,3,FALSE)</f>
        <v>技術製造部</v>
      </c>
      <c r="X410" s="243" t="str">
        <f>VLOOKUP(V410,名簿!A:L,4,FALSE)</f>
        <v>製造課</v>
      </c>
      <c r="Y410" s="243" t="str">
        <f>VLOOKUP(V410,名簿!A:L,5,FALSE)</f>
        <v>粉体</v>
      </c>
      <c r="Z410" s="243" t="str">
        <f>VLOOKUP(V410,名簿!A:L,11,FALSE)</f>
        <v>本社</v>
      </c>
      <c r="AA410" s="243" t="str">
        <f>VLOOKUP(V410,名簿!A:L,12,FALSE)</f>
        <v>3F/シンク前</v>
      </c>
    </row>
    <row r="411" spans="1:27">
      <c r="A411" s="301">
        <v>405</v>
      </c>
      <c r="B411" s="248">
        <v>46070</v>
      </c>
      <c r="F411" s="252" t="s">
        <v>1986</v>
      </c>
      <c r="K411" s="265">
        <v>1</v>
      </c>
      <c r="P411" s="251">
        <v>1</v>
      </c>
      <c r="R411" s="108" t="s">
        <v>668</v>
      </c>
      <c r="S411" s="310"/>
      <c r="V411" s="243" t="s">
        <v>524</v>
      </c>
      <c r="W411" s="243" t="str">
        <f>VLOOKUP(V411,名簿!A:L,3,FALSE)</f>
        <v>企画営業部</v>
      </c>
      <c r="X411" s="243" t="str">
        <f>VLOOKUP(V411,名簿!A:L,4,FALSE)</f>
        <v>企画課</v>
      </c>
      <c r="Y411" s="243" t="str">
        <f>VLOOKUP(V411,名簿!A:L,5,FALSE)</f>
        <v>-</v>
      </c>
      <c r="Z411" s="243" t="str">
        <f>VLOOKUP(V411,名簿!A:L,11,FALSE)</f>
        <v>本社</v>
      </c>
      <c r="AA411" s="243" t="str">
        <f>VLOOKUP(V411,名簿!A:L,12,FALSE)</f>
        <v>3F/シンク前</v>
      </c>
    </row>
    <row r="412" spans="1:27" ht="34.200000000000003">
      <c r="A412" s="301">
        <v>406</v>
      </c>
      <c r="B412" s="248">
        <v>46070</v>
      </c>
      <c r="F412" s="252" t="s">
        <v>1986</v>
      </c>
      <c r="K412" s="265">
        <v>1</v>
      </c>
      <c r="O412" s="265">
        <v>1</v>
      </c>
      <c r="P412" s="251">
        <v>4</v>
      </c>
      <c r="R412" s="108" t="s">
        <v>2059</v>
      </c>
      <c r="S412" s="310"/>
      <c r="V412" s="243" t="s">
        <v>512</v>
      </c>
      <c r="W412" s="243" t="str">
        <f>VLOOKUP(V412,名簿!A:L,3,FALSE)</f>
        <v>技術製造部</v>
      </c>
      <c r="X412" s="243" t="str">
        <f>VLOOKUP(V412,名簿!A:L,4,FALSE)</f>
        <v>生産管理課</v>
      </c>
      <c r="Y412" s="243" t="str">
        <f>VLOOKUP(V412,名簿!A:L,5,FALSE)</f>
        <v>生産管理事務</v>
      </c>
      <c r="Z412" s="243" t="str">
        <f>VLOOKUP(V412,名簿!A:L,11,FALSE)</f>
        <v>本社</v>
      </c>
      <c r="AA412" s="243" t="str">
        <f>VLOOKUP(V412,名簿!A:L,12,FALSE)</f>
        <v>3F/シンク前</v>
      </c>
    </row>
    <row r="413" spans="1:27" ht="22.8">
      <c r="A413" s="301">
        <v>407</v>
      </c>
      <c r="B413" s="248">
        <v>46070</v>
      </c>
      <c r="F413" s="252" t="s">
        <v>1986</v>
      </c>
      <c r="K413" s="265">
        <v>1</v>
      </c>
      <c r="N413" s="265">
        <v>1</v>
      </c>
      <c r="P413" s="251">
        <v>5</v>
      </c>
      <c r="R413" s="108" t="s">
        <v>676</v>
      </c>
      <c r="S413" s="310"/>
      <c r="V413" s="243" t="s">
        <v>458</v>
      </c>
      <c r="W413" s="243" t="str">
        <f>VLOOKUP(V413,名簿!A:L,3,FALSE)</f>
        <v>研究開発部</v>
      </c>
      <c r="X413" s="243" t="str">
        <f>VLOOKUP(V413,名簿!A:L,4,FALSE)</f>
        <v>研究開発課</v>
      </c>
      <c r="Y413" s="243" t="str">
        <f>VLOOKUP(V413,名簿!A:L,5,FALSE)</f>
        <v>-</v>
      </c>
      <c r="Z413" s="243" t="str">
        <f>VLOOKUP(V413,名簿!A:L,11,FALSE)</f>
        <v>コスメラボラトリー</v>
      </c>
      <c r="AA413" s="243" t="str">
        <f>VLOOKUP(V413,名簿!A:L,12,FALSE)</f>
        <v>3F/事務所</v>
      </c>
    </row>
    <row r="414" spans="1:27" ht="22.8">
      <c r="A414" s="301">
        <v>408</v>
      </c>
      <c r="B414" s="248">
        <v>46070</v>
      </c>
      <c r="F414" s="252" t="s">
        <v>1986</v>
      </c>
      <c r="K414" s="265">
        <v>1</v>
      </c>
      <c r="P414" s="251">
        <v>4</v>
      </c>
      <c r="R414" s="108" t="s">
        <v>679</v>
      </c>
      <c r="S414" s="310"/>
      <c r="V414" s="243" t="s">
        <v>530</v>
      </c>
      <c r="W414" s="243" t="str">
        <f>VLOOKUP(V414,名簿!A:L,3,FALSE)</f>
        <v>品質保証部</v>
      </c>
      <c r="X414" s="243" t="str">
        <f>VLOOKUP(V414,名簿!A:L,4,FALSE)</f>
        <v>品質管理課</v>
      </c>
      <c r="Y414" s="243" t="str">
        <f>VLOOKUP(V414,名簿!A:L,5,FALSE)</f>
        <v>-</v>
      </c>
      <c r="Z414" s="243" t="str">
        <f>VLOOKUP(V414,名簿!A:L,11,FALSE)</f>
        <v>本社</v>
      </c>
      <c r="AA414" s="243" t="str">
        <f>VLOOKUP(V414,名簿!A:L,12,FALSE)</f>
        <v>3F/シンク前</v>
      </c>
    </row>
    <row r="415" spans="1:27">
      <c r="A415" s="301">
        <v>409</v>
      </c>
      <c r="B415" s="248">
        <v>46070</v>
      </c>
      <c r="F415" s="252" t="s">
        <v>1986</v>
      </c>
      <c r="K415" s="265">
        <v>1</v>
      </c>
      <c r="P415" s="251">
        <v>1</v>
      </c>
      <c r="S415" s="310"/>
      <c r="V415" s="243" t="s">
        <v>427</v>
      </c>
      <c r="W415" s="243" t="str">
        <f>VLOOKUP(V415,名簿!A:L,3,FALSE)</f>
        <v>技術製造部</v>
      </c>
      <c r="X415" s="243" t="str">
        <f>VLOOKUP(V415,名簿!A:L,4,FALSE)</f>
        <v>製造課</v>
      </c>
      <c r="Y415" s="243" t="str">
        <f>VLOOKUP(V415,名簿!A:L,5,FALSE)</f>
        <v>バルク・顆粒</v>
      </c>
      <c r="Z415" s="243" t="str">
        <f>VLOOKUP(V415,名簿!A:L,11,FALSE)</f>
        <v>コスメファクトリー</v>
      </c>
      <c r="AA415" s="243" t="str">
        <f>VLOOKUP(V415,名簿!A:L,12,FALSE)</f>
        <v>1F/バルク室</v>
      </c>
    </row>
    <row r="416" spans="1:27">
      <c r="A416" s="301">
        <v>410</v>
      </c>
      <c r="B416" s="248">
        <v>46070</v>
      </c>
      <c r="F416" s="252" t="s">
        <v>1986</v>
      </c>
      <c r="K416" s="265">
        <v>1</v>
      </c>
      <c r="P416" s="251">
        <v>1</v>
      </c>
      <c r="R416" s="108" t="s">
        <v>687</v>
      </c>
      <c r="S416" s="310"/>
      <c r="V416" s="243" t="s">
        <v>1994</v>
      </c>
      <c r="W416" s="243" t="str">
        <f>VLOOKUP(V416,名簿!A:L,3,FALSE)</f>
        <v>技術製造部</v>
      </c>
      <c r="X416" s="243" t="str">
        <f>VLOOKUP(V416,名簿!A:L,4,FALSE)</f>
        <v>製造課</v>
      </c>
      <c r="Y416" s="243" t="str">
        <f>VLOOKUP(V416,名簿!A:L,5,FALSE)</f>
        <v>バルク・顆粒</v>
      </c>
      <c r="Z416" s="243" t="str">
        <f>VLOOKUP(V416,名簿!A:L,11,FALSE)</f>
        <v>コスメラボラトリー</v>
      </c>
      <c r="AA416" s="243" t="str">
        <f>VLOOKUP(V416,名簿!A:L,12,FALSE)</f>
        <v>2F/事務所</v>
      </c>
    </row>
    <row r="417" spans="1:27" ht="22.8">
      <c r="A417" s="301">
        <v>411</v>
      </c>
      <c r="B417" s="248">
        <v>46070</v>
      </c>
      <c r="F417" s="252" t="s">
        <v>1986</v>
      </c>
      <c r="K417" s="265">
        <v>1</v>
      </c>
      <c r="P417" s="251">
        <v>4</v>
      </c>
      <c r="R417" s="108" t="s">
        <v>690</v>
      </c>
      <c r="S417" s="310"/>
      <c r="V417" s="243" t="s">
        <v>489</v>
      </c>
      <c r="W417" s="243" t="str">
        <f>VLOOKUP(V417,名簿!A:L,3,FALSE)</f>
        <v>技術製造部</v>
      </c>
      <c r="X417" s="243" t="str">
        <f>VLOOKUP(V417,名簿!A:L,4,FALSE)</f>
        <v>生産管理課</v>
      </c>
      <c r="Y417" s="243" t="str">
        <f>VLOOKUP(V417,名簿!A:L,5,FALSE)</f>
        <v>生産管理事務</v>
      </c>
      <c r="Z417" s="243" t="str">
        <f>VLOOKUP(V417,名簿!A:L,11,FALSE)</f>
        <v>本社</v>
      </c>
      <c r="AA417" s="243" t="str">
        <f>VLOOKUP(V417,名簿!A:L,12,FALSE)</f>
        <v>3F/シンク前</v>
      </c>
    </row>
    <row r="418" spans="1:27">
      <c r="A418" s="301">
        <v>412</v>
      </c>
      <c r="B418" s="248">
        <v>46071</v>
      </c>
      <c r="F418" s="252" t="s">
        <v>1986</v>
      </c>
      <c r="K418" s="265">
        <v>1</v>
      </c>
      <c r="P418" s="251">
        <v>1</v>
      </c>
      <c r="R418" s="108" t="s">
        <v>360</v>
      </c>
      <c r="S418" s="310"/>
      <c r="V418" s="243" t="s">
        <v>420</v>
      </c>
      <c r="W418" s="243" t="str">
        <f>VLOOKUP(V418,名簿!A:L,3,FALSE)</f>
        <v>技術製造部</v>
      </c>
      <c r="X418" s="243" t="str">
        <f>VLOOKUP(V418,名簿!A:L,4,FALSE)</f>
        <v>製造課</v>
      </c>
      <c r="Y418" s="243" t="str">
        <f>VLOOKUP(V418,名簿!A:L,5,FALSE)</f>
        <v>粉体</v>
      </c>
      <c r="Z418" s="243" t="str">
        <f>VLOOKUP(V418,名簿!A:L,11,FALSE)</f>
        <v>コスメラボラトリー</v>
      </c>
      <c r="AA418" s="243" t="str">
        <f>VLOOKUP(V418,名簿!A:L,12,FALSE)</f>
        <v>2F/作業場南</v>
      </c>
    </row>
    <row r="419" spans="1:27">
      <c r="A419" s="301">
        <v>413</v>
      </c>
      <c r="B419" s="248">
        <v>46071</v>
      </c>
      <c r="F419" s="252" t="s">
        <v>1986</v>
      </c>
      <c r="K419" s="265">
        <v>1</v>
      </c>
      <c r="P419" s="251">
        <v>1</v>
      </c>
      <c r="R419" s="108" t="s">
        <v>355</v>
      </c>
      <c r="S419" s="310"/>
      <c r="V419" s="243" t="s">
        <v>434</v>
      </c>
      <c r="W419" s="243" t="str">
        <f>VLOOKUP(V419,名簿!A:L,3,FALSE)</f>
        <v>技術製造部</v>
      </c>
      <c r="X419" s="243" t="str">
        <f>VLOOKUP(V419,名簿!A:L,4,FALSE)</f>
        <v>製造課</v>
      </c>
      <c r="Y419" s="243" t="str">
        <f>VLOOKUP(V419,名簿!A:L,5,FALSE)</f>
        <v>バルク・顆粒</v>
      </c>
      <c r="Z419" s="243" t="str">
        <f>VLOOKUP(V419,名簿!A:L,11,FALSE)</f>
        <v>コスメファクトリー</v>
      </c>
      <c r="AA419" s="243" t="str">
        <f>VLOOKUP(V419,名簿!A:L,12,FALSE)</f>
        <v>1F/バルク室</v>
      </c>
    </row>
    <row r="420" spans="1:27">
      <c r="A420" s="301">
        <v>414</v>
      </c>
      <c r="B420" s="248">
        <v>46071</v>
      </c>
      <c r="F420" s="252" t="s">
        <v>1986</v>
      </c>
      <c r="K420" s="265">
        <v>1</v>
      </c>
      <c r="P420" s="251">
        <v>4</v>
      </c>
      <c r="R420" s="108" t="s">
        <v>698</v>
      </c>
      <c r="S420" s="310"/>
      <c r="V420" s="243" t="s">
        <v>555</v>
      </c>
      <c r="W420" s="243" t="str">
        <f>VLOOKUP(V420,名簿!A:L,3,FALSE)</f>
        <v>技術製造部</v>
      </c>
      <c r="X420" s="243" t="str">
        <f>VLOOKUP(V420,名簿!A:L,4,FALSE)</f>
        <v>製造課</v>
      </c>
      <c r="Y420" s="243" t="str">
        <f>VLOOKUP(V420,名簿!A:L,5,FALSE)</f>
        <v>液体</v>
      </c>
      <c r="Z420" s="243" t="str">
        <f>VLOOKUP(V420,名簿!A:L,11,FALSE)</f>
        <v>本社</v>
      </c>
      <c r="AA420" s="243" t="str">
        <f>VLOOKUP(V420,名簿!A:L,12,FALSE)</f>
        <v>3F/シンク前</v>
      </c>
    </row>
    <row r="421" spans="1:27" ht="34.200000000000003">
      <c r="A421" s="301">
        <v>415</v>
      </c>
      <c r="B421" s="248">
        <v>46071</v>
      </c>
      <c r="D421" s="293">
        <v>46091</v>
      </c>
      <c r="E421" s="249">
        <v>2</v>
      </c>
      <c r="F421" s="252" t="s">
        <v>1986</v>
      </c>
      <c r="G421" s="252" t="s">
        <v>2203</v>
      </c>
      <c r="K421" s="265">
        <v>1</v>
      </c>
      <c r="N421" s="265">
        <v>1</v>
      </c>
      <c r="P421" s="251">
        <v>5</v>
      </c>
      <c r="R421" s="108" t="s">
        <v>705</v>
      </c>
      <c r="S421" s="312" t="s">
        <v>2218</v>
      </c>
      <c r="T421" s="108" t="s">
        <v>2327</v>
      </c>
      <c r="V421" s="243" t="s">
        <v>495</v>
      </c>
      <c r="W421" s="243" t="str">
        <f>VLOOKUP(V421,名簿!A:L,3,FALSE)</f>
        <v>技術製造部</v>
      </c>
      <c r="X421" s="243" t="str">
        <f>VLOOKUP(V421,名簿!A:L,4,FALSE)</f>
        <v>生産管理課</v>
      </c>
      <c r="Y421" s="243" t="str">
        <f>VLOOKUP(V421,名簿!A:L,5,FALSE)</f>
        <v>生産管理</v>
      </c>
      <c r="Z421" s="243" t="str">
        <f>VLOOKUP(V421,名簿!A:L,11,FALSE)</f>
        <v>本社</v>
      </c>
      <c r="AA421" s="243" t="str">
        <f>VLOOKUP(V421,名簿!A:L,12,FALSE)</f>
        <v>3F/シンク前</v>
      </c>
    </row>
    <row r="422" spans="1:27" ht="22.8">
      <c r="A422" s="301">
        <v>416</v>
      </c>
      <c r="B422" s="248">
        <v>46071</v>
      </c>
      <c r="F422" s="252" t="s">
        <v>1986</v>
      </c>
      <c r="K422" s="265">
        <v>1</v>
      </c>
      <c r="N422" s="265">
        <v>1</v>
      </c>
      <c r="P422" s="251">
        <v>5</v>
      </c>
      <c r="R422" s="108" t="s">
        <v>2060</v>
      </c>
      <c r="S422" s="310"/>
      <c r="V422" s="243" t="s">
        <v>403</v>
      </c>
      <c r="W422" s="243" t="str">
        <f>VLOOKUP(V422,名簿!A:L,3,FALSE)</f>
        <v>技術製造部</v>
      </c>
      <c r="X422" s="243" t="str">
        <f>VLOOKUP(V422,名簿!A:L,4,FALSE)</f>
        <v>製造課</v>
      </c>
      <c r="Y422" s="243" t="str">
        <f>VLOOKUP(V422,名簿!A:L,5,FALSE)</f>
        <v>充填包装</v>
      </c>
      <c r="Z422" s="243" t="str">
        <f>VLOOKUP(V422,名簿!A:L,11,FALSE)</f>
        <v>コスメファクトリー</v>
      </c>
      <c r="AA422" s="243" t="str">
        <f>VLOOKUP(V422,名簿!A:L,12,FALSE)</f>
        <v>2F/充填ライン南</v>
      </c>
    </row>
    <row r="423" spans="1:27">
      <c r="A423" s="301">
        <v>417</v>
      </c>
      <c r="B423" s="248">
        <v>46071</v>
      </c>
      <c r="F423" s="252" t="s">
        <v>1986</v>
      </c>
      <c r="K423" s="265">
        <v>1</v>
      </c>
      <c r="P423" s="251">
        <v>4</v>
      </c>
      <c r="R423" s="108" t="s">
        <v>714</v>
      </c>
      <c r="S423" s="310"/>
      <c r="V423" s="243" t="s">
        <v>435</v>
      </c>
      <c r="W423" s="243" t="str">
        <f>VLOOKUP(V423,名簿!A:L,3,FALSE)</f>
        <v>技術製造部</v>
      </c>
      <c r="X423" s="243" t="str">
        <f>VLOOKUP(V423,名簿!A:L,4,FALSE)</f>
        <v>製造課</v>
      </c>
      <c r="Y423" s="243" t="str">
        <f>VLOOKUP(V423,名簿!A:L,5,FALSE)</f>
        <v>バルク・顆粒</v>
      </c>
      <c r="Z423" s="243" t="str">
        <f>VLOOKUP(V423,名簿!A:L,11,FALSE)</f>
        <v>コスメファクトリー</v>
      </c>
      <c r="AA423" s="243" t="str">
        <f>VLOOKUP(V423,名簿!A:L,12,FALSE)</f>
        <v>1F/バルク室</v>
      </c>
    </row>
    <row r="424" spans="1:27">
      <c r="A424" s="301">
        <v>418</v>
      </c>
      <c r="B424" s="248">
        <v>46072</v>
      </c>
      <c r="F424" s="252" t="s">
        <v>1986</v>
      </c>
      <c r="K424" s="265">
        <v>1</v>
      </c>
      <c r="P424" s="251">
        <v>1</v>
      </c>
      <c r="R424" s="108" t="s">
        <v>717</v>
      </c>
      <c r="S424" s="310"/>
      <c r="V424" s="243" t="s">
        <v>506</v>
      </c>
      <c r="W424" s="243" t="str">
        <f>VLOOKUP(V424,名簿!A:L,3,FALSE)</f>
        <v>技術製造部</v>
      </c>
      <c r="X424" s="243" t="str">
        <f>VLOOKUP(V424,名簿!A:L,4,FALSE)</f>
        <v>生産管理課</v>
      </c>
      <c r="Y424" s="243" t="str">
        <f>VLOOKUP(V424,名簿!A:L,5,FALSE)</f>
        <v>生産管理</v>
      </c>
      <c r="Z424" s="243" t="str">
        <f>VLOOKUP(V424,名簿!A:L,11,FALSE)</f>
        <v>本社</v>
      </c>
      <c r="AA424" s="243" t="str">
        <f>VLOOKUP(V424,名簿!A:L,12,FALSE)</f>
        <v>3F/シンク前</v>
      </c>
    </row>
    <row r="425" spans="1:27">
      <c r="A425" s="301">
        <v>419</v>
      </c>
      <c r="B425" s="248">
        <v>46072</v>
      </c>
      <c r="F425" s="252" t="s">
        <v>1986</v>
      </c>
      <c r="K425" s="265">
        <v>1</v>
      </c>
      <c r="N425" s="265">
        <v>1</v>
      </c>
      <c r="P425" s="251">
        <v>4</v>
      </c>
      <c r="R425" s="108" t="s">
        <v>724</v>
      </c>
      <c r="S425" s="310"/>
      <c r="V425" s="243" t="s">
        <v>547</v>
      </c>
      <c r="W425" s="243" t="str">
        <f>VLOOKUP(V425,名簿!A:L,3,FALSE)</f>
        <v>管理部</v>
      </c>
      <c r="X425" s="243" t="str">
        <f>VLOOKUP(V425,名簿!A:L,4,FALSE)</f>
        <v>管理課</v>
      </c>
      <c r="Y425" s="243" t="str">
        <f>VLOOKUP(V425,名簿!A:L,5,FALSE)</f>
        <v>-</v>
      </c>
      <c r="Z425" s="243" t="str">
        <f>VLOOKUP(V425,名簿!A:L,11,FALSE)</f>
        <v>本社</v>
      </c>
      <c r="AA425" s="243" t="str">
        <f>VLOOKUP(V425,名簿!A:L,12,FALSE)</f>
        <v>3F/シンク前</v>
      </c>
    </row>
    <row r="426" spans="1:27" ht="34.200000000000003">
      <c r="A426" s="301">
        <v>420</v>
      </c>
      <c r="B426" s="248">
        <v>46072</v>
      </c>
      <c r="F426" s="252" t="s">
        <v>1986</v>
      </c>
      <c r="K426" s="265">
        <v>1</v>
      </c>
      <c r="N426" s="265">
        <v>1</v>
      </c>
      <c r="P426" s="251">
        <v>4</v>
      </c>
      <c r="R426" s="108" t="s">
        <v>2064</v>
      </c>
      <c r="S426" s="310"/>
      <c r="V426" s="243" t="s">
        <v>535</v>
      </c>
      <c r="W426" s="243" t="str">
        <f>VLOOKUP(V426,名簿!A:L,3,FALSE)</f>
        <v>管理部</v>
      </c>
      <c r="X426" s="243" t="str">
        <f>VLOOKUP(V426,名簿!A:L,4,FALSE)</f>
        <v>管理課</v>
      </c>
      <c r="Y426" s="243" t="str">
        <f>VLOOKUP(V426,名簿!A:L,5,FALSE)</f>
        <v>-</v>
      </c>
      <c r="Z426" s="243" t="str">
        <f>VLOOKUP(V426,名簿!A:L,11,FALSE)</f>
        <v>本社</v>
      </c>
      <c r="AA426" s="243" t="str">
        <f>VLOOKUP(V426,名簿!A:L,12,FALSE)</f>
        <v>3F/シンク前</v>
      </c>
    </row>
    <row r="427" spans="1:27" ht="34.200000000000003">
      <c r="A427" s="301">
        <v>421</v>
      </c>
      <c r="B427" s="248">
        <v>46072</v>
      </c>
      <c r="F427" s="252" t="s">
        <v>1986</v>
      </c>
      <c r="K427" s="265">
        <v>1</v>
      </c>
      <c r="N427" s="265">
        <v>1</v>
      </c>
      <c r="P427" s="251">
        <v>4</v>
      </c>
      <c r="R427" s="108" t="s">
        <v>734</v>
      </c>
      <c r="S427" s="310"/>
      <c r="V427" s="243" t="s">
        <v>541</v>
      </c>
      <c r="W427" s="243" t="str">
        <f>VLOOKUP(V427,名簿!A:L,3,FALSE)</f>
        <v>管理部</v>
      </c>
      <c r="X427" s="243" t="str">
        <f>VLOOKUP(V427,名簿!A:L,4,FALSE)</f>
        <v>管理課</v>
      </c>
      <c r="Y427" s="243" t="str">
        <f>VLOOKUP(V427,名簿!A:L,5,FALSE)</f>
        <v>-</v>
      </c>
      <c r="Z427" s="243" t="str">
        <f>VLOOKUP(V427,名簿!A:L,11,FALSE)</f>
        <v>本社</v>
      </c>
      <c r="AA427" s="243" t="str">
        <f>VLOOKUP(V427,名簿!A:L,12,FALSE)</f>
        <v>3F/シンク前</v>
      </c>
    </row>
    <row r="428" spans="1:27">
      <c r="A428" s="301">
        <v>422</v>
      </c>
      <c r="B428" s="248">
        <v>46066</v>
      </c>
      <c r="F428" s="252" t="s">
        <v>1987</v>
      </c>
      <c r="K428" s="265">
        <v>1</v>
      </c>
      <c r="P428" s="251">
        <v>1</v>
      </c>
      <c r="S428" s="310"/>
      <c r="V428" s="243" t="s">
        <v>1991</v>
      </c>
      <c r="W428" s="243" t="str">
        <f>VLOOKUP(V428,名簿!A:L,3,FALSE)</f>
        <v>技術製造部</v>
      </c>
      <c r="X428" s="243" t="str">
        <f>VLOOKUP(V428,名簿!A:L,4,FALSE)</f>
        <v>-</v>
      </c>
      <c r="Y428" s="243" t="str">
        <f>VLOOKUP(V428,名簿!A:L,5,FALSE)</f>
        <v>-</v>
      </c>
      <c r="Z428" s="243" t="str">
        <f>VLOOKUP(V428,名簿!A:L,11,FALSE)</f>
        <v>コスメラボラトリー</v>
      </c>
      <c r="AA428" s="243" t="str">
        <f>VLOOKUP(V428,名簿!A:L,12,FALSE)</f>
        <v>2F/事務所</v>
      </c>
    </row>
    <row r="429" spans="1:27" ht="22.8">
      <c r="A429" s="301">
        <v>423</v>
      </c>
      <c r="B429" s="248">
        <v>46066</v>
      </c>
      <c r="F429" s="252" t="s">
        <v>1987</v>
      </c>
      <c r="K429" s="265">
        <v>1</v>
      </c>
      <c r="N429" s="265">
        <v>1</v>
      </c>
      <c r="P429" s="251">
        <v>5</v>
      </c>
      <c r="R429" s="108" t="s">
        <v>2067</v>
      </c>
      <c r="S429" s="310"/>
      <c r="V429" s="243" t="s">
        <v>483</v>
      </c>
      <c r="W429" s="243" t="str">
        <f>VLOOKUP(V429,名簿!A:L,3,FALSE)</f>
        <v>技術製造部</v>
      </c>
      <c r="X429" s="243" t="str">
        <f>VLOOKUP(V429,名簿!A:L,4,FALSE)</f>
        <v>生産管理課</v>
      </c>
      <c r="Y429" s="243" t="str">
        <f>VLOOKUP(V429,名簿!A:L,5,FALSE)</f>
        <v>生産管理</v>
      </c>
      <c r="Z429" s="243" t="str">
        <f>VLOOKUP(V429,名簿!A:L,11,FALSE)</f>
        <v>本社</v>
      </c>
      <c r="AA429" s="243" t="str">
        <f>VLOOKUP(V429,名簿!A:L,12,FALSE)</f>
        <v>3F/シンク前</v>
      </c>
    </row>
    <row r="430" spans="1:27">
      <c r="A430" s="301">
        <v>424</v>
      </c>
      <c r="B430" s="248">
        <v>46066</v>
      </c>
      <c r="F430" s="252" t="s">
        <v>1987</v>
      </c>
      <c r="K430" s="265">
        <v>1</v>
      </c>
      <c r="P430" s="251">
        <v>1</v>
      </c>
      <c r="S430" s="310"/>
      <c r="V430" s="243" t="s">
        <v>1992</v>
      </c>
      <c r="W430" s="243" t="str">
        <f>VLOOKUP(V430,名簿!A:L,3,FALSE)</f>
        <v>企画営業部</v>
      </c>
      <c r="X430" s="243" t="str">
        <f>VLOOKUP(V430,名簿!A:L,4,FALSE)</f>
        <v>-</v>
      </c>
      <c r="Y430" s="243" t="str">
        <f>VLOOKUP(V430,名簿!A:L,5,FALSE)</f>
        <v>-</v>
      </c>
      <c r="Z430" s="243" t="str">
        <f>VLOOKUP(V430,名簿!A:L,11,FALSE)</f>
        <v>東京営業所</v>
      </c>
      <c r="AA430" s="243" t="str">
        <f>VLOOKUP(V430,名簿!A:L,12,FALSE)</f>
        <v>-</v>
      </c>
    </row>
    <row r="431" spans="1:27" ht="45.6">
      <c r="A431" s="301">
        <v>425</v>
      </c>
      <c r="B431" s="248">
        <v>46066</v>
      </c>
      <c r="F431" s="252" t="s">
        <v>1987</v>
      </c>
      <c r="K431" s="265">
        <v>1</v>
      </c>
      <c r="N431" s="265">
        <v>1</v>
      </c>
      <c r="P431" s="251">
        <v>4</v>
      </c>
      <c r="R431" s="108" t="s">
        <v>631</v>
      </c>
      <c r="S431" s="310"/>
      <c r="V431" s="243" t="s">
        <v>471</v>
      </c>
      <c r="W431" s="243" t="str">
        <f>VLOOKUP(V431,名簿!A:L,3,FALSE)</f>
        <v>技術製造部</v>
      </c>
      <c r="X431" s="243" t="str">
        <f>VLOOKUP(V431,名簿!A:L,4,FALSE)</f>
        <v>生産管理課</v>
      </c>
      <c r="Y431" s="243" t="str">
        <f>VLOOKUP(V431,名簿!A:L,5,FALSE)</f>
        <v>生産管理</v>
      </c>
      <c r="Z431" s="243" t="str">
        <f>VLOOKUP(V431,名簿!A:L,11,FALSE)</f>
        <v>本社</v>
      </c>
      <c r="AA431" s="243" t="str">
        <f>VLOOKUP(V431,名簿!A:L,12,FALSE)</f>
        <v>3F/シンク前</v>
      </c>
    </row>
    <row r="432" spans="1:27">
      <c r="A432" s="301">
        <v>426</v>
      </c>
      <c r="B432" s="248">
        <v>46066</v>
      </c>
      <c r="F432" s="252" t="s">
        <v>1987</v>
      </c>
      <c r="K432" s="265">
        <v>1</v>
      </c>
      <c r="N432" s="265">
        <v>1</v>
      </c>
      <c r="P432" s="251">
        <v>4</v>
      </c>
      <c r="R432" s="108" t="s">
        <v>634</v>
      </c>
      <c r="S432" s="310"/>
      <c r="V432" s="243" t="s">
        <v>478</v>
      </c>
      <c r="W432" s="243" t="str">
        <f>VLOOKUP(V432,名簿!A:L,3,FALSE)</f>
        <v>技術製造部</v>
      </c>
      <c r="X432" s="243" t="str">
        <f>VLOOKUP(V432,名簿!A:L,4,FALSE)</f>
        <v>生産管理課</v>
      </c>
      <c r="Y432" s="243" t="str">
        <f>VLOOKUP(V432,名簿!A:L,5,FALSE)</f>
        <v>物流</v>
      </c>
      <c r="Z432" s="243" t="str">
        <f>VLOOKUP(V432,名簿!A:L,11,FALSE)</f>
        <v>第一倉庫</v>
      </c>
      <c r="AA432" s="243" t="str">
        <f>VLOOKUP(V432,名簿!A:L,12,FALSE)</f>
        <v>1F/南西角</v>
      </c>
    </row>
    <row r="433" spans="1:27" ht="22.8">
      <c r="A433" s="301">
        <v>427</v>
      </c>
      <c r="B433" s="248">
        <v>46066</v>
      </c>
      <c r="F433" s="252" t="s">
        <v>1987</v>
      </c>
      <c r="K433" s="265">
        <v>1</v>
      </c>
      <c r="N433" s="265">
        <v>1</v>
      </c>
      <c r="P433" s="251">
        <v>4</v>
      </c>
      <c r="R433" s="108" t="s">
        <v>2068</v>
      </c>
      <c r="S433" s="310"/>
      <c r="V433" s="243" t="s">
        <v>636</v>
      </c>
      <c r="W433" s="243" t="str">
        <f>VLOOKUP(V433,名簿!A:L,3,FALSE)</f>
        <v>企画営業部</v>
      </c>
      <c r="X433" s="243" t="str">
        <f>VLOOKUP(V433,名簿!A:L,4,FALSE)</f>
        <v>営業課</v>
      </c>
      <c r="Y433" s="243" t="str">
        <f>VLOOKUP(V433,名簿!A:L,5,FALSE)</f>
        <v>-</v>
      </c>
      <c r="Z433" s="243" t="str">
        <f>VLOOKUP(V433,名簿!A:L,11,FALSE)</f>
        <v>東京営業所</v>
      </c>
      <c r="AA433" s="243" t="str">
        <f>VLOOKUP(V433,名簿!A:L,12,FALSE)</f>
        <v>-</v>
      </c>
    </row>
    <row r="434" spans="1:27">
      <c r="A434" s="301">
        <v>428</v>
      </c>
      <c r="B434" s="248">
        <v>46066</v>
      </c>
      <c r="F434" s="252" t="s">
        <v>1987</v>
      </c>
      <c r="K434" s="265">
        <v>1</v>
      </c>
      <c r="N434" s="265">
        <v>1</v>
      </c>
      <c r="P434" s="251">
        <v>4</v>
      </c>
      <c r="R434" s="108" t="s">
        <v>645</v>
      </c>
      <c r="S434" s="310"/>
      <c r="V434" s="243" t="s">
        <v>560</v>
      </c>
      <c r="W434" s="243" t="str">
        <f>VLOOKUP(V434,名簿!A:L,3,FALSE)</f>
        <v>技術製造部</v>
      </c>
      <c r="X434" s="243" t="str">
        <f>VLOOKUP(V434,名簿!A:L,4,FALSE)</f>
        <v>製造課</v>
      </c>
      <c r="Y434" s="243" t="str">
        <f>VLOOKUP(V434,名簿!A:L,5,FALSE)</f>
        <v>液体</v>
      </c>
      <c r="Z434" s="243" t="str">
        <f>VLOOKUP(V434,名簿!A:L,11,FALSE)</f>
        <v>本社</v>
      </c>
      <c r="AA434" s="243" t="str">
        <f>VLOOKUP(V434,名簿!A:L,12,FALSE)</f>
        <v>3F/シンク前</v>
      </c>
    </row>
    <row r="435" spans="1:27">
      <c r="A435" s="301">
        <v>429</v>
      </c>
      <c r="B435" s="248">
        <v>46069</v>
      </c>
      <c r="F435" s="252" t="s">
        <v>1987</v>
      </c>
      <c r="K435" s="265">
        <v>1</v>
      </c>
      <c r="P435" s="251">
        <v>1</v>
      </c>
      <c r="S435" s="310"/>
      <c r="V435" s="243" t="s">
        <v>646</v>
      </c>
      <c r="W435" s="243" t="str">
        <f>VLOOKUP(V435,名簿!A:L,3,FALSE)</f>
        <v>企画営業部</v>
      </c>
      <c r="X435" s="243" t="str">
        <f>VLOOKUP(V435,名簿!A:L,4,FALSE)</f>
        <v>営業課</v>
      </c>
      <c r="Y435" s="243" t="str">
        <f>VLOOKUP(V435,名簿!A:L,5,FALSE)</f>
        <v>-</v>
      </c>
      <c r="Z435" s="243" t="str">
        <f>VLOOKUP(V435,名簿!A:L,11,FALSE)</f>
        <v>東京営業所</v>
      </c>
      <c r="AA435" s="243" t="str">
        <f>VLOOKUP(V435,名簿!A:L,12,FALSE)</f>
        <v>-</v>
      </c>
    </row>
    <row r="436" spans="1:27" ht="22.8">
      <c r="A436" s="301">
        <v>430</v>
      </c>
      <c r="B436" s="248">
        <v>46069</v>
      </c>
      <c r="F436" s="252" t="s">
        <v>1987</v>
      </c>
      <c r="K436" s="265">
        <v>1</v>
      </c>
      <c r="N436" s="265">
        <v>1</v>
      </c>
      <c r="P436" s="251">
        <v>4</v>
      </c>
      <c r="R436" s="108" t="s">
        <v>654</v>
      </c>
      <c r="S436" s="310"/>
      <c r="V436" s="243" t="s">
        <v>568</v>
      </c>
      <c r="W436" s="243" t="str">
        <f>VLOOKUP(V436,名簿!A:L,3,FALSE)</f>
        <v>品質保証部</v>
      </c>
      <c r="X436" s="243" t="str">
        <f>VLOOKUP(V436,名簿!A:L,4,FALSE)</f>
        <v>品質管理課</v>
      </c>
      <c r="Y436" s="243" t="str">
        <f>VLOOKUP(V436,名簿!A:L,5,FALSE)</f>
        <v>-</v>
      </c>
      <c r="Z436" s="243" t="str">
        <f>VLOOKUP(V436,名簿!A:L,11,FALSE)</f>
        <v>本社</v>
      </c>
      <c r="AA436" s="243" t="str">
        <f>VLOOKUP(V436,名簿!A:L,12,FALSE)</f>
        <v>3F/シンク前</v>
      </c>
    </row>
    <row r="437" spans="1:27">
      <c r="A437" s="301">
        <v>431</v>
      </c>
      <c r="B437" s="248">
        <v>46070</v>
      </c>
      <c r="D437" s="293">
        <v>46091</v>
      </c>
      <c r="E437" s="249">
        <v>1</v>
      </c>
      <c r="F437" s="252" t="s">
        <v>1987</v>
      </c>
      <c r="G437" s="252" t="s">
        <v>2205</v>
      </c>
      <c r="K437" s="265">
        <v>1</v>
      </c>
      <c r="N437" s="265">
        <v>1</v>
      </c>
      <c r="P437" s="251">
        <v>5</v>
      </c>
      <c r="R437" s="108" t="s">
        <v>661</v>
      </c>
      <c r="S437" s="312" t="s">
        <v>2216</v>
      </c>
      <c r="T437" s="108" t="s">
        <v>2217</v>
      </c>
      <c r="V437" s="243" t="s">
        <v>501</v>
      </c>
      <c r="W437" s="243" t="str">
        <f>VLOOKUP(V437,名簿!A:L,3,FALSE)</f>
        <v>技術製造部</v>
      </c>
      <c r="X437" s="243" t="str">
        <f>VLOOKUP(V437,名簿!A:L,4,FALSE)</f>
        <v>製造課</v>
      </c>
      <c r="Y437" s="243" t="str">
        <f>VLOOKUP(V437,名簿!A:L,5,FALSE)</f>
        <v>粉体</v>
      </c>
      <c r="Z437" s="243" t="str">
        <f>VLOOKUP(V437,名簿!A:L,11,FALSE)</f>
        <v>本社</v>
      </c>
      <c r="AA437" s="243" t="str">
        <f>VLOOKUP(V437,名簿!A:L,12,FALSE)</f>
        <v>3F/シンク前</v>
      </c>
    </row>
    <row r="438" spans="1:27">
      <c r="A438" s="301">
        <v>432</v>
      </c>
      <c r="B438" s="248">
        <v>46070</v>
      </c>
      <c r="F438" s="252" t="s">
        <v>1987</v>
      </c>
      <c r="K438" s="265">
        <v>1</v>
      </c>
      <c r="P438" s="251">
        <v>1</v>
      </c>
      <c r="R438" s="108" t="s">
        <v>668</v>
      </c>
      <c r="S438" s="310"/>
      <c r="V438" s="243" t="s">
        <v>524</v>
      </c>
      <c r="W438" s="243" t="str">
        <f>VLOOKUP(V438,名簿!A:L,3,FALSE)</f>
        <v>企画営業部</v>
      </c>
      <c r="X438" s="243" t="str">
        <f>VLOOKUP(V438,名簿!A:L,4,FALSE)</f>
        <v>企画課</v>
      </c>
      <c r="Y438" s="243" t="str">
        <f>VLOOKUP(V438,名簿!A:L,5,FALSE)</f>
        <v>-</v>
      </c>
      <c r="Z438" s="243" t="str">
        <f>VLOOKUP(V438,名簿!A:L,11,FALSE)</f>
        <v>本社</v>
      </c>
      <c r="AA438" s="243" t="str">
        <f>VLOOKUP(V438,名簿!A:L,12,FALSE)</f>
        <v>3F/シンク前</v>
      </c>
    </row>
    <row r="439" spans="1:27" ht="34.200000000000003">
      <c r="A439" s="301">
        <v>433</v>
      </c>
      <c r="B439" s="248">
        <v>46070</v>
      </c>
      <c r="F439" s="252" t="s">
        <v>1987</v>
      </c>
      <c r="K439" s="265">
        <v>1</v>
      </c>
      <c r="N439" s="265">
        <v>1</v>
      </c>
      <c r="P439" s="251">
        <v>4</v>
      </c>
      <c r="R439" s="108" t="s">
        <v>2069</v>
      </c>
      <c r="S439" s="310"/>
      <c r="V439" s="243" t="s">
        <v>512</v>
      </c>
      <c r="W439" s="243" t="str">
        <f>VLOOKUP(V439,名簿!A:L,3,FALSE)</f>
        <v>技術製造部</v>
      </c>
      <c r="X439" s="243" t="str">
        <f>VLOOKUP(V439,名簿!A:L,4,FALSE)</f>
        <v>生産管理課</v>
      </c>
      <c r="Y439" s="243" t="str">
        <f>VLOOKUP(V439,名簿!A:L,5,FALSE)</f>
        <v>生産管理事務</v>
      </c>
      <c r="Z439" s="243" t="str">
        <f>VLOOKUP(V439,名簿!A:L,11,FALSE)</f>
        <v>本社</v>
      </c>
      <c r="AA439" s="243" t="str">
        <f>VLOOKUP(V439,名簿!A:L,12,FALSE)</f>
        <v>3F/シンク前</v>
      </c>
    </row>
    <row r="440" spans="1:27" ht="22.8">
      <c r="A440" s="301">
        <v>434</v>
      </c>
      <c r="B440" s="248">
        <v>46070</v>
      </c>
      <c r="F440" s="252" t="s">
        <v>1987</v>
      </c>
      <c r="K440" s="265">
        <v>1</v>
      </c>
      <c r="N440" s="265">
        <v>1</v>
      </c>
      <c r="O440" s="265">
        <v>1</v>
      </c>
      <c r="P440" s="251">
        <v>4</v>
      </c>
      <c r="R440" s="108" t="s">
        <v>677</v>
      </c>
      <c r="S440" s="310"/>
      <c r="V440" s="243" t="s">
        <v>458</v>
      </c>
      <c r="W440" s="243" t="str">
        <f>VLOOKUP(V440,名簿!A:L,3,FALSE)</f>
        <v>研究開発部</v>
      </c>
      <c r="X440" s="243" t="str">
        <f>VLOOKUP(V440,名簿!A:L,4,FALSE)</f>
        <v>研究開発課</v>
      </c>
      <c r="Y440" s="243" t="str">
        <f>VLOOKUP(V440,名簿!A:L,5,FALSE)</f>
        <v>-</v>
      </c>
      <c r="Z440" s="243" t="str">
        <f>VLOOKUP(V440,名簿!A:L,11,FALSE)</f>
        <v>コスメラボラトリー</v>
      </c>
      <c r="AA440" s="243" t="str">
        <f>VLOOKUP(V440,名簿!A:L,12,FALSE)</f>
        <v>3F/事務所</v>
      </c>
    </row>
    <row r="441" spans="1:27">
      <c r="A441" s="301">
        <v>435</v>
      </c>
      <c r="B441" s="248">
        <v>46070</v>
      </c>
      <c r="F441" s="252" t="s">
        <v>1987</v>
      </c>
      <c r="K441" s="265">
        <v>1</v>
      </c>
      <c r="N441" s="265">
        <v>1</v>
      </c>
      <c r="P441" s="251">
        <v>4</v>
      </c>
      <c r="R441" s="108" t="s">
        <v>680</v>
      </c>
      <c r="S441" s="310"/>
      <c r="V441" s="243" t="s">
        <v>530</v>
      </c>
      <c r="W441" s="243" t="str">
        <f>VLOOKUP(V441,名簿!A:L,3,FALSE)</f>
        <v>品質保証部</v>
      </c>
      <c r="X441" s="243" t="str">
        <f>VLOOKUP(V441,名簿!A:L,4,FALSE)</f>
        <v>品質管理課</v>
      </c>
      <c r="Y441" s="243" t="str">
        <f>VLOOKUP(V441,名簿!A:L,5,FALSE)</f>
        <v>-</v>
      </c>
      <c r="Z441" s="243" t="str">
        <f>VLOOKUP(V441,名簿!A:L,11,FALSE)</f>
        <v>本社</v>
      </c>
      <c r="AA441" s="243" t="str">
        <f>VLOOKUP(V441,名簿!A:L,12,FALSE)</f>
        <v>3F/シンク前</v>
      </c>
    </row>
    <row r="442" spans="1:27">
      <c r="A442" s="301">
        <v>436</v>
      </c>
      <c r="B442" s="248">
        <v>46070</v>
      </c>
      <c r="F442" s="252" t="s">
        <v>1987</v>
      </c>
      <c r="K442" s="265">
        <v>1</v>
      </c>
      <c r="P442" s="251">
        <v>1</v>
      </c>
      <c r="S442" s="310"/>
      <c r="V442" s="243" t="s">
        <v>427</v>
      </c>
      <c r="W442" s="243" t="str">
        <f>VLOOKUP(V442,名簿!A:L,3,FALSE)</f>
        <v>技術製造部</v>
      </c>
      <c r="X442" s="243" t="str">
        <f>VLOOKUP(V442,名簿!A:L,4,FALSE)</f>
        <v>製造課</v>
      </c>
      <c r="Y442" s="243" t="str">
        <f>VLOOKUP(V442,名簿!A:L,5,FALSE)</f>
        <v>バルク・顆粒</v>
      </c>
      <c r="Z442" s="243" t="str">
        <f>VLOOKUP(V442,名簿!A:L,11,FALSE)</f>
        <v>コスメファクトリー</v>
      </c>
      <c r="AA442" s="243" t="str">
        <f>VLOOKUP(V442,名簿!A:L,12,FALSE)</f>
        <v>1F/バルク室</v>
      </c>
    </row>
    <row r="443" spans="1:27">
      <c r="A443" s="301">
        <v>437</v>
      </c>
      <c r="B443" s="248">
        <v>46070</v>
      </c>
      <c r="F443" s="252" t="s">
        <v>1987</v>
      </c>
      <c r="K443" s="265">
        <v>1</v>
      </c>
      <c r="N443" s="265">
        <v>1</v>
      </c>
      <c r="P443" s="251">
        <v>5</v>
      </c>
      <c r="R443" s="108" t="s">
        <v>688</v>
      </c>
      <c r="S443" s="310"/>
      <c r="V443" s="243" t="s">
        <v>1994</v>
      </c>
      <c r="W443" s="243" t="str">
        <f>VLOOKUP(V443,名簿!A:L,3,FALSE)</f>
        <v>技術製造部</v>
      </c>
      <c r="X443" s="243" t="str">
        <f>VLOOKUP(V443,名簿!A:L,4,FALSE)</f>
        <v>製造課</v>
      </c>
      <c r="Y443" s="243" t="str">
        <f>VLOOKUP(V443,名簿!A:L,5,FALSE)</f>
        <v>バルク・顆粒</v>
      </c>
      <c r="Z443" s="243" t="str">
        <f>VLOOKUP(V443,名簿!A:L,11,FALSE)</f>
        <v>コスメラボラトリー</v>
      </c>
      <c r="AA443" s="243" t="str">
        <f>VLOOKUP(V443,名簿!A:L,12,FALSE)</f>
        <v>2F/事務所</v>
      </c>
    </row>
    <row r="444" spans="1:27" ht="34.200000000000003">
      <c r="A444" s="301">
        <v>438</v>
      </c>
      <c r="B444" s="248">
        <v>46070</v>
      </c>
      <c r="D444" s="293">
        <v>46091</v>
      </c>
      <c r="E444" s="249">
        <v>1</v>
      </c>
      <c r="F444" s="252" t="s">
        <v>1987</v>
      </c>
      <c r="G444" s="252" t="s">
        <v>2205</v>
      </c>
      <c r="K444" s="265">
        <v>1</v>
      </c>
      <c r="N444" s="265">
        <v>1</v>
      </c>
      <c r="P444" s="251">
        <v>4</v>
      </c>
      <c r="R444" s="108" t="s">
        <v>2070</v>
      </c>
      <c r="S444" s="312" t="s">
        <v>2216</v>
      </c>
      <c r="T444" s="108" t="s">
        <v>2410</v>
      </c>
      <c r="V444" s="243" t="s">
        <v>489</v>
      </c>
      <c r="W444" s="243" t="str">
        <f>VLOOKUP(V444,名簿!A:L,3,FALSE)</f>
        <v>技術製造部</v>
      </c>
      <c r="X444" s="243" t="str">
        <f>VLOOKUP(V444,名簿!A:L,4,FALSE)</f>
        <v>生産管理課</v>
      </c>
      <c r="Y444" s="243" t="str">
        <f>VLOOKUP(V444,名簿!A:L,5,FALSE)</f>
        <v>生産管理事務</v>
      </c>
      <c r="Z444" s="243" t="str">
        <f>VLOOKUP(V444,名簿!A:L,11,FALSE)</f>
        <v>本社</v>
      </c>
      <c r="AA444" s="243" t="str">
        <f>VLOOKUP(V444,名簿!A:L,12,FALSE)</f>
        <v>3F/シンク前</v>
      </c>
    </row>
    <row r="445" spans="1:27">
      <c r="A445" s="301">
        <v>439</v>
      </c>
      <c r="B445" s="248">
        <v>46071</v>
      </c>
      <c r="F445" s="252" t="s">
        <v>1987</v>
      </c>
      <c r="K445" s="265">
        <v>1</v>
      </c>
      <c r="P445" s="251">
        <v>4</v>
      </c>
      <c r="R445" s="108" t="s">
        <v>693</v>
      </c>
      <c r="S445" s="310"/>
      <c r="V445" s="243" t="s">
        <v>420</v>
      </c>
      <c r="W445" s="243" t="str">
        <f>VLOOKUP(V445,名簿!A:L,3,FALSE)</f>
        <v>技術製造部</v>
      </c>
      <c r="X445" s="243" t="str">
        <f>VLOOKUP(V445,名簿!A:L,4,FALSE)</f>
        <v>製造課</v>
      </c>
      <c r="Y445" s="243" t="str">
        <f>VLOOKUP(V445,名簿!A:L,5,FALSE)</f>
        <v>粉体</v>
      </c>
      <c r="Z445" s="243" t="str">
        <f>VLOOKUP(V445,名簿!A:L,11,FALSE)</f>
        <v>コスメラボラトリー</v>
      </c>
      <c r="AA445" s="243" t="str">
        <f>VLOOKUP(V445,名簿!A:L,12,FALSE)</f>
        <v>2F/作業場南</v>
      </c>
    </row>
    <row r="446" spans="1:27">
      <c r="A446" s="301">
        <v>440</v>
      </c>
      <c r="B446" s="248">
        <v>46071</v>
      </c>
      <c r="F446" s="252" t="s">
        <v>1987</v>
      </c>
      <c r="K446" s="265">
        <v>1</v>
      </c>
      <c r="P446" s="251">
        <v>1</v>
      </c>
      <c r="R446" s="108" t="s">
        <v>355</v>
      </c>
      <c r="S446" s="310"/>
      <c r="V446" s="243" t="s">
        <v>434</v>
      </c>
      <c r="W446" s="243" t="str">
        <f>VLOOKUP(V446,名簿!A:L,3,FALSE)</f>
        <v>技術製造部</v>
      </c>
      <c r="X446" s="243" t="str">
        <f>VLOOKUP(V446,名簿!A:L,4,FALSE)</f>
        <v>製造課</v>
      </c>
      <c r="Y446" s="243" t="str">
        <f>VLOOKUP(V446,名簿!A:L,5,FALSE)</f>
        <v>バルク・顆粒</v>
      </c>
      <c r="Z446" s="243" t="str">
        <f>VLOOKUP(V446,名簿!A:L,11,FALSE)</f>
        <v>コスメファクトリー</v>
      </c>
      <c r="AA446" s="243" t="str">
        <f>VLOOKUP(V446,名簿!A:L,12,FALSE)</f>
        <v>1F/バルク室</v>
      </c>
    </row>
    <row r="447" spans="1:27">
      <c r="A447" s="301">
        <v>441</v>
      </c>
      <c r="B447" s="248">
        <v>46071</v>
      </c>
      <c r="F447" s="252" t="s">
        <v>1987</v>
      </c>
      <c r="K447" s="265">
        <v>1</v>
      </c>
      <c r="P447" s="251">
        <v>1</v>
      </c>
      <c r="R447" s="108" t="s">
        <v>699</v>
      </c>
      <c r="S447" s="310"/>
      <c r="V447" s="243" t="s">
        <v>555</v>
      </c>
      <c r="W447" s="243" t="str">
        <f>VLOOKUP(V447,名簿!A:L,3,FALSE)</f>
        <v>技術製造部</v>
      </c>
      <c r="X447" s="243" t="str">
        <f>VLOOKUP(V447,名簿!A:L,4,FALSE)</f>
        <v>製造課</v>
      </c>
      <c r="Y447" s="243" t="str">
        <f>VLOOKUP(V447,名簿!A:L,5,FALSE)</f>
        <v>液体</v>
      </c>
      <c r="Z447" s="243" t="str">
        <f>VLOOKUP(V447,名簿!A:L,11,FALSE)</f>
        <v>本社</v>
      </c>
      <c r="AA447" s="243" t="str">
        <f>VLOOKUP(V447,名簿!A:L,12,FALSE)</f>
        <v>3F/シンク前</v>
      </c>
    </row>
    <row r="448" spans="1:27" ht="45.6">
      <c r="A448" s="301">
        <v>442</v>
      </c>
      <c r="B448" s="248">
        <v>46071</v>
      </c>
      <c r="D448" s="293">
        <v>46091</v>
      </c>
      <c r="E448" s="249">
        <v>2</v>
      </c>
      <c r="F448" s="252" t="s">
        <v>1987</v>
      </c>
      <c r="G448" s="252" t="s">
        <v>2204</v>
      </c>
      <c r="K448" s="265">
        <v>1</v>
      </c>
      <c r="N448" s="265">
        <v>1</v>
      </c>
      <c r="P448" s="251">
        <v>5</v>
      </c>
      <c r="R448" s="108" t="s">
        <v>706</v>
      </c>
      <c r="S448" s="312" t="s">
        <v>2218</v>
      </c>
      <c r="V448" s="243" t="s">
        <v>495</v>
      </c>
      <c r="W448" s="243" t="str">
        <f>VLOOKUP(V448,名簿!A:L,3,FALSE)</f>
        <v>技術製造部</v>
      </c>
      <c r="X448" s="243" t="str">
        <f>VLOOKUP(V448,名簿!A:L,4,FALSE)</f>
        <v>生産管理課</v>
      </c>
      <c r="Y448" s="243" t="str">
        <f>VLOOKUP(V448,名簿!A:L,5,FALSE)</f>
        <v>生産管理</v>
      </c>
      <c r="Z448" s="243" t="str">
        <f>VLOOKUP(V448,名簿!A:L,11,FALSE)</f>
        <v>本社</v>
      </c>
      <c r="AA448" s="243" t="str">
        <f>VLOOKUP(V448,名簿!A:L,12,FALSE)</f>
        <v>3F/シンク前</v>
      </c>
    </row>
    <row r="449" spans="1:27" ht="34.200000000000003">
      <c r="A449" s="301">
        <v>443</v>
      </c>
      <c r="B449" s="248">
        <v>46071</v>
      </c>
      <c r="D449" s="293">
        <v>46091</v>
      </c>
      <c r="E449" s="249">
        <v>2</v>
      </c>
      <c r="F449" s="252" t="s">
        <v>1987</v>
      </c>
      <c r="G449" s="252" t="s">
        <v>2206</v>
      </c>
      <c r="K449" s="265">
        <v>1</v>
      </c>
      <c r="N449" s="265">
        <v>1</v>
      </c>
      <c r="O449" s="265">
        <v>1</v>
      </c>
      <c r="P449" s="251">
        <v>4</v>
      </c>
      <c r="R449" s="108" t="s">
        <v>2071</v>
      </c>
      <c r="S449" s="312" t="s">
        <v>2216</v>
      </c>
      <c r="T449" s="318" t="s">
        <v>2409</v>
      </c>
      <c r="V449" s="243" t="s">
        <v>403</v>
      </c>
      <c r="W449" s="243" t="str">
        <f>VLOOKUP(V449,名簿!A:L,3,FALSE)</f>
        <v>技術製造部</v>
      </c>
      <c r="X449" s="243" t="str">
        <f>VLOOKUP(V449,名簿!A:L,4,FALSE)</f>
        <v>製造課</v>
      </c>
      <c r="Y449" s="243" t="str">
        <f>VLOOKUP(V449,名簿!A:L,5,FALSE)</f>
        <v>充填包装</v>
      </c>
      <c r="Z449" s="243" t="str">
        <f>VLOOKUP(V449,名簿!A:L,11,FALSE)</f>
        <v>コスメファクトリー</v>
      </c>
      <c r="AA449" s="243" t="str">
        <f>VLOOKUP(V449,名簿!A:L,12,FALSE)</f>
        <v>2F/充填ライン南</v>
      </c>
    </row>
    <row r="450" spans="1:27">
      <c r="A450" s="301">
        <v>444</v>
      </c>
      <c r="B450" s="248">
        <v>46071</v>
      </c>
      <c r="F450" s="252" t="s">
        <v>1987</v>
      </c>
      <c r="K450" s="265">
        <v>1</v>
      </c>
      <c r="P450" s="251">
        <v>1</v>
      </c>
      <c r="R450" s="108" t="s">
        <v>423</v>
      </c>
      <c r="S450" s="310"/>
      <c r="V450" s="243" t="s">
        <v>435</v>
      </c>
      <c r="W450" s="243" t="str">
        <f>VLOOKUP(V450,名簿!A:L,3,FALSE)</f>
        <v>技術製造部</v>
      </c>
      <c r="X450" s="243" t="str">
        <f>VLOOKUP(V450,名簿!A:L,4,FALSE)</f>
        <v>製造課</v>
      </c>
      <c r="Y450" s="243" t="str">
        <f>VLOOKUP(V450,名簿!A:L,5,FALSE)</f>
        <v>バルク・顆粒</v>
      </c>
      <c r="Z450" s="243" t="str">
        <f>VLOOKUP(V450,名簿!A:L,11,FALSE)</f>
        <v>コスメファクトリー</v>
      </c>
      <c r="AA450" s="243" t="str">
        <f>VLOOKUP(V450,名簿!A:L,12,FALSE)</f>
        <v>1F/バルク室</v>
      </c>
    </row>
    <row r="451" spans="1:27" ht="22.8">
      <c r="A451" s="301">
        <v>445</v>
      </c>
      <c r="B451" s="248">
        <v>46072</v>
      </c>
      <c r="F451" s="252" t="s">
        <v>1987</v>
      </c>
      <c r="K451" s="265">
        <v>1</v>
      </c>
      <c r="N451" s="265">
        <v>1</v>
      </c>
      <c r="P451" s="251">
        <v>4</v>
      </c>
      <c r="R451" s="108" t="s">
        <v>2076</v>
      </c>
      <c r="S451" s="310"/>
      <c r="V451" s="243" t="s">
        <v>506</v>
      </c>
      <c r="W451" s="243" t="str">
        <f>VLOOKUP(V451,名簿!A:L,3,FALSE)</f>
        <v>技術製造部</v>
      </c>
      <c r="X451" s="243" t="str">
        <f>VLOOKUP(V451,名簿!A:L,4,FALSE)</f>
        <v>生産管理課</v>
      </c>
      <c r="Y451" s="243" t="str">
        <f>VLOOKUP(V451,名簿!A:L,5,FALSE)</f>
        <v>生産管理</v>
      </c>
      <c r="Z451" s="243" t="str">
        <f>VLOOKUP(V451,名簿!A:L,11,FALSE)</f>
        <v>本社</v>
      </c>
      <c r="AA451" s="243" t="str">
        <f>VLOOKUP(V451,名簿!A:L,12,FALSE)</f>
        <v>3F/シンク前</v>
      </c>
    </row>
    <row r="452" spans="1:27">
      <c r="A452" s="301">
        <v>446</v>
      </c>
      <c r="B452" s="248">
        <v>46072</v>
      </c>
      <c r="F452" s="252" t="s">
        <v>1987</v>
      </c>
      <c r="K452" s="265">
        <v>1</v>
      </c>
      <c r="P452" s="251">
        <v>1</v>
      </c>
      <c r="S452" s="310"/>
      <c r="V452" s="243" t="s">
        <v>547</v>
      </c>
      <c r="W452" s="243" t="str">
        <f>VLOOKUP(V452,名簿!A:L,3,FALSE)</f>
        <v>管理部</v>
      </c>
      <c r="X452" s="243" t="str">
        <f>VLOOKUP(V452,名簿!A:L,4,FALSE)</f>
        <v>管理課</v>
      </c>
      <c r="Y452" s="243" t="str">
        <f>VLOOKUP(V452,名簿!A:L,5,FALSE)</f>
        <v>-</v>
      </c>
      <c r="Z452" s="243" t="str">
        <f>VLOOKUP(V452,名簿!A:L,11,FALSE)</f>
        <v>本社</v>
      </c>
      <c r="AA452" s="243" t="str">
        <f>VLOOKUP(V452,名簿!A:L,12,FALSE)</f>
        <v>3F/シンク前</v>
      </c>
    </row>
    <row r="453" spans="1:27" ht="22.8">
      <c r="A453" s="301">
        <v>447</v>
      </c>
      <c r="B453" s="248">
        <v>46072</v>
      </c>
      <c r="F453" s="252" t="s">
        <v>1987</v>
      </c>
      <c r="K453" s="265">
        <v>1</v>
      </c>
      <c r="O453" s="265">
        <v>1</v>
      </c>
      <c r="P453" s="251">
        <v>4</v>
      </c>
      <c r="R453" s="108" t="s">
        <v>2072</v>
      </c>
      <c r="S453" s="310"/>
      <c r="V453" s="243" t="s">
        <v>535</v>
      </c>
      <c r="W453" s="243" t="str">
        <f>VLOOKUP(V453,名簿!A:L,3,FALSE)</f>
        <v>管理部</v>
      </c>
      <c r="X453" s="243" t="str">
        <f>VLOOKUP(V453,名簿!A:L,4,FALSE)</f>
        <v>管理課</v>
      </c>
      <c r="Y453" s="243" t="str">
        <f>VLOOKUP(V453,名簿!A:L,5,FALSE)</f>
        <v>-</v>
      </c>
      <c r="Z453" s="243" t="str">
        <f>VLOOKUP(V453,名簿!A:L,11,FALSE)</f>
        <v>本社</v>
      </c>
      <c r="AA453" s="243" t="str">
        <f>VLOOKUP(V453,名簿!A:L,12,FALSE)</f>
        <v>3F/シンク前</v>
      </c>
    </row>
    <row r="454" spans="1:27" ht="57">
      <c r="A454" s="301">
        <v>448</v>
      </c>
      <c r="B454" s="248">
        <v>46072</v>
      </c>
      <c r="F454" s="252" t="s">
        <v>1987</v>
      </c>
      <c r="K454" s="265">
        <v>1</v>
      </c>
      <c r="N454" s="265">
        <v>1</v>
      </c>
      <c r="O454" s="265">
        <v>1</v>
      </c>
      <c r="P454" s="251">
        <v>4</v>
      </c>
      <c r="R454" s="108" t="s">
        <v>735</v>
      </c>
      <c r="S454" s="310"/>
      <c r="V454" s="243" t="s">
        <v>541</v>
      </c>
      <c r="W454" s="243" t="str">
        <f>VLOOKUP(V454,名簿!A:L,3,FALSE)</f>
        <v>管理部</v>
      </c>
      <c r="X454" s="243" t="str">
        <f>VLOOKUP(V454,名簿!A:L,4,FALSE)</f>
        <v>管理課</v>
      </c>
      <c r="Y454" s="243" t="str">
        <f>VLOOKUP(V454,名簿!A:L,5,FALSE)</f>
        <v>-</v>
      </c>
      <c r="Z454" s="243" t="str">
        <f>VLOOKUP(V454,名簿!A:L,11,FALSE)</f>
        <v>本社</v>
      </c>
      <c r="AA454" s="243" t="str">
        <f>VLOOKUP(V454,名簿!A:L,12,FALSE)</f>
        <v>3F/シンク前</v>
      </c>
    </row>
    <row r="455" spans="1:27">
      <c r="A455" s="301">
        <v>449</v>
      </c>
      <c r="B455" s="248">
        <v>46066</v>
      </c>
      <c r="F455" s="252" t="s">
        <v>1988</v>
      </c>
      <c r="K455" s="265">
        <v>1</v>
      </c>
      <c r="P455" s="251">
        <v>5</v>
      </c>
      <c r="R455" s="108" t="s">
        <v>616</v>
      </c>
      <c r="S455" s="310"/>
      <c r="V455" s="243" t="s">
        <v>1991</v>
      </c>
      <c r="W455" s="243" t="str">
        <f>VLOOKUP(V455,名簿!A:L,3,FALSE)</f>
        <v>技術製造部</v>
      </c>
      <c r="X455" s="243" t="str">
        <f>VLOOKUP(V455,名簿!A:L,4,FALSE)</f>
        <v>-</v>
      </c>
      <c r="Y455" s="243" t="str">
        <f>VLOOKUP(V455,名簿!A:L,5,FALSE)</f>
        <v>-</v>
      </c>
      <c r="Z455" s="243" t="str">
        <f>VLOOKUP(V455,名簿!A:L,11,FALSE)</f>
        <v>コスメラボラトリー</v>
      </c>
      <c r="AA455" s="243" t="str">
        <f>VLOOKUP(V455,名簿!A:L,12,FALSE)</f>
        <v>2F/事務所</v>
      </c>
    </row>
    <row r="456" spans="1:27">
      <c r="A456" s="301">
        <v>450</v>
      </c>
      <c r="B456" s="248">
        <v>46066</v>
      </c>
      <c r="F456" s="252" t="s">
        <v>1988</v>
      </c>
      <c r="K456" s="265">
        <v>1</v>
      </c>
      <c r="P456" s="251">
        <v>4</v>
      </c>
      <c r="R456" s="108" t="s">
        <v>2053</v>
      </c>
      <c r="S456" s="310"/>
      <c r="V456" s="243" t="s">
        <v>483</v>
      </c>
      <c r="W456" s="243" t="str">
        <f>VLOOKUP(V456,名簿!A:L,3,FALSE)</f>
        <v>技術製造部</v>
      </c>
      <c r="X456" s="243" t="str">
        <f>VLOOKUP(V456,名簿!A:L,4,FALSE)</f>
        <v>生産管理課</v>
      </c>
      <c r="Y456" s="243" t="str">
        <f>VLOOKUP(V456,名簿!A:L,5,FALSE)</f>
        <v>生産管理</v>
      </c>
      <c r="Z456" s="243" t="str">
        <f>VLOOKUP(V456,名簿!A:L,11,FALSE)</f>
        <v>本社</v>
      </c>
      <c r="AA456" s="243" t="str">
        <f>VLOOKUP(V456,名簿!A:L,12,FALSE)</f>
        <v>3F/シンク前</v>
      </c>
    </row>
    <row r="457" spans="1:27">
      <c r="A457" s="301">
        <v>451</v>
      </c>
      <c r="B457" s="248">
        <v>46066</v>
      </c>
      <c r="F457" s="252" t="s">
        <v>1988</v>
      </c>
      <c r="K457" s="265">
        <v>1</v>
      </c>
      <c r="P457" s="251">
        <v>1</v>
      </c>
      <c r="S457" s="310"/>
      <c r="V457" s="243" t="s">
        <v>1992</v>
      </c>
      <c r="W457" s="243" t="str">
        <f>VLOOKUP(V457,名簿!A:L,3,FALSE)</f>
        <v>企画営業部</v>
      </c>
      <c r="X457" s="243" t="str">
        <f>VLOOKUP(V457,名簿!A:L,4,FALSE)</f>
        <v>-</v>
      </c>
      <c r="Y457" s="243" t="str">
        <f>VLOOKUP(V457,名簿!A:L,5,FALSE)</f>
        <v>-</v>
      </c>
      <c r="Z457" s="243" t="str">
        <f>VLOOKUP(V457,名簿!A:L,11,FALSE)</f>
        <v>東京営業所</v>
      </c>
      <c r="AA457" s="243" t="str">
        <f>VLOOKUP(V457,名簿!A:L,12,FALSE)</f>
        <v>-</v>
      </c>
    </row>
    <row r="458" spans="1:27">
      <c r="A458" s="301">
        <v>452</v>
      </c>
      <c r="B458" s="248">
        <v>46066</v>
      </c>
      <c r="F458" s="252" t="s">
        <v>1988</v>
      </c>
      <c r="K458" s="265">
        <v>1</v>
      </c>
      <c r="P458" s="251">
        <v>1</v>
      </c>
      <c r="S458" s="310"/>
      <c r="V458" s="243" t="s">
        <v>471</v>
      </c>
      <c r="W458" s="243" t="str">
        <f>VLOOKUP(V458,名簿!A:L,3,FALSE)</f>
        <v>技術製造部</v>
      </c>
      <c r="X458" s="243" t="str">
        <f>VLOOKUP(V458,名簿!A:L,4,FALSE)</f>
        <v>生産管理課</v>
      </c>
      <c r="Y458" s="243" t="str">
        <f>VLOOKUP(V458,名簿!A:L,5,FALSE)</f>
        <v>生産管理</v>
      </c>
      <c r="Z458" s="243" t="str">
        <f>VLOOKUP(V458,名簿!A:L,11,FALSE)</f>
        <v>本社</v>
      </c>
      <c r="AA458" s="243" t="str">
        <f>VLOOKUP(V458,名簿!A:L,12,FALSE)</f>
        <v>3F/シンク前</v>
      </c>
    </row>
    <row r="459" spans="1:27">
      <c r="A459" s="301">
        <v>453</v>
      </c>
      <c r="B459" s="248">
        <v>46066</v>
      </c>
      <c r="F459" s="252" t="s">
        <v>1988</v>
      </c>
      <c r="K459" s="265">
        <v>1</v>
      </c>
      <c r="P459" s="251">
        <v>1</v>
      </c>
      <c r="S459" s="310"/>
      <c r="V459" s="243" t="s">
        <v>478</v>
      </c>
      <c r="W459" s="243" t="str">
        <f>VLOOKUP(V459,名簿!A:L,3,FALSE)</f>
        <v>技術製造部</v>
      </c>
      <c r="X459" s="243" t="str">
        <f>VLOOKUP(V459,名簿!A:L,4,FALSE)</f>
        <v>生産管理課</v>
      </c>
      <c r="Y459" s="243" t="str">
        <f>VLOOKUP(V459,名簿!A:L,5,FALSE)</f>
        <v>物流</v>
      </c>
      <c r="Z459" s="243" t="str">
        <f>VLOOKUP(V459,名簿!A:L,11,FALSE)</f>
        <v>第一倉庫</v>
      </c>
      <c r="AA459" s="243" t="str">
        <f>VLOOKUP(V459,名簿!A:L,12,FALSE)</f>
        <v>1F/南西角</v>
      </c>
    </row>
    <row r="460" spans="1:27" ht="22.8">
      <c r="A460" s="301">
        <v>454</v>
      </c>
      <c r="B460" s="248">
        <v>46066</v>
      </c>
      <c r="F460" s="252" t="s">
        <v>1988</v>
      </c>
      <c r="K460" s="265">
        <v>1</v>
      </c>
      <c r="N460" s="265">
        <v>1</v>
      </c>
      <c r="P460" s="251">
        <v>4</v>
      </c>
      <c r="R460" s="108" t="s">
        <v>2073</v>
      </c>
      <c r="S460" s="310"/>
      <c r="V460" s="243" t="s">
        <v>636</v>
      </c>
      <c r="W460" s="243" t="str">
        <f>VLOOKUP(V460,名簿!A:L,3,FALSE)</f>
        <v>企画営業部</v>
      </c>
      <c r="X460" s="243" t="str">
        <f>VLOOKUP(V460,名簿!A:L,4,FALSE)</f>
        <v>営業課</v>
      </c>
      <c r="Y460" s="243" t="str">
        <f>VLOOKUP(V460,名簿!A:L,5,FALSE)</f>
        <v>-</v>
      </c>
      <c r="Z460" s="243" t="str">
        <f>VLOOKUP(V460,名簿!A:L,11,FALSE)</f>
        <v>東京営業所</v>
      </c>
      <c r="AA460" s="243" t="str">
        <f>VLOOKUP(V460,名簿!A:L,12,FALSE)</f>
        <v>-</v>
      </c>
    </row>
    <row r="461" spans="1:27">
      <c r="A461" s="301">
        <v>455</v>
      </c>
      <c r="B461" s="248">
        <v>46066</v>
      </c>
      <c r="F461" s="252" t="s">
        <v>1988</v>
      </c>
      <c r="K461" s="265">
        <v>1</v>
      </c>
      <c r="P461" s="251">
        <v>1</v>
      </c>
      <c r="S461" s="310"/>
      <c r="V461" s="243" t="s">
        <v>560</v>
      </c>
      <c r="W461" s="243" t="str">
        <f>VLOOKUP(V461,名簿!A:L,3,FALSE)</f>
        <v>技術製造部</v>
      </c>
      <c r="X461" s="243" t="str">
        <f>VLOOKUP(V461,名簿!A:L,4,FALSE)</f>
        <v>製造課</v>
      </c>
      <c r="Y461" s="243" t="str">
        <f>VLOOKUP(V461,名簿!A:L,5,FALSE)</f>
        <v>液体</v>
      </c>
      <c r="Z461" s="243" t="str">
        <f>VLOOKUP(V461,名簿!A:L,11,FALSE)</f>
        <v>本社</v>
      </c>
      <c r="AA461" s="243" t="str">
        <f>VLOOKUP(V461,名簿!A:L,12,FALSE)</f>
        <v>3F/シンク前</v>
      </c>
    </row>
    <row r="462" spans="1:27">
      <c r="A462" s="301">
        <v>456</v>
      </c>
      <c r="B462" s="248">
        <v>46069</v>
      </c>
      <c r="F462" s="252" t="s">
        <v>1988</v>
      </c>
      <c r="K462" s="265">
        <v>1</v>
      </c>
      <c r="N462" s="265">
        <v>1</v>
      </c>
      <c r="P462" s="251">
        <v>5</v>
      </c>
      <c r="R462" s="108" t="s">
        <v>648</v>
      </c>
      <c r="S462" s="310"/>
      <c r="V462" s="243" t="s">
        <v>646</v>
      </c>
      <c r="W462" s="243" t="str">
        <f>VLOOKUP(V462,名簿!A:L,3,FALSE)</f>
        <v>企画営業部</v>
      </c>
      <c r="X462" s="243" t="str">
        <f>VLOOKUP(V462,名簿!A:L,4,FALSE)</f>
        <v>営業課</v>
      </c>
      <c r="Y462" s="243" t="str">
        <f>VLOOKUP(V462,名簿!A:L,5,FALSE)</f>
        <v>-</v>
      </c>
      <c r="Z462" s="243" t="str">
        <f>VLOOKUP(V462,名簿!A:L,11,FALSE)</f>
        <v>東京営業所</v>
      </c>
      <c r="AA462" s="243" t="str">
        <f>VLOOKUP(V462,名簿!A:L,12,FALSE)</f>
        <v>-</v>
      </c>
    </row>
    <row r="463" spans="1:27" ht="34.200000000000003">
      <c r="A463" s="301">
        <v>457</v>
      </c>
      <c r="B463" s="248">
        <v>46069</v>
      </c>
      <c r="F463" s="252" t="s">
        <v>1988</v>
      </c>
      <c r="K463" s="265">
        <v>1</v>
      </c>
      <c r="N463" s="265">
        <v>1</v>
      </c>
      <c r="P463" s="251">
        <v>5</v>
      </c>
      <c r="R463" s="108" t="s">
        <v>655</v>
      </c>
      <c r="S463" s="310"/>
      <c r="V463" s="243" t="s">
        <v>568</v>
      </c>
      <c r="W463" s="243" t="str">
        <f>VLOOKUP(V463,名簿!A:L,3,FALSE)</f>
        <v>品質保証部</v>
      </c>
      <c r="X463" s="243" t="str">
        <f>VLOOKUP(V463,名簿!A:L,4,FALSE)</f>
        <v>品質管理課</v>
      </c>
      <c r="Y463" s="243" t="str">
        <f>VLOOKUP(V463,名簿!A:L,5,FALSE)</f>
        <v>-</v>
      </c>
      <c r="Z463" s="243" t="str">
        <f>VLOOKUP(V463,名簿!A:L,11,FALSE)</f>
        <v>本社</v>
      </c>
      <c r="AA463" s="243" t="str">
        <f>VLOOKUP(V463,名簿!A:L,12,FALSE)</f>
        <v>3F/シンク前</v>
      </c>
    </row>
    <row r="464" spans="1:27">
      <c r="A464" s="301">
        <v>458</v>
      </c>
      <c r="B464" s="248">
        <v>46070</v>
      </c>
      <c r="F464" s="252" t="s">
        <v>1988</v>
      </c>
      <c r="K464" s="265">
        <v>1</v>
      </c>
      <c r="P464" s="251">
        <v>1</v>
      </c>
      <c r="R464" s="108" t="s">
        <v>662</v>
      </c>
      <c r="S464" s="310"/>
      <c r="V464" s="243" t="s">
        <v>501</v>
      </c>
      <c r="W464" s="243" t="str">
        <f>VLOOKUP(V464,名簿!A:L,3,FALSE)</f>
        <v>技術製造部</v>
      </c>
      <c r="X464" s="243" t="str">
        <f>VLOOKUP(V464,名簿!A:L,4,FALSE)</f>
        <v>製造課</v>
      </c>
      <c r="Y464" s="243" t="str">
        <f>VLOOKUP(V464,名簿!A:L,5,FALSE)</f>
        <v>粉体</v>
      </c>
      <c r="Z464" s="243" t="str">
        <f>VLOOKUP(V464,名簿!A:L,11,FALSE)</f>
        <v>本社</v>
      </c>
      <c r="AA464" s="243" t="str">
        <f>VLOOKUP(V464,名簿!A:L,12,FALSE)</f>
        <v>3F/シンク前</v>
      </c>
    </row>
    <row r="465" spans="1:27">
      <c r="A465" s="301">
        <v>459</v>
      </c>
      <c r="B465" s="248">
        <v>46070</v>
      </c>
      <c r="F465" s="252" t="s">
        <v>1988</v>
      </c>
      <c r="K465" s="265">
        <v>1</v>
      </c>
      <c r="P465" s="251">
        <v>1</v>
      </c>
      <c r="R465" s="108" t="s">
        <v>668</v>
      </c>
      <c r="S465" s="310"/>
      <c r="V465" s="243" t="s">
        <v>524</v>
      </c>
      <c r="W465" s="243" t="str">
        <f>VLOOKUP(V465,名簿!A:L,3,FALSE)</f>
        <v>企画営業部</v>
      </c>
      <c r="X465" s="243" t="str">
        <f>VLOOKUP(V465,名簿!A:L,4,FALSE)</f>
        <v>企画課</v>
      </c>
      <c r="Y465" s="243" t="str">
        <f>VLOOKUP(V465,名簿!A:L,5,FALSE)</f>
        <v>-</v>
      </c>
      <c r="Z465" s="243" t="str">
        <f>VLOOKUP(V465,名簿!A:L,11,FALSE)</f>
        <v>本社</v>
      </c>
      <c r="AA465" s="243" t="str">
        <f>VLOOKUP(V465,名簿!A:L,12,FALSE)</f>
        <v>3F/シンク前</v>
      </c>
    </row>
    <row r="466" spans="1:27">
      <c r="A466" s="301">
        <v>460</v>
      </c>
      <c r="B466" s="248">
        <v>46070</v>
      </c>
      <c r="F466" s="252" t="s">
        <v>1988</v>
      </c>
      <c r="K466" s="265">
        <v>1</v>
      </c>
      <c r="P466" s="251">
        <v>1</v>
      </c>
      <c r="R466" s="108" t="s">
        <v>423</v>
      </c>
      <c r="S466" s="310"/>
      <c r="V466" s="243" t="s">
        <v>512</v>
      </c>
      <c r="W466" s="243" t="str">
        <f>VLOOKUP(V466,名簿!A:L,3,FALSE)</f>
        <v>技術製造部</v>
      </c>
      <c r="X466" s="243" t="str">
        <f>VLOOKUP(V466,名簿!A:L,4,FALSE)</f>
        <v>生産管理課</v>
      </c>
      <c r="Y466" s="243" t="str">
        <f>VLOOKUP(V466,名簿!A:L,5,FALSE)</f>
        <v>生産管理事務</v>
      </c>
      <c r="Z466" s="243" t="str">
        <f>VLOOKUP(V466,名簿!A:L,11,FALSE)</f>
        <v>本社</v>
      </c>
      <c r="AA466" s="243" t="str">
        <f>VLOOKUP(V466,名簿!A:L,12,FALSE)</f>
        <v>3F/シンク前</v>
      </c>
    </row>
    <row r="467" spans="1:27">
      <c r="A467" s="301">
        <v>461</v>
      </c>
      <c r="B467" s="248">
        <v>46070</v>
      </c>
      <c r="F467" s="252" t="s">
        <v>1988</v>
      </c>
      <c r="K467" s="265">
        <v>1</v>
      </c>
      <c r="P467" s="251">
        <v>1</v>
      </c>
      <c r="R467" s="108" t="s">
        <v>358</v>
      </c>
      <c r="S467" s="310"/>
      <c r="V467" s="243" t="s">
        <v>458</v>
      </c>
      <c r="W467" s="243" t="str">
        <f>VLOOKUP(V467,名簿!A:L,3,FALSE)</f>
        <v>研究開発部</v>
      </c>
      <c r="X467" s="243" t="str">
        <f>VLOOKUP(V467,名簿!A:L,4,FALSE)</f>
        <v>研究開発課</v>
      </c>
      <c r="Y467" s="243" t="str">
        <f>VLOOKUP(V467,名簿!A:L,5,FALSE)</f>
        <v>-</v>
      </c>
      <c r="Z467" s="243" t="str">
        <f>VLOOKUP(V467,名簿!A:L,11,FALSE)</f>
        <v>コスメラボラトリー</v>
      </c>
      <c r="AA467" s="243" t="str">
        <f>VLOOKUP(V467,名簿!A:L,12,FALSE)</f>
        <v>3F/事務所</v>
      </c>
    </row>
    <row r="468" spans="1:27" ht="22.8">
      <c r="A468" s="301">
        <v>462</v>
      </c>
      <c r="B468" s="248">
        <v>46070</v>
      </c>
      <c r="F468" s="252" t="s">
        <v>1988</v>
      </c>
      <c r="K468" s="265">
        <v>1</v>
      </c>
      <c r="N468" s="265">
        <v>1</v>
      </c>
      <c r="P468" s="251">
        <v>4</v>
      </c>
      <c r="R468" s="108" t="s">
        <v>681</v>
      </c>
      <c r="S468" s="310"/>
      <c r="V468" s="243" t="s">
        <v>530</v>
      </c>
      <c r="W468" s="243" t="str">
        <f>VLOOKUP(V468,名簿!A:L,3,FALSE)</f>
        <v>品質保証部</v>
      </c>
      <c r="X468" s="243" t="str">
        <f>VLOOKUP(V468,名簿!A:L,4,FALSE)</f>
        <v>品質管理課</v>
      </c>
      <c r="Y468" s="243" t="str">
        <f>VLOOKUP(V468,名簿!A:L,5,FALSE)</f>
        <v>-</v>
      </c>
      <c r="Z468" s="243" t="str">
        <f>VLOOKUP(V468,名簿!A:L,11,FALSE)</f>
        <v>本社</v>
      </c>
      <c r="AA468" s="243" t="str">
        <f>VLOOKUP(V468,名簿!A:L,12,FALSE)</f>
        <v>3F/シンク前</v>
      </c>
    </row>
    <row r="469" spans="1:27" ht="91.2">
      <c r="A469" s="301">
        <v>463</v>
      </c>
      <c r="B469" s="248">
        <v>46070</v>
      </c>
      <c r="F469" s="252" t="s">
        <v>1988</v>
      </c>
      <c r="K469" s="265">
        <v>1</v>
      </c>
      <c r="O469" s="265">
        <v>1</v>
      </c>
      <c r="P469" s="251">
        <v>4</v>
      </c>
      <c r="R469" s="108" t="s">
        <v>2054</v>
      </c>
      <c r="S469" s="310"/>
      <c r="V469" s="243" t="s">
        <v>427</v>
      </c>
      <c r="W469" s="243" t="str">
        <f>VLOOKUP(V469,名簿!A:L,3,FALSE)</f>
        <v>技術製造部</v>
      </c>
      <c r="X469" s="243" t="str">
        <f>VLOOKUP(V469,名簿!A:L,4,FALSE)</f>
        <v>製造課</v>
      </c>
      <c r="Y469" s="243" t="str">
        <f>VLOOKUP(V469,名簿!A:L,5,FALSE)</f>
        <v>バルク・顆粒</v>
      </c>
      <c r="Z469" s="243" t="str">
        <f>VLOOKUP(V469,名簿!A:L,11,FALSE)</f>
        <v>コスメファクトリー</v>
      </c>
      <c r="AA469" s="243" t="str">
        <f>VLOOKUP(V469,名簿!A:L,12,FALSE)</f>
        <v>1F/バルク室</v>
      </c>
    </row>
    <row r="470" spans="1:27">
      <c r="A470" s="301">
        <v>464</v>
      </c>
      <c r="B470" s="248">
        <v>46070</v>
      </c>
      <c r="F470" s="252" t="s">
        <v>1988</v>
      </c>
      <c r="K470" s="265">
        <v>1</v>
      </c>
      <c r="P470" s="251">
        <v>1</v>
      </c>
      <c r="R470" s="108" t="s">
        <v>689</v>
      </c>
      <c r="S470" s="310"/>
      <c r="V470" s="243" t="s">
        <v>1994</v>
      </c>
      <c r="W470" s="243" t="str">
        <f>VLOOKUP(V470,名簿!A:L,3,FALSE)</f>
        <v>技術製造部</v>
      </c>
      <c r="X470" s="243" t="str">
        <f>VLOOKUP(V470,名簿!A:L,4,FALSE)</f>
        <v>製造課</v>
      </c>
      <c r="Y470" s="243" t="str">
        <f>VLOOKUP(V470,名簿!A:L,5,FALSE)</f>
        <v>バルク・顆粒</v>
      </c>
      <c r="Z470" s="243" t="str">
        <f>VLOOKUP(V470,名簿!A:L,11,FALSE)</f>
        <v>コスメラボラトリー</v>
      </c>
      <c r="AA470" s="243" t="str">
        <f>VLOOKUP(V470,名簿!A:L,12,FALSE)</f>
        <v>2F/事務所</v>
      </c>
    </row>
    <row r="471" spans="1:27" ht="22.8">
      <c r="A471" s="301">
        <v>465</v>
      </c>
      <c r="B471" s="248">
        <v>46070</v>
      </c>
      <c r="D471" s="293">
        <v>46091</v>
      </c>
      <c r="E471" s="249">
        <v>1</v>
      </c>
      <c r="F471" s="252" t="s">
        <v>1988</v>
      </c>
      <c r="G471" s="252" t="s">
        <v>2205</v>
      </c>
      <c r="K471" s="265">
        <v>1</v>
      </c>
      <c r="N471" s="265">
        <v>1</v>
      </c>
      <c r="P471" s="251">
        <v>4</v>
      </c>
      <c r="R471" s="108" t="s">
        <v>692</v>
      </c>
      <c r="S471" s="312" t="s">
        <v>2216</v>
      </c>
      <c r="T471" s="108" t="s">
        <v>2411</v>
      </c>
      <c r="V471" s="243" t="s">
        <v>489</v>
      </c>
      <c r="W471" s="243" t="str">
        <f>VLOOKUP(V471,名簿!A:L,3,FALSE)</f>
        <v>技術製造部</v>
      </c>
      <c r="X471" s="243" t="str">
        <f>VLOOKUP(V471,名簿!A:L,4,FALSE)</f>
        <v>生産管理課</v>
      </c>
      <c r="Y471" s="243" t="str">
        <f>VLOOKUP(V471,名簿!A:L,5,FALSE)</f>
        <v>生産管理事務</v>
      </c>
      <c r="Z471" s="243" t="str">
        <f>VLOOKUP(V471,名簿!A:L,11,FALSE)</f>
        <v>本社</v>
      </c>
      <c r="AA471" s="243" t="str">
        <f>VLOOKUP(V471,名簿!A:L,12,FALSE)</f>
        <v>3F/シンク前</v>
      </c>
    </row>
    <row r="472" spans="1:27">
      <c r="A472" s="301">
        <v>466</v>
      </c>
      <c r="B472" s="248">
        <v>46071</v>
      </c>
      <c r="F472" s="252" t="s">
        <v>1988</v>
      </c>
      <c r="K472" s="265">
        <v>1</v>
      </c>
      <c r="P472" s="251">
        <v>1</v>
      </c>
      <c r="R472" s="108" t="s">
        <v>360</v>
      </c>
      <c r="S472" s="310"/>
      <c r="V472" s="243" t="s">
        <v>420</v>
      </c>
      <c r="W472" s="243" t="str">
        <f>VLOOKUP(V472,名簿!A:L,3,FALSE)</f>
        <v>技術製造部</v>
      </c>
      <c r="X472" s="243" t="str">
        <f>VLOOKUP(V472,名簿!A:L,4,FALSE)</f>
        <v>製造課</v>
      </c>
      <c r="Y472" s="243" t="str">
        <f>VLOOKUP(V472,名簿!A:L,5,FALSE)</f>
        <v>粉体</v>
      </c>
      <c r="Z472" s="243" t="str">
        <f>VLOOKUP(V472,名簿!A:L,11,FALSE)</f>
        <v>コスメラボラトリー</v>
      </c>
      <c r="AA472" s="243" t="str">
        <f>VLOOKUP(V472,名簿!A:L,12,FALSE)</f>
        <v>2F/作業場南</v>
      </c>
    </row>
    <row r="473" spans="1:27">
      <c r="A473" s="301">
        <v>467</v>
      </c>
      <c r="B473" s="248">
        <v>46071</v>
      </c>
      <c r="F473" s="252" t="s">
        <v>1988</v>
      </c>
      <c r="K473" s="265">
        <v>1</v>
      </c>
      <c r="P473" s="251">
        <v>1</v>
      </c>
      <c r="R473" s="108" t="s">
        <v>355</v>
      </c>
      <c r="S473" s="310"/>
      <c r="V473" s="243" t="s">
        <v>434</v>
      </c>
      <c r="W473" s="243" t="str">
        <f>VLOOKUP(V473,名簿!A:L,3,FALSE)</f>
        <v>技術製造部</v>
      </c>
      <c r="X473" s="243" t="str">
        <f>VLOOKUP(V473,名簿!A:L,4,FALSE)</f>
        <v>製造課</v>
      </c>
      <c r="Y473" s="243" t="str">
        <f>VLOOKUP(V473,名簿!A:L,5,FALSE)</f>
        <v>バルク・顆粒</v>
      </c>
      <c r="Z473" s="243" t="str">
        <f>VLOOKUP(V473,名簿!A:L,11,FALSE)</f>
        <v>コスメファクトリー</v>
      </c>
      <c r="AA473" s="243" t="str">
        <f>VLOOKUP(V473,名簿!A:L,12,FALSE)</f>
        <v>1F/バルク室</v>
      </c>
    </row>
    <row r="474" spans="1:27" ht="22.8">
      <c r="A474" s="301">
        <v>468</v>
      </c>
      <c r="B474" s="248">
        <v>46071</v>
      </c>
      <c r="F474" s="252" t="s">
        <v>1988</v>
      </c>
      <c r="K474" s="265">
        <v>1</v>
      </c>
      <c r="P474" s="251">
        <v>2</v>
      </c>
      <c r="R474" s="108" t="s">
        <v>700</v>
      </c>
      <c r="S474" s="310"/>
      <c r="V474" s="243" t="s">
        <v>555</v>
      </c>
      <c r="W474" s="243" t="str">
        <f>VLOOKUP(V474,名簿!A:L,3,FALSE)</f>
        <v>技術製造部</v>
      </c>
      <c r="X474" s="243" t="str">
        <f>VLOOKUP(V474,名簿!A:L,4,FALSE)</f>
        <v>製造課</v>
      </c>
      <c r="Y474" s="243" t="str">
        <f>VLOOKUP(V474,名簿!A:L,5,FALSE)</f>
        <v>液体</v>
      </c>
      <c r="Z474" s="243" t="str">
        <f>VLOOKUP(V474,名簿!A:L,11,FALSE)</f>
        <v>本社</v>
      </c>
      <c r="AA474" s="243" t="str">
        <f>VLOOKUP(V474,名簿!A:L,12,FALSE)</f>
        <v>3F/シンク前</v>
      </c>
    </row>
    <row r="475" spans="1:27" ht="45.6">
      <c r="A475" s="301">
        <v>469</v>
      </c>
      <c r="B475" s="248">
        <v>46071</v>
      </c>
      <c r="D475" s="293">
        <v>46091</v>
      </c>
      <c r="E475" s="249">
        <v>2</v>
      </c>
      <c r="F475" s="252" t="s">
        <v>1988</v>
      </c>
      <c r="G475" s="252" t="s">
        <v>2205</v>
      </c>
      <c r="K475" s="265">
        <v>1</v>
      </c>
      <c r="N475" s="265">
        <v>1</v>
      </c>
      <c r="P475" s="251">
        <v>5</v>
      </c>
      <c r="R475" s="108" t="s">
        <v>707</v>
      </c>
      <c r="S475" s="312" t="s">
        <v>2218</v>
      </c>
      <c r="V475" s="243" t="s">
        <v>495</v>
      </c>
      <c r="W475" s="243" t="str">
        <f>VLOOKUP(V475,名簿!A:L,3,FALSE)</f>
        <v>技術製造部</v>
      </c>
      <c r="X475" s="243" t="str">
        <f>VLOOKUP(V475,名簿!A:L,4,FALSE)</f>
        <v>生産管理課</v>
      </c>
      <c r="Y475" s="243" t="str">
        <f>VLOOKUP(V475,名簿!A:L,5,FALSE)</f>
        <v>生産管理</v>
      </c>
      <c r="Z475" s="243" t="str">
        <f>VLOOKUP(V475,名簿!A:L,11,FALSE)</f>
        <v>本社</v>
      </c>
      <c r="AA475" s="243" t="str">
        <f>VLOOKUP(V475,名簿!A:L,12,FALSE)</f>
        <v>3F/シンク前</v>
      </c>
    </row>
    <row r="476" spans="1:27">
      <c r="A476" s="301">
        <v>470</v>
      </c>
      <c r="B476" s="248">
        <v>46071</v>
      </c>
      <c r="F476" s="252" t="s">
        <v>1988</v>
      </c>
      <c r="K476" s="265">
        <v>1</v>
      </c>
      <c r="P476" s="251">
        <v>1</v>
      </c>
      <c r="R476" s="108" t="s">
        <v>712</v>
      </c>
      <c r="S476" s="310"/>
      <c r="V476" s="243" t="s">
        <v>403</v>
      </c>
      <c r="W476" s="243" t="str">
        <f>VLOOKUP(V476,名簿!A:L,3,FALSE)</f>
        <v>技術製造部</v>
      </c>
      <c r="X476" s="243" t="str">
        <f>VLOOKUP(V476,名簿!A:L,4,FALSE)</f>
        <v>製造課</v>
      </c>
      <c r="Y476" s="243" t="str">
        <f>VLOOKUP(V476,名簿!A:L,5,FALSE)</f>
        <v>充填包装</v>
      </c>
      <c r="Z476" s="243" t="str">
        <f>VLOOKUP(V476,名簿!A:L,11,FALSE)</f>
        <v>コスメファクトリー</v>
      </c>
      <c r="AA476" s="243" t="str">
        <f>VLOOKUP(V476,名簿!A:L,12,FALSE)</f>
        <v>2F/充填ライン南</v>
      </c>
    </row>
    <row r="477" spans="1:27">
      <c r="A477" s="301">
        <v>471</v>
      </c>
      <c r="B477" s="248">
        <v>46071</v>
      </c>
      <c r="F477" s="252" t="s">
        <v>1988</v>
      </c>
      <c r="K477" s="265">
        <v>1</v>
      </c>
      <c r="P477" s="251">
        <v>1</v>
      </c>
      <c r="R477" s="108" t="s">
        <v>423</v>
      </c>
      <c r="S477" s="310"/>
      <c r="V477" s="243" t="s">
        <v>435</v>
      </c>
      <c r="W477" s="243" t="str">
        <f>VLOOKUP(V477,名簿!A:L,3,FALSE)</f>
        <v>技術製造部</v>
      </c>
      <c r="X477" s="243" t="str">
        <f>VLOOKUP(V477,名簿!A:L,4,FALSE)</f>
        <v>製造課</v>
      </c>
      <c r="Y477" s="243" t="str">
        <f>VLOOKUP(V477,名簿!A:L,5,FALSE)</f>
        <v>バルク・顆粒</v>
      </c>
      <c r="Z477" s="243" t="str">
        <f>VLOOKUP(V477,名簿!A:L,11,FALSE)</f>
        <v>コスメファクトリー</v>
      </c>
      <c r="AA477" s="243" t="str">
        <f>VLOOKUP(V477,名簿!A:L,12,FALSE)</f>
        <v>1F/バルク室</v>
      </c>
    </row>
    <row r="478" spans="1:27" ht="22.8">
      <c r="A478" s="301">
        <v>472</v>
      </c>
      <c r="B478" s="248">
        <v>46072</v>
      </c>
      <c r="F478" s="252" t="s">
        <v>1988</v>
      </c>
      <c r="K478" s="265">
        <v>1</v>
      </c>
      <c r="N478" s="265">
        <v>1</v>
      </c>
      <c r="P478" s="251">
        <v>4</v>
      </c>
      <c r="R478" s="108" t="s">
        <v>2077</v>
      </c>
      <c r="S478" s="310"/>
      <c r="V478" s="243" t="s">
        <v>506</v>
      </c>
      <c r="W478" s="243" t="str">
        <f>VLOOKUP(V478,名簿!A:L,3,FALSE)</f>
        <v>技術製造部</v>
      </c>
      <c r="X478" s="243" t="str">
        <f>VLOOKUP(V478,名簿!A:L,4,FALSE)</f>
        <v>生産管理課</v>
      </c>
      <c r="Y478" s="243" t="str">
        <f>VLOOKUP(V478,名簿!A:L,5,FALSE)</f>
        <v>生産管理</v>
      </c>
      <c r="Z478" s="243" t="str">
        <f>VLOOKUP(V478,名簿!A:L,11,FALSE)</f>
        <v>本社</v>
      </c>
      <c r="AA478" s="243" t="str">
        <f>VLOOKUP(V478,名簿!A:L,12,FALSE)</f>
        <v>3F/シンク前</v>
      </c>
    </row>
    <row r="479" spans="1:27" ht="34.200000000000003">
      <c r="A479" s="301">
        <v>473</v>
      </c>
      <c r="B479" s="248">
        <v>46072</v>
      </c>
      <c r="F479" s="252" t="s">
        <v>1988</v>
      </c>
      <c r="K479" s="265">
        <v>1</v>
      </c>
      <c r="N479" s="265">
        <v>1</v>
      </c>
      <c r="O479" s="265">
        <v>1</v>
      </c>
      <c r="P479" s="251">
        <v>4</v>
      </c>
      <c r="R479" s="108" t="s">
        <v>2074</v>
      </c>
      <c r="S479" s="310"/>
      <c r="V479" s="243" t="s">
        <v>547</v>
      </c>
      <c r="W479" s="243" t="str">
        <f>VLOOKUP(V479,名簿!A:L,3,FALSE)</f>
        <v>管理部</v>
      </c>
      <c r="X479" s="243" t="str">
        <f>VLOOKUP(V479,名簿!A:L,4,FALSE)</f>
        <v>管理課</v>
      </c>
      <c r="Y479" s="243" t="str">
        <f>VLOOKUP(V479,名簿!A:L,5,FALSE)</f>
        <v>-</v>
      </c>
      <c r="Z479" s="243" t="str">
        <f>VLOOKUP(V479,名簿!A:L,11,FALSE)</f>
        <v>本社</v>
      </c>
      <c r="AA479" s="243" t="str">
        <f>VLOOKUP(V479,名簿!A:L,12,FALSE)</f>
        <v>3F/シンク前</v>
      </c>
    </row>
    <row r="480" spans="1:27">
      <c r="A480" s="301">
        <v>474</v>
      </c>
      <c r="B480" s="248">
        <v>46072</v>
      </c>
      <c r="F480" s="252" t="s">
        <v>1988</v>
      </c>
      <c r="K480" s="265">
        <v>1</v>
      </c>
      <c r="N480" s="265">
        <v>1</v>
      </c>
      <c r="O480" s="265">
        <v>1</v>
      </c>
      <c r="P480" s="251">
        <v>4</v>
      </c>
      <c r="R480" s="108" t="s">
        <v>2075</v>
      </c>
      <c r="S480" s="310"/>
      <c r="V480" s="243" t="s">
        <v>535</v>
      </c>
      <c r="W480" s="243" t="str">
        <f>VLOOKUP(V480,名簿!A:L,3,FALSE)</f>
        <v>管理部</v>
      </c>
      <c r="X480" s="243" t="str">
        <f>VLOOKUP(V480,名簿!A:L,4,FALSE)</f>
        <v>管理課</v>
      </c>
      <c r="Y480" s="243" t="str">
        <f>VLOOKUP(V480,名簿!A:L,5,FALSE)</f>
        <v>-</v>
      </c>
      <c r="Z480" s="243" t="str">
        <f>VLOOKUP(V480,名簿!A:L,11,FALSE)</f>
        <v>本社</v>
      </c>
      <c r="AA480" s="243" t="str">
        <f>VLOOKUP(V480,名簿!A:L,12,FALSE)</f>
        <v>3F/シンク前</v>
      </c>
    </row>
    <row r="481" spans="1:27">
      <c r="A481" s="301">
        <v>475</v>
      </c>
      <c r="B481" s="248">
        <v>46072</v>
      </c>
      <c r="F481" s="252" t="s">
        <v>1988</v>
      </c>
      <c r="K481" s="265">
        <v>1</v>
      </c>
      <c r="P481" s="251">
        <v>1</v>
      </c>
      <c r="R481" s="108" t="s">
        <v>736</v>
      </c>
      <c r="S481" s="310"/>
      <c r="V481" s="243" t="s">
        <v>541</v>
      </c>
      <c r="W481" s="243" t="str">
        <f>VLOOKUP(V481,名簿!A:L,3,FALSE)</f>
        <v>管理部</v>
      </c>
      <c r="X481" s="243" t="str">
        <f>VLOOKUP(V481,名簿!A:L,4,FALSE)</f>
        <v>管理課</v>
      </c>
      <c r="Y481" s="243" t="str">
        <f>VLOOKUP(V481,名簿!A:L,5,FALSE)</f>
        <v>-</v>
      </c>
      <c r="Z481" s="243" t="str">
        <f>VLOOKUP(V481,名簿!A:L,11,FALSE)</f>
        <v>本社</v>
      </c>
      <c r="AA481" s="243" t="str">
        <f>VLOOKUP(V481,名簿!A:L,12,FALSE)</f>
        <v>3F/シンク前</v>
      </c>
    </row>
    <row r="482" spans="1:27">
      <c r="A482" s="301">
        <v>476</v>
      </c>
      <c r="B482" s="248">
        <v>46066</v>
      </c>
      <c r="F482" s="252" t="s">
        <v>1989</v>
      </c>
      <c r="K482" s="265">
        <v>1</v>
      </c>
      <c r="P482" s="251">
        <v>4</v>
      </c>
      <c r="R482" s="108" t="s">
        <v>617</v>
      </c>
      <c r="S482" s="310"/>
      <c r="V482" s="243" t="s">
        <v>1991</v>
      </c>
      <c r="W482" s="243" t="str">
        <f>VLOOKUP(V482,名簿!A:L,3,FALSE)</f>
        <v>技術製造部</v>
      </c>
      <c r="X482" s="243" t="str">
        <f>VLOOKUP(V482,名簿!A:L,4,FALSE)</f>
        <v>-</v>
      </c>
      <c r="Y482" s="243" t="str">
        <f>VLOOKUP(V482,名簿!A:L,5,FALSE)</f>
        <v>-</v>
      </c>
      <c r="Z482" s="243" t="str">
        <f>VLOOKUP(V482,名簿!A:L,11,FALSE)</f>
        <v>コスメラボラトリー</v>
      </c>
      <c r="AA482" s="243" t="str">
        <f>VLOOKUP(V482,名簿!A:L,12,FALSE)</f>
        <v>2F/事務所</v>
      </c>
    </row>
    <row r="483" spans="1:27">
      <c r="A483" s="301">
        <v>477</v>
      </c>
      <c r="B483" s="248">
        <v>46066</v>
      </c>
      <c r="F483" s="252" t="s">
        <v>1989</v>
      </c>
      <c r="K483" s="265">
        <v>1</v>
      </c>
      <c r="P483" s="251">
        <v>2</v>
      </c>
      <c r="R483" s="108" t="s">
        <v>2078</v>
      </c>
      <c r="S483" s="310"/>
      <c r="V483" s="243" t="s">
        <v>483</v>
      </c>
      <c r="W483" s="243" t="str">
        <f>VLOOKUP(V483,名簿!A:L,3,FALSE)</f>
        <v>技術製造部</v>
      </c>
      <c r="X483" s="243" t="str">
        <f>VLOOKUP(V483,名簿!A:L,4,FALSE)</f>
        <v>生産管理課</v>
      </c>
      <c r="Y483" s="243" t="str">
        <f>VLOOKUP(V483,名簿!A:L,5,FALSE)</f>
        <v>生産管理</v>
      </c>
      <c r="Z483" s="243" t="str">
        <f>VLOOKUP(V483,名簿!A:L,11,FALSE)</f>
        <v>本社</v>
      </c>
      <c r="AA483" s="243" t="str">
        <f>VLOOKUP(V483,名簿!A:L,12,FALSE)</f>
        <v>3F/シンク前</v>
      </c>
    </row>
    <row r="484" spans="1:27">
      <c r="A484" s="301">
        <v>478</v>
      </c>
      <c r="B484" s="248">
        <v>46066</v>
      </c>
      <c r="F484" s="252" t="s">
        <v>1989</v>
      </c>
      <c r="K484" s="265">
        <v>1</v>
      </c>
      <c r="P484" s="251">
        <v>1</v>
      </c>
      <c r="S484" s="310"/>
      <c r="V484" s="243" t="s">
        <v>1992</v>
      </c>
      <c r="W484" s="243" t="str">
        <f>VLOOKUP(V484,名簿!A:L,3,FALSE)</f>
        <v>企画営業部</v>
      </c>
      <c r="X484" s="243" t="str">
        <f>VLOOKUP(V484,名簿!A:L,4,FALSE)</f>
        <v>-</v>
      </c>
      <c r="Y484" s="243" t="str">
        <f>VLOOKUP(V484,名簿!A:L,5,FALSE)</f>
        <v>-</v>
      </c>
      <c r="Z484" s="243" t="str">
        <f>VLOOKUP(V484,名簿!A:L,11,FALSE)</f>
        <v>東京営業所</v>
      </c>
      <c r="AA484" s="243" t="str">
        <f>VLOOKUP(V484,名簿!A:L,12,FALSE)</f>
        <v>-</v>
      </c>
    </row>
    <row r="485" spans="1:27">
      <c r="A485" s="301">
        <v>479</v>
      </c>
      <c r="B485" s="248">
        <v>46066</v>
      </c>
      <c r="F485" s="252" t="s">
        <v>1989</v>
      </c>
      <c r="K485" s="265">
        <v>1</v>
      </c>
      <c r="P485" s="251">
        <v>1</v>
      </c>
      <c r="S485" s="310"/>
      <c r="V485" s="243" t="s">
        <v>471</v>
      </c>
      <c r="W485" s="243" t="str">
        <f>VLOOKUP(V485,名簿!A:L,3,FALSE)</f>
        <v>技術製造部</v>
      </c>
      <c r="X485" s="243" t="str">
        <f>VLOOKUP(V485,名簿!A:L,4,FALSE)</f>
        <v>生産管理課</v>
      </c>
      <c r="Y485" s="243" t="str">
        <f>VLOOKUP(V485,名簿!A:L,5,FALSE)</f>
        <v>生産管理</v>
      </c>
      <c r="Z485" s="243" t="str">
        <f>VLOOKUP(V485,名簿!A:L,11,FALSE)</f>
        <v>本社</v>
      </c>
      <c r="AA485" s="243" t="str">
        <f>VLOOKUP(V485,名簿!A:L,12,FALSE)</f>
        <v>3F/シンク前</v>
      </c>
    </row>
    <row r="486" spans="1:27">
      <c r="A486" s="301">
        <v>480</v>
      </c>
      <c r="B486" s="248">
        <v>46066</v>
      </c>
      <c r="F486" s="252" t="s">
        <v>1989</v>
      </c>
      <c r="K486" s="265">
        <v>1</v>
      </c>
      <c r="P486" s="251">
        <v>1</v>
      </c>
      <c r="S486" s="310"/>
      <c r="V486" s="243" t="s">
        <v>478</v>
      </c>
      <c r="W486" s="243" t="str">
        <f>VLOOKUP(V486,名簿!A:L,3,FALSE)</f>
        <v>技術製造部</v>
      </c>
      <c r="X486" s="243" t="str">
        <f>VLOOKUP(V486,名簿!A:L,4,FALSE)</f>
        <v>生産管理課</v>
      </c>
      <c r="Y486" s="243" t="str">
        <f>VLOOKUP(V486,名簿!A:L,5,FALSE)</f>
        <v>物流</v>
      </c>
      <c r="Z486" s="243" t="str">
        <f>VLOOKUP(V486,名簿!A:L,11,FALSE)</f>
        <v>第一倉庫</v>
      </c>
      <c r="AA486" s="243" t="str">
        <f>VLOOKUP(V486,名簿!A:L,12,FALSE)</f>
        <v>1F/南西角</v>
      </c>
    </row>
    <row r="487" spans="1:27">
      <c r="A487" s="301">
        <v>481</v>
      </c>
      <c r="B487" s="248">
        <v>46066</v>
      </c>
      <c r="F487" s="252" t="s">
        <v>1989</v>
      </c>
      <c r="K487" s="265">
        <v>1</v>
      </c>
      <c r="P487" s="251">
        <v>4</v>
      </c>
      <c r="R487" s="108" t="s">
        <v>640</v>
      </c>
      <c r="S487" s="310"/>
      <c r="V487" s="243" t="s">
        <v>636</v>
      </c>
      <c r="W487" s="243" t="str">
        <f>VLOOKUP(V487,名簿!A:L,3,FALSE)</f>
        <v>企画営業部</v>
      </c>
      <c r="X487" s="243" t="str">
        <f>VLOOKUP(V487,名簿!A:L,4,FALSE)</f>
        <v>営業課</v>
      </c>
      <c r="Y487" s="243" t="str">
        <f>VLOOKUP(V487,名簿!A:L,5,FALSE)</f>
        <v>-</v>
      </c>
      <c r="Z487" s="243" t="str">
        <f>VLOOKUP(V487,名簿!A:L,11,FALSE)</f>
        <v>東京営業所</v>
      </c>
      <c r="AA487" s="243" t="str">
        <f>VLOOKUP(V487,名簿!A:L,12,FALSE)</f>
        <v>-</v>
      </c>
    </row>
    <row r="488" spans="1:27">
      <c r="A488" s="301">
        <v>482</v>
      </c>
      <c r="B488" s="248">
        <v>46066</v>
      </c>
      <c r="F488" s="252" t="s">
        <v>1989</v>
      </c>
      <c r="K488" s="265">
        <v>1</v>
      </c>
      <c r="P488" s="251">
        <v>1</v>
      </c>
      <c r="S488" s="310"/>
      <c r="V488" s="243" t="s">
        <v>560</v>
      </c>
      <c r="W488" s="243" t="str">
        <f>VLOOKUP(V488,名簿!A:L,3,FALSE)</f>
        <v>技術製造部</v>
      </c>
      <c r="X488" s="243" t="str">
        <f>VLOOKUP(V488,名簿!A:L,4,FALSE)</f>
        <v>製造課</v>
      </c>
      <c r="Y488" s="243" t="str">
        <f>VLOOKUP(V488,名簿!A:L,5,FALSE)</f>
        <v>液体</v>
      </c>
      <c r="Z488" s="243" t="str">
        <f>VLOOKUP(V488,名簿!A:L,11,FALSE)</f>
        <v>本社</v>
      </c>
      <c r="AA488" s="243" t="str">
        <f>VLOOKUP(V488,名簿!A:L,12,FALSE)</f>
        <v>3F/シンク前</v>
      </c>
    </row>
    <row r="489" spans="1:27">
      <c r="A489" s="301">
        <v>483</v>
      </c>
      <c r="B489" s="248">
        <v>46069</v>
      </c>
      <c r="F489" s="252" t="s">
        <v>1989</v>
      </c>
      <c r="K489" s="265">
        <v>1</v>
      </c>
      <c r="P489" s="251">
        <v>1</v>
      </c>
      <c r="S489" s="310"/>
      <c r="V489" s="243" t="s">
        <v>646</v>
      </c>
      <c r="W489" s="243" t="str">
        <f>VLOOKUP(V489,名簿!A:L,3,FALSE)</f>
        <v>企画営業部</v>
      </c>
      <c r="X489" s="243" t="str">
        <f>VLOOKUP(V489,名簿!A:L,4,FALSE)</f>
        <v>営業課</v>
      </c>
      <c r="Y489" s="243" t="str">
        <f>VLOOKUP(V489,名簿!A:L,5,FALSE)</f>
        <v>-</v>
      </c>
      <c r="Z489" s="243" t="str">
        <f>VLOOKUP(V489,名簿!A:L,11,FALSE)</f>
        <v>東京営業所</v>
      </c>
      <c r="AA489" s="243" t="str">
        <f>VLOOKUP(V489,名簿!A:L,12,FALSE)</f>
        <v>-</v>
      </c>
    </row>
    <row r="490" spans="1:27" ht="34.200000000000003">
      <c r="A490" s="301">
        <v>484</v>
      </c>
      <c r="B490" s="248">
        <v>46069</v>
      </c>
      <c r="F490" s="252" t="s">
        <v>1989</v>
      </c>
      <c r="K490" s="265">
        <v>1</v>
      </c>
      <c r="N490" s="265">
        <v>1</v>
      </c>
      <c r="O490" s="265">
        <v>1</v>
      </c>
      <c r="P490" s="251">
        <v>4</v>
      </c>
      <c r="R490" s="108" t="s">
        <v>2079</v>
      </c>
      <c r="S490" s="310"/>
      <c r="V490" s="243" t="s">
        <v>568</v>
      </c>
      <c r="W490" s="243" t="str">
        <f>VLOOKUP(V490,名簿!A:L,3,FALSE)</f>
        <v>品質保証部</v>
      </c>
      <c r="X490" s="243" t="str">
        <f>VLOOKUP(V490,名簿!A:L,4,FALSE)</f>
        <v>品質管理課</v>
      </c>
      <c r="Y490" s="243" t="str">
        <f>VLOOKUP(V490,名簿!A:L,5,FALSE)</f>
        <v>-</v>
      </c>
      <c r="Z490" s="243" t="str">
        <f>VLOOKUP(V490,名簿!A:L,11,FALSE)</f>
        <v>本社</v>
      </c>
      <c r="AA490" s="243" t="str">
        <f>VLOOKUP(V490,名簿!A:L,12,FALSE)</f>
        <v>3F/シンク前</v>
      </c>
    </row>
    <row r="491" spans="1:27">
      <c r="A491" s="301">
        <v>485</v>
      </c>
      <c r="B491" s="248">
        <v>46070</v>
      </c>
      <c r="D491" s="293">
        <v>46091</v>
      </c>
      <c r="E491" s="249">
        <v>2</v>
      </c>
      <c r="F491" s="252" t="s">
        <v>1989</v>
      </c>
      <c r="G491" s="252" t="s">
        <v>2202</v>
      </c>
      <c r="K491" s="265">
        <v>1</v>
      </c>
      <c r="N491" s="265">
        <v>1</v>
      </c>
      <c r="O491" s="265">
        <v>1</v>
      </c>
      <c r="P491" s="251">
        <v>4</v>
      </c>
      <c r="R491" s="108" t="s">
        <v>2080</v>
      </c>
      <c r="S491" s="312" t="s">
        <v>2219</v>
      </c>
      <c r="V491" s="243" t="s">
        <v>501</v>
      </c>
      <c r="W491" s="243" t="str">
        <f>VLOOKUP(V491,名簿!A:L,3,FALSE)</f>
        <v>技術製造部</v>
      </c>
      <c r="X491" s="243" t="str">
        <f>VLOOKUP(V491,名簿!A:L,4,FALSE)</f>
        <v>製造課</v>
      </c>
      <c r="Y491" s="243" t="str">
        <f>VLOOKUP(V491,名簿!A:L,5,FALSE)</f>
        <v>粉体</v>
      </c>
      <c r="Z491" s="243" t="str">
        <f>VLOOKUP(V491,名簿!A:L,11,FALSE)</f>
        <v>本社</v>
      </c>
      <c r="AA491" s="243" t="str">
        <f>VLOOKUP(V491,名簿!A:L,12,FALSE)</f>
        <v>3F/シンク前</v>
      </c>
    </row>
    <row r="492" spans="1:27">
      <c r="A492" s="301">
        <v>486</v>
      </c>
      <c r="B492" s="248">
        <v>46070</v>
      </c>
      <c r="F492" s="252" t="s">
        <v>1989</v>
      </c>
      <c r="K492" s="265">
        <v>1</v>
      </c>
      <c r="P492" s="251">
        <v>1</v>
      </c>
      <c r="S492" s="310"/>
      <c r="V492" s="243" t="s">
        <v>524</v>
      </c>
      <c r="W492" s="243" t="str">
        <f>VLOOKUP(V492,名簿!A:L,3,FALSE)</f>
        <v>企画営業部</v>
      </c>
      <c r="X492" s="243" t="str">
        <f>VLOOKUP(V492,名簿!A:L,4,FALSE)</f>
        <v>企画課</v>
      </c>
      <c r="Y492" s="243" t="str">
        <f>VLOOKUP(V492,名簿!A:L,5,FALSE)</f>
        <v>-</v>
      </c>
      <c r="Z492" s="243" t="str">
        <f>VLOOKUP(V492,名簿!A:L,11,FALSE)</f>
        <v>本社</v>
      </c>
      <c r="AA492" s="243" t="str">
        <f>VLOOKUP(V492,名簿!A:L,12,FALSE)</f>
        <v>3F/シンク前</v>
      </c>
    </row>
    <row r="493" spans="1:27">
      <c r="A493" s="301">
        <v>487</v>
      </c>
      <c r="B493" s="248">
        <v>46070</v>
      </c>
      <c r="F493" s="252" t="s">
        <v>1989</v>
      </c>
      <c r="K493" s="265">
        <v>1</v>
      </c>
      <c r="P493" s="251">
        <v>1</v>
      </c>
      <c r="R493" s="108" t="s">
        <v>423</v>
      </c>
      <c r="S493" s="310"/>
      <c r="V493" s="243" t="s">
        <v>512</v>
      </c>
      <c r="W493" s="243" t="str">
        <f>VLOOKUP(V493,名簿!A:L,3,FALSE)</f>
        <v>技術製造部</v>
      </c>
      <c r="X493" s="243" t="str">
        <f>VLOOKUP(V493,名簿!A:L,4,FALSE)</f>
        <v>生産管理課</v>
      </c>
      <c r="Y493" s="243" t="str">
        <f>VLOOKUP(V493,名簿!A:L,5,FALSE)</f>
        <v>生産管理事務</v>
      </c>
      <c r="Z493" s="243" t="str">
        <f>VLOOKUP(V493,名簿!A:L,11,FALSE)</f>
        <v>本社</v>
      </c>
      <c r="AA493" s="243" t="str">
        <f>VLOOKUP(V493,名簿!A:L,12,FALSE)</f>
        <v>3F/シンク前</v>
      </c>
    </row>
    <row r="494" spans="1:27">
      <c r="A494" s="301">
        <v>488</v>
      </c>
      <c r="B494" s="248">
        <v>46070</v>
      </c>
      <c r="D494" s="293">
        <v>46091</v>
      </c>
      <c r="E494" s="249">
        <v>2</v>
      </c>
      <c r="F494" s="252" t="s">
        <v>1989</v>
      </c>
      <c r="G494" s="252" t="s">
        <v>2202</v>
      </c>
      <c r="K494" s="265">
        <v>1</v>
      </c>
      <c r="N494" s="265">
        <v>1</v>
      </c>
      <c r="P494" s="251">
        <v>4</v>
      </c>
      <c r="R494" s="108" t="s">
        <v>678</v>
      </c>
      <c r="S494" s="312" t="s">
        <v>2219</v>
      </c>
      <c r="V494" s="243" t="s">
        <v>458</v>
      </c>
      <c r="W494" s="243" t="str">
        <f>VLOOKUP(V494,名簿!A:L,3,FALSE)</f>
        <v>研究開発部</v>
      </c>
      <c r="X494" s="243" t="str">
        <f>VLOOKUP(V494,名簿!A:L,4,FALSE)</f>
        <v>研究開発課</v>
      </c>
      <c r="Y494" s="243" t="str">
        <f>VLOOKUP(V494,名簿!A:L,5,FALSE)</f>
        <v>-</v>
      </c>
      <c r="Z494" s="243" t="str">
        <f>VLOOKUP(V494,名簿!A:L,11,FALSE)</f>
        <v>コスメラボラトリー</v>
      </c>
      <c r="AA494" s="243" t="str">
        <f>VLOOKUP(V494,名簿!A:L,12,FALSE)</f>
        <v>3F/事務所</v>
      </c>
    </row>
    <row r="495" spans="1:27" ht="22.8">
      <c r="A495" s="301">
        <v>489</v>
      </c>
      <c r="B495" s="248">
        <v>46070</v>
      </c>
      <c r="F495" s="252" t="s">
        <v>1989</v>
      </c>
      <c r="K495" s="265">
        <v>1</v>
      </c>
      <c r="N495" s="265">
        <v>1</v>
      </c>
      <c r="P495" s="251">
        <v>4</v>
      </c>
      <c r="R495" s="108" t="s">
        <v>682</v>
      </c>
      <c r="S495" s="310"/>
      <c r="V495" s="243" t="s">
        <v>530</v>
      </c>
      <c r="W495" s="243" t="str">
        <f>VLOOKUP(V495,名簿!A:L,3,FALSE)</f>
        <v>品質保証部</v>
      </c>
      <c r="X495" s="243" t="str">
        <f>VLOOKUP(V495,名簿!A:L,4,FALSE)</f>
        <v>品質管理課</v>
      </c>
      <c r="Y495" s="243" t="str">
        <f>VLOOKUP(V495,名簿!A:L,5,FALSE)</f>
        <v>-</v>
      </c>
      <c r="Z495" s="243" t="str">
        <f>VLOOKUP(V495,名簿!A:L,11,FALSE)</f>
        <v>本社</v>
      </c>
      <c r="AA495" s="243" t="str">
        <f>VLOOKUP(V495,名簿!A:L,12,FALSE)</f>
        <v>3F/シンク前</v>
      </c>
    </row>
    <row r="496" spans="1:27" ht="34.200000000000003">
      <c r="A496" s="301">
        <v>490</v>
      </c>
      <c r="B496" s="248">
        <v>46070</v>
      </c>
      <c r="F496" s="252" t="s">
        <v>1989</v>
      </c>
      <c r="K496" s="265">
        <v>1</v>
      </c>
      <c r="P496" s="251">
        <v>4</v>
      </c>
      <c r="R496" s="108" t="s">
        <v>686</v>
      </c>
      <c r="S496" s="310"/>
      <c r="T496" s="108" t="s">
        <v>2005</v>
      </c>
      <c r="V496" s="243" t="s">
        <v>427</v>
      </c>
      <c r="W496" s="243" t="str">
        <f>VLOOKUP(V496,名簿!A:L,3,FALSE)</f>
        <v>技術製造部</v>
      </c>
      <c r="X496" s="243" t="str">
        <f>VLOOKUP(V496,名簿!A:L,4,FALSE)</f>
        <v>製造課</v>
      </c>
      <c r="Y496" s="243" t="str">
        <f>VLOOKUP(V496,名簿!A:L,5,FALSE)</f>
        <v>バルク・顆粒</v>
      </c>
      <c r="Z496" s="243" t="str">
        <f>VLOOKUP(V496,名簿!A:L,11,FALSE)</f>
        <v>コスメファクトリー</v>
      </c>
      <c r="AA496" s="243" t="str">
        <f>VLOOKUP(V496,名簿!A:L,12,FALSE)</f>
        <v>1F/バルク室</v>
      </c>
    </row>
    <row r="497" spans="1:27">
      <c r="A497" s="301">
        <v>491</v>
      </c>
      <c r="B497" s="248">
        <v>46070</v>
      </c>
      <c r="F497" s="252" t="s">
        <v>1989</v>
      </c>
      <c r="K497" s="265">
        <v>1</v>
      </c>
      <c r="P497" s="251">
        <v>1</v>
      </c>
      <c r="R497" s="108" t="s">
        <v>689</v>
      </c>
      <c r="S497" s="310"/>
      <c r="V497" s="243" t="s">
        <v>1994</v>
      </c>
      <c r="W497" s="243" t="str">
        <f>VLOOKUP(V497,名簿!A:L,3,FALSE)</f>
        <v>技術製造部</v>
      </c>
      <c r="X497" s="243" t="str">
        <f>VLOOKUP(V497,名簿!A:L,4,FALSE)</f>
        <v>製造課</v>
      </c>
      <c r="Y497" s="243" t="str">
        <f>VLOOKUP(V497,名簿!A:L,5,FALSE)</f>
        <v>バルク・顆粒</v>
      </c>
      <c r="Z497" s="243" t="str">
        <f>VLOOKUP(V497,名簿!A:L,11,FALSE)</f>
        <v>コスメラボラトリー</v>
      </c>
      <c r="AA497" s="243" t="str">
        <f>VLOOKUP(V497,名簿!A:L,12,FALSE)</f>
        <v>2F/事務所</v>
      </c>
    </row>
    <row r="498" spans="1:27">
      <c r="A498" s="301">
        <v>492</v>
      </c>
      <c r="B498" s="248">
        <v>46070</v>
      </c>
      <c r="F498" s="252" t="s">
        <v>1989</v>
      </c>
      <c r="K498" s="265">
        <v>1</v>
      </c>
      <c r="P498" s="251">
        <v>1</v>
      </c>
      <c r="S498" s="310"/>
      <c r="V498" s="243" t="s">
        <v>489</v>
      </c>
      <c r="W498" s="243" t="str">
        <f>VLOOKUP(V498,名簿!A:L,3,FALSE)</f>
        <v>技術製造部</v>
      </c>
      <c r="X498" s="243" t="str">
        <f>VLOOKUP(V498,名簿!A:L,4,FALSE)</f>
        <v>生産管理課</v>
      </c>
      <c r="Y498" s="243" t="str">
        <f>VLOOKUP(V498,名簿!A:L,5,FALSE)</f>
        <v>生産管理事務</v>
      </c>
      <c r="Z498" s="243" t="str">
        <f>VLOOKUP(V498,名簿!A:L,11,FALSE)</f>
        <v>本社</v>
      </c>
      <c r="AA498" s="243" t="str">
        <f>VLOOKUP(V498,名簿!A:L,12,FALSE)</f>
        <v>3F/シンク前</v>
      </c>
    </row>
    <row r="499" spans="1:27">
      <c r="A499" s="301">
        <v>493</v>
      </c>
      <c r="B499" s="248">
        <v>46071</v>
      </c>
      <c r="F499" s="252" t="s">
        <v>1989</v>
      </c>
      <c r="K499" s="265">
        <v>1</v>
      </c>
      <c r="P499" s="251">
        <v>4</v>
      </c>
      <c r="R499" s="108" t="s">
        <v>694</v>
      </c>
      <c r="S499" s="310"/>
      <c r="V499" s="243" t="s">
        <v>420</v>
      </c>
      <c r="W499" s="243" t="str">
        <f>VLOOKUP(V499,名簿!A:L,3,FALSE)</f>
        <v>技術製造部</v>
      </c>
      <c r="X499" s="243" t="str">
        <f>VLOOKUP(V499,名簿!A:L,4,FALSE)</f>
        <v>製造課</v>
      </c>
      <c r="Y499" s="243" t="str">
        <f>VLOOKUP(V499,名簿!A:L,5,FALSE)</f>
        <v>粉体</v>
      </c>
      <c r="Z499" s="243" t="str">
        <f>VLOOKUP(V499,名簿!A:L,11,FALSE)</f>
        <v>コスメラボラトリー</v>
      </c>
      <c r="AA499" s="243" t="str">
        <f>VLOOKUP(V499,名簿!A:L,12,FALSE)</f>
        <v>2F/作業場南</v>
      </c>
    </row>
    <row r="500" spans="1:27">
      <c r="A500" s="301">
        <v>494</v>
      </c>
      <c r="B500" s="248">
        <v>46071</v>
      </c>
      <c r="F500" s="252" t="s">
        <v>1989</v>
      </c>
      <c r="K500" s="265">
        <v>1</v>
      </c>
      <c r="P500" s="251">
        <v>1</v>
      </c>
      <c r="R500" s="108" t="s">
        <v>355</v>
      </c>
      <c r="S500" s="310"/>
      <c r="V500" s="243" t="s">
        <v>434</v>
      </c>
      <c r="W500" s="243" t="str">
        <f>VLOOKUP(V500,名簿!A:L,3,FALSE)</f>
        <v>技術製造部</v>
      </c>
      <c r="X500" s="243" t="str">
        <f>VLOOKUP(V500,名簿!A:L,4,FALSE)</f>
        <v>製造課</v>
      </c>
      <c r="Y500" s="243" t="str">
        <f>VLOOKUP(V500,名簿!A:L,5,FALSE)</f>
        <v>バルク・顆粒</v>
      </c>
      <c r="Z500" s="243" t="str">
        <f>VLOOKUP(V500,名簿!A:L,11,FALSE)</f>
        <v>コスメファクトリー</v>
      </c>
      <c r="AA500" s="243" t="str">
        <f>VLOOKUP(V500,名簿!A:L,12,FALSE)</f>
        <v>1F/バルク室</v>
      </c>
    </row>
    <row r="501" spans="1:27">
      <c r="A501" s="301">
        <v>495</v>
      </c>
      <c r="B501" s="248">
        <v>46071</v>
      </c>
      <c r="F501" s="252" t="s">
        <v>1989</v>
      </c>
      <c r="K501" s="265">
        <v>1</v>
      </c>
      <c r="P501" s="251">
        <v>1</v>
      </c>
      <c r="R501" s="108" t="s">
        <v>701</v>
      </c>
      <c r="S501" s="310"/>
      <c r="V501" s="243" t="s">
        <v>555</v>
      </c>
      <c r="W501" s="243" t="str">
        <f>VLOOKUP(V501,名簿!A:L,3,FALSE)</f>
        <v>技術製造部</v>
      </c>
      <c r="X501" s="243" t="str">
        <f>VLOOKUP(V501,名簿!A:L,4,FALSE)</f>
        <v>製造課</v>
      </c>
      <c r="Y501" s="243" t="str">
        <f>VLOOKUP(V501,名簿!A:L,5,FALSE)</f>
        <v>液体</v>
      </c>
      <c r="Z501" s="243" t="str">
        <f>VLOOKUP(V501,名簿!A:L,11,FALSE)</f>
        <v>本社</v>
      </c>
      <c r="AA501" s="243" t="str">
        <f>VLOOKUP(V501,名簿!A:L,12,FALSE)</f>
        <v>3F/シンク前</v>
      </c>
    </row>
    <row r="502" spans="1:27">
      <c r="A502" s="301">
        <v>496</v>
      </c>
      <c r="B502" s="248">
        <v>46071</v>
      </c>
      <c r="F502" s="252" t="s">
        <v>1989</v>
      </c>
      <c r="K502" s="265">
        <v>1</v>
      </c>
      <c r="P502" s="251">
        <v>1</v>
      </c>
      <c r="R502" s="108" t="s">
        <v>708</v>
      </c>
      <c r="S502" s="310"/>
      <c r="V502" s="243" t="s">
        <v>495</v>
      </c>
      <c r="W502" s="243" t="str">
        <f>VLOOKUP(V502,名簿!A:L,3,FALSE)</f>
        <v>技術製造部</v>
      </c>
      <c r="X502" s="243" t="str">
        <f>VLOOKUP(V502,名簿!A:L,4,FALSE)</f>
        <v>生産管理課</v>
      </c>
      <c r="Y502" s="243" t="str">
        <f>VLOOKUP(V502,名簿!A:L,5,FALSE)</f>
        <v>生産管理</v>
      </c>
      <c r="Z502" s="243" t="str">
        <f>VLOOKUP(V502,名簿!A:L,11,FALSE)</f>
        <v>本社</v>
      </c>
      <c r="AA502" s="243" t="str">
        <f>VLOOKUP(V502,名簿!A:L,12,FALSE)</f>
        <v>3F/シンク前</v>
      </c>
    </row>
    <row r="503" spans="1:27">
      <c r="A503" s="301">
        <v>497</v>
      </c>
      <c r="B503" s="248">
        <v>46071</v>
      </c>
      <c r="F503" s="252" t="s">
        <v>1989</v>
      </c>
      <c r="K503" s="265">
        <v>1</v>
      </c>
      <c r="P503" s="251">
        <v>1</v>
      </c>
      <c r="R503" s="108" t="s">
        <v>713</v>
      </c>
      <c r="S503" s="310"/>
      <c r="V503" s="243" t="s">
        <v>403</v>
      </c>
      <c r="W503" s="243" t="str">
        <f>VLOOKUP(V503,名簿!A:L,3,FALSE)</f>
        <v>技術製造部</v>
      </c>
      <c r="X503" s="243" t="str">
        <f>VLOOKUP(V503,名簿!A:L,4,FALSE)</f>
        <v>製造課</v>
      </c>
      <c r="Y503" s="243" t="str">
        <f>VLOOKUP(V503,名簿!A:L,5,FALSE)</f>
        <v>充填包装</v>
      </c>
      <c r="Z503" s="243" t="str">
        <f>VLOOKUP(V503,名簿!A:L,11,FALSE)</f>
        <v>コスメファクトリー</v>
      </c>
      <c r="AA503" s="243" t="str">
        <f>VLOOKUP(V503,名簿!A:L,12,FALSE)</f>
        <v>2F/充填ライン南</v>
      </c>
    </row>
    <row r="504" spans="1:27">
      <c r="A504" s="301">
        <v>498</v>
      </c>
      <c r="B504" s="248">
        <v>46071</v>
      </c>
      <c r="F504" s="252" t="s">
        <v>1989</v>
      </c>
      <c r="K504" s="265">
        <v>1</v>
      </c>
      <c r="P504" s="251">
        <v>3</v>
      </c>
      <c r="R504" s="108" t="s">
        <v>715</v>
      </c>
      <c r="S504" s="310"/>
      <c r="V504" s="243" t="s">
        <v>435</v>
      </c>
      <c r="W504" s="243" t="str">
        <f>VLOOKUP(V504,名簿!A:L,3,FALSE)</f>
        <v>技術製造部</v>
      </c>
      <c r="X504" s="243" t="str">
        <f>VLOOKUP(V504,名簿!A:L,4,FALSE)</f>
        <v>製造課</v>
      </c>
      <c r="Y504" s="243" t="str">
        <f>VLOOKUP(V504,名簿!A:L,5,FALSE)</f>
        <v>バルク・顆粒</v>
      </c>
      <c r="Z504" s="243" t="str">
        <f>VLOOKUP(V504,名簿!A:L,11,FALSE)</f>
        <v>コスメファクトリー</v>
      </c>
      <c r="AA504" s="243" t="str">
        <f>VLOOKUP(V504,名簿!A:L,12,FALSE)</f>
        <v>1F/バルク室</v>
      </c>
    </row>
    <row r="505" spans="1:27" ht="22.8">
      <c r="A505" s="301">
        <v>499</v>
      </c>
      <c r="B505" s="248">
        <v>46072</v>
      </c>
      <c r="D505" s="293">
        <v>46091</v>
      </c>
      <c r="E505" s="249">
        <v>2</v>
      </c>
      <c r="F505" s="252" t="s">
        <v>1989</v>
      </c>
      <c r="G505" s="252" t="s">
        <v>2202</v>
      </c>
      <c r="K505" s="265">
        <v>1</v>
      </c>
      <c r="N505" s="265">
        <v>1</v>
      </c>
      <c r="O505" s="265">
        <v>1</v>
      </c>
      <c r="P505" s="251">
        <v>4</v>
      </c>
      <c r="R505" s="108" t="s">
        <v>2081</v>
      </c>
      <c r="S505" s="312" t="s">
        <v>2216</v>
      </c>
      <c r="T505" s="108" t="s">
        <v>2331</v>
      </c>
      <c r="V505" s="243" t="s">
        <v>506</v>
      </c>
      <c r="W505" s="243" t="str">
        <f>VLOOKUP(V505,名簿!A:L,3,FALSE)</f>
        <v>技術製造部</v>
      </c>
      <c r="X505" s="243" t="str">
        <f>VLOOKUP(V505,名簿!A:L,4,FALSE)</f>
        <v>生産管理課</v>
      </c>
      <c r="Y505" s="243" t="str">
        <f>VLOOKUP(V505,名簿!A:L,5,FALSE)</f>
        <v>生産管理</v>
      </c>
      <c r="Z505" s="243" t="str">
        <f>VLOOKUP(V505,名簿!A:L,11,FALSE)</f>
        <v>本社</v>
      </c>
      <c r="AA505" s="243" t="str">
        <f>VLOOKUP(V505,名簿!A:L,12,FALSE)</f>
        <v>3F/シンク前</v>
      </c>
    </row>
    <row r="506" spans="1:27" ht="34.200000000000003">
      <c r="A506" s="301">
        <v>500</v>
      </c>
      <c r="B506" s="248">
        <v>46072</v>
      </c>
      <c r="F506" s="252" t="s">
        <v>1989</v>
      </c>
      <c r="K506" s="265">
        <v>1</v>
      </c>
      <c r="O506" s="265">
        <v>1</v>
      </c>
      <c r="P506" s="251">
        <v>5</v>
      </c>
      <c r="R506" s="108" t="s">
        <v>2082</v>
      </c>
      <c r="S506" s="310"/>
      <c r="V506" s="243" t="s">
        <v>547</v>
      </c>
      <c r="W506" s="243" t="str">
        <f>VLOOKUP(V506,名簿!A:L,3,FALSE)</f>
        <v>管理部</v>
      </c>
      <c r="X506" s="243" t="str">
        <f>VLOOKUP(V506,名簿!A:L,4,FALSE)</f>
        <v>管理課</v>
      </c>
      <c r="Y506" s="243" t="str">
        <f>VLOOKUP(V506,名簿!A:L,5,FALSE)</f>
        <v>-</v>
      </c>
      <c r="Z506" s="243" t="str">
        <f>VLOOKUP(V506,名簿!A:L,11,FALSE)</f>
        <v>本社</v>
      </c>
      <c r="AA506" s="243" t="str">
        <f>VLOOKUP(V506,名簿!A:L,12,FALSE)</f>
        <v>3F/シンク前</v>
      </c>
    </row>
    <row r="507" spans="1:27">
      <c r="A507" s="301">
        <v>501</v>
      </c>
      <c r="B507" s="248">
        <v>46072</v>
      </c>
      <c r="F507" s="252" t="s">
        <v>1989</v>
      </c>
      <c r="K507" s="265">
        <v>1</v>
      </c>
      <c r="P507" s="251">
        <v>1</v>
      </c>
      <c r="S507" s="310"/>
      <c r="V507" s="243" t="s">
        <v>535</v>
      </c>
      <c r="W507" s="243" t="str">
        <f>VLOOKUP(V507,名簿!A:L,3,FALSE)</f>
        <v>管理部</v>
      </c>
      <c r="X507" s="243" t="str">
        <f>VLOOKUP(V507,名簿!A:L,4,FALSE)</f>
        <v>管理課</v>
      </c>
      <c r="Y507" s="243" t="str">
        <f>VLOOKUP(V507,名簿!A:L,5,FALSE)</f>
        <v>-</v>
      </c>
      <c r="Z507" s="243" t="str">
        <f>VLOOKUP(V507,名簿!A:L,11,FALSE)</f>
        <v>本社</v>
      </c>
      <c r="AA507" s="243" t="str">
        <f>VLOOKUP(V507,名簿!A:L,12,FALSE)</f>
        <v>3F/シンク前</v>
      </c>
    </row>
    <row r="508" spans="1:27">
      <c r="A508" s="301">
        <v>502</v>
      </c>
      <c r="B508" s="248">
        <v>46072</v>
      </c>
      <c r="F508" s="252" t="s">
        <v>1989</v>
      </c>
      <c r="K508" s="265">
        <v>1</v>
      </c>
      <c r="P508" s="251">
        <v>1</v>
      </c>
      <c r="R508" s="108" t="s">
        <v>736</v>
      </c>
      <c r="S508" s="310"/>
      <c r="V508" s="243" t="s">
        <v>541</v>
      </c>
      <c r="W508" s="243" t="str">
        <f>VLOOKUP(V508,名簿!A:L,3,FALSE)</f>
        <v>管理部</v>
      </c>
      <c r="X508" s="243" t="str">
        <f>VLOOKUP(V508,名簿!A:L,4,FALSE)</f>
        <v>管理課</v>
      </c>
      <c r="Y508" s="243" t="str">
        <f>VLOOKUP(V508,名簿!A:L,5,FALSE)</f>
        <v>-</v>
      </c>
      <c r="Z508" s="243" t="str">
        <f>VLOOKUP(V508,名簿!A:L,11,FALSE)</f>
        <v>本社</v>
      </c>
      <c r="AA508" s="243" t="str">
        <f>VLOOKUP(V508,名簿!A:L,12,FALSE)</f>
        <v>3F/シンク前</v>
      </c>
    </row>
    <row r="509" spans="1:27">
      <c r="A509" s="301">
        <v>503</v>
      </c>
      <c r="B509" s="248">
        <v>46066</v>
      </c>
      <c r="F509" s="252" t="s">
        <v>1993</v>
      </c>
      <c r="L509" s="265">
        <v>1</v>
      </c>
      <c r="N509" s="265">
        <v>1</v>
      </c>
      <c r="P509" s="269">
        <v>5</v>
      </c>
      <c r="Q509" s="269">
        <f>P509</f>
        <v>5</v>
      </c>
      <c r="R509" s="108" t="s">
        <v>618</v>
      </c>
      <c r="S509" s="310"/>
      <c r="V509" s="267" t="s">
        <v>1991</v>
      </c>
      <c r="W509" s="243" t="str">
        <f>VLOOKUP(V509,名簿!A:L,3,FALSE)</f>
        <v>技術製造部</v>
      </c>
      <c r="X509" s="243" t="str">
        <f>VLOOKUP(V509,名簿!A:L,4,FALSE)</f>
        <v>-</v>
      </c>
      <c r="Y509" s="243" t="str">
        <f>VLOOKUP(V509,名簿!A:L,5,FALSE)</f>
        <v>-</v>
      </c>
      <c r="Z509" s="243" t="str">
        <f>VLOOKUP(V509,名簿!A:L,11,FALSE)</f>
        <v>コスメラボラトリー</v>
      </c>
      <c r="AA509" s="243" t="str">
        <f>VLOOKUP(V509,名簿!A:L,12,FALSE)</f>
        <v>2F/事務所</v>
      </c>
    </row>
    <row r="510" spans="1:27" ht="22.8">
      <c r="A510" s="301">
        <v>504</v>
      </c>
      <c r="B510" s="248">
        <v>46066</v>
      </c>
      <c r="F510" s="252" t="s">
        <v>1993</v>
      </c>
      <c r="L510" s="265">
        <v>1</v>
      </c>
      <c r="N510" s="265">
        <v>1</v>
      </c>
      <c r="P510" s="269">
        <v>5</v>
      </c>
      <c r="Q510" s="269">
        <f t="shared" ref="Q510:Q514" si="0">P510</f>
        <v>5</v>
      </c>
      <c r="R510" s="108" t="s">
        <v>2048</v>
      </c>
      <c r="S510" s="310"/>
      <c r="V510" s="267" t="s">
        <v>483</v>
      </c>
      <c r="W510" s="243" t="str">
        <f>VLOOKUP(V510,名簿!A:L,3,FALSE)</f>
        <v>技術製造部</v>
      </c>
      <c r="X510" s="243" t="str">
        <f>VLOOKUP(V510,名簿!A:L,4,FALSE)</f>
        <v>生産管理課</v>
      </c>
      <c r="Y510" s="243" t="str">
        <f>VLOOKUP(V510,名簿!A:L,5,FALSE)</f>
        <v>生産管理</v>
      </c>
      <c r="Z510" s="243" t="str">
        <f>VLOOKUP(V510,名簿!A:L,11,FALSE)</f>
        <v>本社</v>
      </c>
      <c r="AA510" s="243" t="str">
        <f>VLOOKUP(V510,名簿!A:L,12,FALSE)</f>
        <v>3F/シンク前</v>
      </c>
    </row>
    <row r="511" spans="1:27">
      <c r="A511" s="301">
        <v>505</v>
      </c>
      <c r="B511" s="248">
        <v>46066</v>
      </c>
      <c r="F511" s="252" t="s">
        <v>1993</v>
      </c>
      <c r="L511" s="265">
        <v>1</v>
      </c>
      <c r="N511" s="265">
        <v>1</v>
      </c>
      <c r="P511" s="250">
        <v>4</v>
      </c>
      <c r="Q511" s="250">
        <f t="shared" si="0"/>
        <v>4</v>
      </c>
      <c r="S511" s="310"/>
      <c r="V511" s="266" t="s">
        <v>1992</v>
      </c>
      <c r="W511" s="243" t="str">
        <f>VLOOKUP(V511,名簿!A:L,3,FALSE)</f>
        <v>企画営業部</v>
      </c>
      <c r="X511" s="243" t="str">
        <f>VLOOKUP(V511,名簿!A:L,4,FALSE)</f>
        <v>-</v>
      </c>
      <c r="Y511" s="243" t="str">
        <f>VLOOKUP(V511,名簿!A:L,5,FALSE)</f>
        <v>-</v>
      </c>
      <c r="Z511" s="243" t="str">
        <f>VLOOKUP(V511,名簿!A:L,11,FALSE)</f>
        <v>東京営業所</v>
      </c>
      <c r="AA511" s="243" t="str">
        <f>VLOOKUP(V511,名簿!A:L,12,FALSE)</f>
        <v>-</v>
      </c>
    </row>
    <row r="512" spans="1:27">
      <c r="A512" s="301">
        <v>506</v>
      </c>
      <c r="B512" s="248">
        <v>46066</v>
      </c>
      <c r="F512" s="252" t="s">
        <v>1993</v>
      </c>
      <c r="L512" s="265">
        <v>1</v>
      </c>
      <c r="N512" s="265">
        <v>1</v>
      </c>
      <c r="P512" s="269">
        <v>5</v>
      </c>
      <c r="Q512" s="269">
        <f t="shared" si="0"/>
        <v>5</v>
      </c>
      <c r="S512" s="310"/>
      <c r="V512" s="267" t="s">
        <v>471</v>
      </c>
      <c r="W512" s="243" t="str">
        <f>VLOOKUP(V512,名簿!A:L,3,FALSE)</f>
        <v>技術製造部</v>
      </c>
      <c r="X512" s="243" t="str">
        <f>VLOOKUP(V512,名簿!A:L,4,FALSE)</f>
        <v>生産管理課</v>
      </c>
      <c r="Y512" s="243" t="str">
        <f>VLOOKUP(V512,名簿!A:L,5,FALSE)</f>
        <v>生産管理</v>
      </c>
      <c r="Z512" s="243" t="str">
        <f>VLOOKUP(V512,名簿!A:L,11,FALSE)</f>
        <v>本社</v>
      </c>
      <c r="AA512" s="243" t="str">
        <f>VLOOKUP(V512,名簿!A:L,12,FALSE)</f>
        <v>3F/シンク前</v>
      </c>
    </row>
    <row r="513" spans="1:27">
      <c r="A513" s="301">
        <v>507</v>
      </c>
      <c r="B513" s="248">
        <v>46066</v>
      </c>
      <c r="F513" s="252" t="s">
        <v>1993</v>
      </c>
      <c r="L513" s="265">
        <v>1</v>
      </c>
      <c r="N513" s="265">
        <v>1</v>
      </c>
      <c r="P513" s="269">
        <v>5</v>
      </c>
      <c r="Q513" s="269">
        <f t="shared" si="0"/>
        <v>5</v>
      </c>
      <c r="R513" s="108" t="s">
        <v>635</v>
      </c>
      <c r="S513" s="310"/>
      <c r="V513" s="267" t="s">
        <v>478</v>
      </c>
      <c r="W513" s="243" t="str">
        <f>VLOOKUP(V513,名簿!A:L,3,FALSE)</f>
        <v>技術製造部</v>
      </c>
      <c r="X513" s="243" t="str">
        <f>VLOOKUP(V513,名簿!A:L,4,FALSE)</f>
        <v>生産管理課</v>
      </c>
      <c r="Y513" s="243" t="str">
        <f>VLOOKUP(V513,名簿!A:L,5,FALSE)</f>
        <v>物流</v>
      </c>
      <c r="Z513" s="243" t="str">
        <f>VLOOKUP(V513,名簿!A:L,11,FALSE)</f>
        <v>第一倉庫</v>
      </c>
      <c r="AA513" s="243" t="str">
        <f>VLOOKUP(V513,名簿!A:L,12,FALSE)</f>
        <v>1F/南西角</v>
      </c>
    </row>
    <row r="514" spans="1:27" ht="22.8">
      <c r="A514" s="301">
        <v>508</v>
      </c>
      <c r="B514" s="248">
        <v>46066</v>
      </c>
      <c r="F514" s="252" t="s">
        <v>1993</v>
      </c>
      <c r="L514" s="265">
        <v>1</v>
      </c>
      <c r="N514" s="265">
        <v>1</v>
      </c>
      <c r="P514" s="269">
        <v>5</v>
      </c>
      <c r="Q514" s="269">
        <f t="shared" si="0"/>
        <v>5</v>
      </c>
      <c r="R514" s="108" t="s">
        <v>2049</v>
      </c>
      <c r="S514" s="310"/>
      <c r="V514" s="267" t="s">
        <v>636</v>
      </c>
      <c r="W514" s="243" t="str">
        <f>VLOOKUP(V514,名簿!A:L,3,FALSE)</f>
        <v>企画営業部</v>
      </c>
      <c r="X514" s="243" t="str">
        <f>VLOOKUP(V514,名簿!A:L,4,FALSE)</f>
        <v>営業課</v>
      </c>
      <c r="Y514" s="243" t="str">
        <f>VLOOKUP(V514,名簿!A:L,5,FALSE)</f>
        <v>-</v>
      </c>
      <c r="Z514" s="243" t="str">
        <f>VLOOKUP(V514,名簿!A:L,11,FALSE)</f>
        <v>東京営業所</v>
      </c>
      <c r="AA514" s="243" t="str">
        <f>VLOOKUP(V514,名簿!A:L,12,FALSE)</f>
        <v>-</v>
      </c>
    </row>
    <row r="515" spans="1:27">
      <c r="A515" s="301">
        <v>509</v>
      </c>
      <c r="B515" s="248">
        <v>46066</v>
      </c>
      <c r="F515" s="252" t="s">
        <v>1993</v>
      </c>
      <c r="L515" s="265">
        <v>1</v>
      </c>
      <c r="N515" s="265">
        <v>1</v>
      </c>
      <c r="P515" s="250">
        <v>3</v>
      </c>
      <c r="Q515" s="250"/>
      <c r="S515" s="310"/>
      <c r="V515" s="243" t="s">
        <v>560</v>
      </c>
      <c r="W515" s="243" t="str">
        <f>VLOOKUP(V515,名簿!A:L,3,FALSE)</f>
        <v>技術製造部</v>
      </c>
      <c r="X515" s="243" t="str">
        <f>VLOOKUP(V515,名簿!A:L,4,FALSE)</f>
        <v>製造課</v>
      </c>
      <c r="Y515" s="243" t="str">
        <f>VLOOKUP(V515,名簿!A:L,5,FALSE)</f>
        <v>液体</v>
      </c>
      <c r="Z515" s="243" t="str">
        <f>VLOOKUP(V515,名簿!A:L,11,FALSE)</f>
        <v>本社</v>
      </c>
      <c r="AA515" s="243" t="str">
        <f>VLOOKUP(V515,名簿!A:L,12,FALSE)</f>
        <v>3F/シンク前</v>
      </c>
    </row>
    <row r="516" spans="1:27">
      <c r="A516" s="301">
        <v>510</v>
      </c>
      <c r="B516" s="248">
        <v>46069</v>
      </c>
      <c r="F516" s="252" t="s">
        <v>1993</v>
      </c>
      <c r="L516" s="265">
        <v>1</v>
      </c>
      <c r="N516" s="265">
        <v>1</v>
      </c>
      <c r="P516" s="269">
        <v>5</v>
      </c>
      <c r="Q516" s="269">
        <f>P516</f>
        <v>5</v>
      </c>
      <c r="R516" s="108" t="s">
        <v>649</v>
      </c>
      <c r="S516" s="310"/>
      <c r="V516" s="267" t="s">
        <v>646</v>
      </c>
      <c r="W516" s="243" t="str">
        <f>VLOOKUP(V516,名簿!A:L,3,FALSE)</f>
        <v>企画営業部</v>
      </c>
      <c r="X516" s="243" t="str">
        <f>VLOOKUP(V516,名簿!A:L,4,FALSE)</f>
        <v>営業課</v>
      </c>
      <c r="Y516" s="243" t="str">
        <f>VLOOKUP(V516,名簿!A:L,5,FALSE)</f>
        <v>-</v>
      </c>
      <c r="Z516" s="243" t="str">
        <f>VLOOKUP(V516,名簿!A:L,11,FALSE)</f>
        <v>東京営業所</v>
      </c>
      <c r="AA516" s="243" t="str">
        <f>VLOOKUP(V516,名簿!A:L,12,FALSE)</f>
        <v>-</v>
      </c>
    </row>
    <row r="517" spans="1:27">
      <c r="A517" s="301">
        <v>511</v>
      </c>
      <c r="B517" s="248">
        <v>46069</v>
      </c>
      <c r="F517" s="252" t="s">
        <v>1993</v>
      </c>
      <c r="L517" s="265">
        <v>1</v>
      </c>
      <c r="N517" s="265">
        <v>1</v>
      </c>
      <c r="P517" s="251">
        <v>3</v>
      </c>
      <c r="R517" s="108" t="s">
        <v>657</v>
      </c>
      <c r="S517" s="310"/>
      <c r="V517" s="243" t="s">
        <v>568</v>
      </c>
      <c r="W517" s="243" t="str">
        <f>VLOOKUP(V517,名簿!A:L,3,FALSE)</f>
        <v>品質保証部</v>
      </c>
      <c r="X517" s="243" t="str">
        <f>VLOOKUP(V517,名簿!A:L,4,FALSE)</f>
        <v>品質管理課</v>
      </c>
      <c r="Y517" s="243" t="str">
        <f>VLOOKUP(V517,名簿!A:L,5,FALSE)</f>
        <v>-</v>
      </c>
      <c r="Z517" s="243" t="str">
        <f>VLOOKUP(V517,名簿!A:L,11,FALSE)</f>
        <v>本社</v>
      </c>
      <c r="AA517" s="243" t="str">
        <f>VLOOKUP(V517,名簿!A:L,12,FALSE)</f>
        <v>3F/シンク前</v>
      </c>
    </row>
    <row r="518" spans="1:27">
      <c r="A518" s="301">
        <v>512</v>
      </c>
      <c r="B518" s="248">
        <v>46070</v>
      </c>
      <c r="F518" s="252" t="s">
        <v>1993</v>
      </c>
      <c r="L518" s="265">
        <v>1</v>
      </c>
      <c r="N518" s="265">
        <v>1</v>
      </c>
      <c r="P518" s="268">
        <v>4</v>
      </c>
      <c r="Q518" s="268">
        <f t="shared" ref="Q518:Q523" si="1">P518</f>
        <v>4</v>
      </c>
      <c r="R518" s="108" t="s">
        <v>664</v>
      </c>
      <c r="S518" s="310"/>
      <c r="V518" s="266" t="s">
        <v>501</v>
      </c>
      <c r="W518" s="243" t="str">
        <f>VLOOKUP(V518,名簿!A:L,3,FALSE)</f>
        <v>技術製造部</v>
      </c>
      <c r="X518" s="243" t="str">
        <f>VLOOKUP(V518,名簿!A:L,4,FALSE)</f>
        <v>製造課</v>
      </c>
      <c r="Y518" s="243" t="str">
        <f>VLOOKUP(V518,名簿!A:L,5,FALSE)</f>
        <v>粉体</v>
      </c>
      <c r="Z518" s="243" t="str">
        <f>VLOOKUP(V518,名簿!A:L,11,FALSE)</f>
        <v>本社</v>
      </c>
      <c r="AA518" s="243" t="str">
        <f>VLOOKUP(V518,名簿!A:L,12,FALSE)</f>
        <v>3F/シンク前</v>
      </c>
    </row>
    <row r="519" spans="1:27">
      <c r="A519" s="301">
        <v>513</v>
      </c>
      <c r="B519" s="248">
        <v>46070</v>
      </c>
      <c r="F519" s="252" t="s">
        <v>1993</v>
      </c>
      <c r="L519" s="265">
        <v>1</v>
      </c>
      <c r="N519" s="265">
        <v>1</v>
      </c>
      <c r="P519" s="268">
        <v>4</v>
      </c>
      <c r="Q519" s="268">
        <f t="shared" si="1"/>
        <v>4</v>
      </c>
      <c r="R519" s="108" t="s">
        <v>669</v>
      </c>
      <c r="S519" s="310"/>
      <c r="V519" s="266" t="s">
        <v>524</v>
      </c>
      <c r="W519" s="243" t="str">
        <f>VLOOKUP(V519,名簿!A:L,3,FALSE)</f>
        <v>企画営業部</v>
      </c>
      <c r="X519" s="243" t="str">
        <f>VLOOKUP(V519,名簿!A:L,4,FALSE)</f>
        <v>企画課</v>
      </c>
      <c r="Y519" s="243" t="str">
        <f>VLOOKUP(V519,名簿!A:L,5,FALSE)</f>
        <v>-</v>
      </c>
      <c r="Z519" s="243" t="str">
        <f>VLOOKUP(V519,名簿!A:L,11,FALSE)</f>
        <v>本社</v>
      </c>
      <c r="AA519" s="243" t="str">
        <f>VLOOKUP(V519,名簿!A:L,12,FALSE)</f>
        <v>3F/シンク前</v>
      </c>
    </row>
    <row r="520" spans="1:27" ht="22.8">
      <c r="A520" s="301">
        <v>514</v>
      </c>
      <c r="B520" s="248">
        <v>46070</v>
      </c>
      <c r="F520" s="252" t="s">
        <v>1993</v>
      </c>
      <c r="L520" s="265">
        <v>1</v>
      </c>
      <c r="N520" s="265">
        <v>1</v>
      </c>
      <c r="P520" s="268">
        <v>4</v>
      </c>
      <c r="Q520" s="268">
        <f t="shared" si="1"/>
        <v>4</v>
      </c>
      <c r="R520" s="108" t="s">
        <v>673</v>
      </c>
      <c r="S520" s="310"/>
      <c r="V520" s="266" t="s">
        <v>512</v>
      </c>
      <c r="W520" s="243" t="str">
        <f>VLOOKUP(V520,名簿!A:L,3,FALSE)</f>
        <v>技術製造部</v>
      </c>
      <c r="X520" s="243" t="str">
        <f>VLOOKUP(V520,名簿!A:L,4,FALSE)</f>
        <v>生産管理課</v>
      </c>
      <c r="Y520" s="243" t="str">
        <f>VLOOKUP(V520,名簿!A:L,5,FALSE)</f>
        <v>生産管理事務</v>
      </c>
      <c r="Z520" s="243" t="str">
        <f>VLOOKUP(V520,名簿!A:L,11,FALSE)</f>
        <v>本社</v>
      </c>
      <c r="AA520" s="243" t="str">
        <f>VLOOKUP(V520,名簿!A:L,12,FALSE)</f>
        <v>3F/シンク前</v>
      </c>
    </row>
    <row r="521" spans="1:27">
      <c r="A521" s="301">
        <v>515</v>
      </c>
      <c r="B521" s="248">
        <v>46070</v>
      </c>
      <c r="F521" s="252" t="s">
        <v>1993</v>
      </c>
      <c r="L521" s="265">
        <v>1</v>
      </c>
      <c r="N521" s="265">
        <v>1</v>
      </c>
      <c r="P521" s="269">
        <v>5</v>
      </c>
      <c r="Q521" s="269">
        <f t="shared" si="1"/>
        <v>5</v>
      </c>
      <c r="R521" s="108" t="s">
        <v>358</v>
      </c>
      <c r="S521" s="310"/>
      <c r="V521" s="267" t="s">
        <v>458</v>
      </c>
      <c r="W521" s="243" t="str">
        <f>VLOOKUP(V521,名簿!A:L,3,FALSE)</f>
        <v>研究開発部</v>
      </c>
      <c r="X521" s="243" t="str">
        <f>VLOOKUP(V521,名簿!A:L,4,FALSE)</f>
        <v>研究開発課</v>
      </c>
      <c r="Y521" s="243" t="str">
        <f>VLOOKUP(V521,名簿!A:L,5,FALSE)</f>
        <v>-</v>
      </c>
      <c r="Z521" s="243" t="str">
        <f>VLOOKUP(V521,名簿!A:L,11,FALSE)</f>
        <v>コスメラボラトリー</v>
      </c>
      <c r="AA521" s="243" t="str">
        <f>VLOOKUP(V521,名簿!A:L,12,FALSE)</f>
        <v>3F/事務所</v>
      </c>
    </row>
    <row r="522" spans="1:27">
      <c r="A522" s="301">
        <v>516</v>
      </c>
      <c r="B522" s="248">
        <v>46070</v>
      </c>
      <c r="F522" s="252" t="s">
        <v>1993</v>
      </c>
      <c r="L522" s="265">
        <v>1</v>
      </c>
      <c r="N522" s="265">
        <v>1</v>
      </c>
      <c r="P522" s="250">
        <v>4</v>
      </c>
      <c r="Q522" s="250">
        <f t="shared" si="1"/>
        <v>4</v>
      </c>
      <c r="S522" s="310"/>
      <c r="V522" s="266" t="s">
        <v>530</v>
      </c>
      <c r="W522" s="243" t="str">
        <f>VLOOKUP(V522,名簿!A:L,3,FALSE)</f>
        <v>品質保証部</v>
      </c>
      <c r="X522" s="243" t="str">
        <f>VLOOKUP(V522,名簿!A:L,4,FALSE)</f>
        <v>品質管理課</v>
      </c>
      <c r="Y522" s="243" t="str">
        <f>VLOOKUP(V522,名簿!A:L,5,FALSE)</f>
        <v>-</v>
      </c>
      <c r="Z522" s="243" t="str">
        <f>VLOOKUP(V522,名簿!A:L,11,FALSE)</f>
        <v>本社</v>
      </c>
      <c r="AA522" s="243" t="str">
        <f>VLOOKUP(V522,名簿!A:L,12,FALSE)</f>
        <v>3F/シンク前</v>
      </c>
    </row>
    <row r="523" spans="1:27">
      <c r="A523" s="301">
        <v>517</v>
      </c>
      <c r="B523" s="248">
        <v>46070</v>
      </c>
      <c r="F523" s="252" t="s">
        <v>1993</v>
      </c>
      <c r="L523" s="265">
        <v>1</v>
      </c>
      <c r="N523" s="265">
        <v>1</v>
      </c>
      <c r="P523" s="269">
        <v>5</v>
      </c>
      <c r="Q523" s="269">
        <f t="shared" si="1"/>
        <v>5</v>
      </c>
      <c r="S523" s="310"/>
      <c r="V523" s="267" t="s">
        <v>427</v>
      </c>
      <c r="W523" s="243" t="str">
        <f>VLOOKUP(V523,名簿!A:L,3,FALSE)</f>
        <v>技術製造部</v>
      </c>
      <c r="X523" s="243" t="str">
        <f>VLOOKUP(V523,名簿!A:L,4,FALSE)</f>
        <v>製造課</v>
      </c>
      <c r="Y523" s="243" t="str">
        <f>VLOOKUP(V523,名簿!A:L,5,FALSE)</f>
        <v>バルク・顆粒</v>
      </c>
      <c r="Z523" s="243" t="str">
        <f>VLOOKUP(V523,名簿!A:L,11,FALSE)</f>
        <v>コスメファクトリー</v>
      </c>
      <c r="AA523" s="243" t="str">
        <f>VLOOKUP(V523,名簿!A:L,12,FALSE)</f>
        <v>1F/バルク室</v>
      </c>
    </row>
    <row r="524" spans="1:27">
      <c r="A524" s="301">
        <v>518</v>
      </c>
      <c r="B524" s="248">
        <v>46070</v>
      </c>
      <c r="F524" s="252" t="s">
        <v>1993</v>
      </c>
      <c r="L524" s="265">
        <v>1</v>
      </c>
      <c r="N524" s="265">
        <v>1</v>
      </c>
      <c r="P524" s="270">
        <v>2</v>
      </c>
      <c r="Q524" s="270"/>
      <c r="R524" s="108" t="s">
        <v>689</v>
      </c>
      <c r="S524" s="310"/>
      <c r="V524" s="271" t="s">
        <v>1994</v>
      </c>
      <c r="W524" s="243" t="str">
        <f>VLOOKUP(V524,名簿!A:L,3,FALSE)</f>
        <v>技術製造部</v>
      </c>
      <c r="X524" s="243" t="str">
        <f>VLOOKUP(V524,名簿!A:L,4,FALSE)</f>
        <v>製造課</v>
      </c>
      <c r="Y524" s="243" t="str">
        <f>VLOOKUP(V524,名簿!A:L,5,FALSE)</f>
        <v>バルク・顆粒</v>
      </c>
      <c r="Z524" s="243" t="str">
        <f>VLOOKUP(V524,名簿!A:L,11,FALSE)</f>
        <v>コスメラボラトリー</v>
      </c>
      <c r="AA524" s="243" t="str">
        <f>VLOOKUP(V524,名簿!A:L,12,FALSE)</f>
        <v>2F/事務所</v>
      </c>
    </row>
    <row r="525" spans="1:27">
      <c r="A525" s="301">
        <v>519</v>
      </c>
      <c r="B525" s="248">
        <v>46070</v>
      </c>
      <c r="F525" s="252" t="s">
        <v>1993</v>
      </c>
      <c r="L525" s="265">
        <v>1</v>
      </c>
      <c r="N525" s="265">
        <v>1</v>
      </c>
      <c r="P525" s="250">
        <v>3</v>
      </c>
      <c r="Q525" s="250"/>
      <c r="S525" s="310"/>
      <c r="V525" s="243" t="s">
        <v>489</v>
      </c>
      <c r="W525" s="243" t="str">
        <f>VLOOKUP(V525,名簿!A:L,3,FALSE)</f>
        <v>技術製造部</v>
      </c>
      <c r="X525" s="243" t="str">
        <f>VLOOKUP(V525,名簿!A:L,4,FALSE)</f>
        <v>生産管理課</v>
      </c>
      <c r="Y525" s="243" t="str">
        <f>VLOOKUP(V525,名簿!A:L,5,FALSE)</f>
        <v>生産管理事務</v>
      </c>
      <c r="Z525" s="243" t="str">
        <f>VLOOKUP(V525,名簿!A:L,11,FALSE)</f>
        <v>本社</v>
      </c>
      <c r="AA525" s="243" t="str">
        <f>VLOOKUP(V525,名簿!A:L,12,FALSE)</f>
        <v>3F/シンク前</v>
      </c>
    </row>
    <row r="526" spans="1:27">
      <c r="A526" s="301">
        <v>520</v>
      </c>
      <c r="B526" s="248">
        <v>46071</v>
      </c>
      <c r="F526" s="252" t="s">
        <v>1993</v>
      </c>
      <c r="L526" s="265">
        <v>1</v>
      </c>
      <c r="N526" s="265">
        <v>1</v>
      </c>
      <c r="P526" s="269">
        <v>5</v>
      </c>
      <c r="Q526" s="269">
        <f>P526</f>
        <v>5</v>
      </c>
      <c r="R526" s="108" t="s">
        <v>695</v>
      </c>
      <c r="S526" s="310"/>
      <c r="V526" s="267" t="s">
        <v>420</v>
      </c>
      <c r="W526" s="243" t="str">
        <f>VLOOKUP(V526,名簿!A:L,3,FALSE)</f>
        <v>技術製造部</v>
      </c>
      <c r="X526" s="243" t="str">
        <f>VLOOKUP(V526,名簿!A:L,4,FALSE)</f>
        <v>製造課</v>
      </c>
      <c r="Y526" s="243" t="str">
        <f>VLOOKUP(V526,名簿!A:L,5,FALSE)</f>
        <v>粉体</v>
      </c>
      <c r="Z526" s="243" t="str">
        <f>VLOOKUP(V526,名簿!A:L,11,FALSE)</f>
        <v>コスメラボラトリー</v>
      </c>
      <c r="AA526" s="243" t="str">
        <f>VLOOKUP(V526,名簿!A:L,12,FALSE)</f>
        <v>2F/作業場南</v>
      </c>
    </row>
    <row r="527" spans="1:27">
      <c r="A527" s="301">
        <v>521</v>
      </c>
      <c r="B527" s="248">
        <v>46071</v>
      </c>
      <c r="F527" s="252" t="s">
        <v>1993</v>
      </c>
      <c r="L527" s="265">
        <v>1</v>
      </c>
      <c r="N527" s="265">
        <v>1</v>
      </c>
      <c r="P527" s="250">
        <v>3</v>
      </c>
      <c r="Q527" s="250"/>
      <c r="S527" s="310"/>
      <c r="V527" s="243" t="s">
        <v>434</v>
      </c>
      <c r="W527" s="243" t="str">
        <f>VLOOKUP(V527,名簿!A:L,3,FALSE)</f>
        <v>技術製造部</v>
      </c>
      <c r="X527" s="243" t="str">
        <f>VLOOKUP(V527,名簿!A:L,4,FALSE)</f>
        <v>製造課</v>
      </c>
      <c r="Y527" s="243" t="str">
        <f>VLOOKUP(V527,名簿!A:L,5,FALSE)</f>
        <v>バルク・顆粒</v>
      </c>
      <c r="Z527" s="243" t="str">
        <f>VLOOKUP(V527,名簿!A:L,11,FALSE)</f>
        <v>コスメファクトリー</v>
      </c>
      <c r="AA527" s="243" t="str">
        <f>VLOOKUP(V527,名簿!A:L,12,FALSE)</f>
        <v>1F/バルク室</v>
      </c>
    </row>
    <row r="528" spans="1:27">
      <c r="A528" s="301">
        <v>522</v>
      </c>
      <c r="B528" s="248">
        <v>46071</v>
      </c>
      <c r="F528" s="252" t="s">
        <v>1993</v>
      </c>
      <c r="L528" s="265">
        <v>1</v>
      </c>
      <c r="N528" s="265">
        <v>1</v>
      </c>
      <c r="P528" s="270">
        <v>2</v>
      </c>
      <c r="Q528" s="270"/>
      <c r="R528" s="108" t="s">
        <v>702</v>
      </c>
      <c r="S528" s="310"/>
      <c r="V528" s="271" t="s">
        <v>555</v>
      </c>
      <c r="W528" s="243" t="str">
        <f>VLOOKUP(V528,名簿!A:L,3,FALSE)</f>
        <v>技術製造部</v>
      </c>
      <c r="X528" s="243" t="str">
        <f>VLOOKUP(V528,名簿!A:L,4,FALSE)</f>
        <v>製造課</v>
      </c>
      <c r="Y528" s="243" t="str">
        <f>VLOOKUP(V528,名簿!A:L,5,FALSE)</f>
        <v>液体</v>
      </c>
      <c r="Z528" s="243" t="str">
        <f>VLOOKUP(V528,名簿!A:L,11,FALSE)</f>
        <v>本社</v>
      </c>
      <c r="AA528" s="243" t="str">
        <f>VLOOKUP(V528,名簿!A:L,12,FALSE)</f>
        <v>3F/シンク前</v>
      </c>
    </row>
    <row r="529" spans="1:27">
      <c r="A529" s="301">
        <v>523</v>
      </c>
      <c r="B529" s="248">
        <v>46071</v>
      </c>
      <c r="F529" s="252" t="s">
        <v>1993</v>
      </c>
      <c r="L529" s="265">
        <v>1</v>
      </c>
      <c r="N529" s="265">
        <v>1</v>
      </c>
      <c r="P529" s="269">
        <v>5</v>
      </c>
      <c r="Q529" s="269">
        <f t="shared" ref="Q529:Q530" si="2">P529</f>
        <v>5</v>
      </c>
      <c r="R529" s="108" t="s">
        <v>2050</v>
      </c>
      <c r="S529" s="310"/>
      <c r="V529" s="267" t="s">
        <v>495</v>
      </c>
      <c r="W529" s="243" t="str">
        <f>VLOOKUP(V529,名簿!A:L,3,FALSE)</f>
        <v>技術製造部</v>
      </c>
      <c r="X529" s="243" t="str">
        <f>VLOOKUP(V529,名簿!A:L,4,FALSE)</f>
        <v>生産管理課</v>
      </c>
      <c r="Y529" s="243" t="str">
        <f>VLOOKUP(V529,名簿!A:L,5,FALSE)</f>
        <v>生産管理</v>
      </c>
      <c r="Z529" s="243" t="str">
        <f>VLOOKUP(V529,名簿!A:L,11,FALSE)</f>
        <v>本社</v>
      </c>
      <c r="AA529" s="243" t="str">
        <f>VLOOKUP(V529,名簿!A:L,12,FALSE)</f>
        <v>3F/シンク前</v>
      </c>
    </row>
    <row r="530" spans="1:27">
      <c r="A530" s="301">
        <v>524</v>
      </c>
      <c r="B530" s="248">
        <v>46071</v>
      </c>
      <c r="F530" s="252" t="s">
        <v>1993</v>
      </c>
      <c r="L530" s="265">
        <v>1</v>
      </c>
      <c r="N530" s="265">
        <v>1</v>
      </c>
      <c r="P530" s="250">
        <v>4</v>
      </c>
      <c r="Q530" s="250">
        <f t="shared" si="2"/>
        <v>4</v>
      </c>
      <c r="S530" s="310"/>
      <c r="V530" s="266" t="s">
        <v>403</v>
      </c>
      <c r="W530" s="243" t="str">
        <f>VLOOKUP(V530,名簿!A:L,3,FALSE)</f>
        <v>技術製造部</v>
      </c>
      <c r="X530" s="243" t="str">
        <f>VLOOKUP(V530,名簿!A:L,4,FALSE)</f>
        <v>製造課</v>
      </c>
      <c r="Y530" s="243" t="str">
        <f>VLOOKUP(V530,名簿!A:L,5,FALSE)</f>
        <v>充填包装</v>
      </c>
      <c r="Z530" s="243" t="str">
        <f>VLOOKUP(V530,名簿!A:L,11,FALSE)</f>
        <v>コスメファクトリー</v>
      </c>
      <c r="AA530" s="243" t="str">
        <f>VLOOKUP(V530,名簿!A:L,12,FALSE)</f>
        <v>2F/充填ライン南</v>
      </c>
    </row>
    <row r="531" spans="1:27">
      <c r="A531" s="301">
        <v>525</v>
      </c>
      <c r="B531" s="248">
        <v>46071</v>
      </c>
      <c r="F531" s="252" t="s">
        <v>1993</v>
      </c>
      <c r="L531" s="265">
        <v>1</v>
      </c>
      <c r="N531" s="265">
        <v>1</v>
      </c>
      <c r="P531" s="270">
        <v>2</v>
      </c>
      <c r="Q531" s="270"/>
      <c r="R531" s="108" t="s">
        <v>712</v>
      </c>
      <c r="S531" s="310"/>
      <c r="V531" s="271" t="s">
        <v>435</v>
      </c>
      <c r="W531" s="243" t="str">
        <f>VLOOKUP(V531,名簿!A:L,3,FALSE)</f>
        <v>技術製造部</v>
      </c>
      <c r="X531" s="243" t="str">
        <f>VLOOKUP(V531,名簿!A:L,4,FALSE)</f>
        <v>製造課</v>
      </c>
      <c r="Y531" s="243" t="str">
        <f>VLOOKUP(V531,名簿!A:L,5,FALSE)</f>
        <v>バルク・顆粒</v>
      </c>
      <c r="Z531" s="243" t="str">
        <f>VLOOKUP(V531,名簿!A:L,11,FALSE)</f>
        <v>コスメファクトリー</v>
      </c>
      <c r="AA531" s="243" t="str">
        <f>VLOOKUP(V531,名簿!A:L,12,FALSE)</f>
        <v>1F/バルク室</v>
      </c>
    </row>
    <row r="532" spans="1:27">
      <c r="A532" s="301">
        <v>526</v>
      </c>
      <c r="B532" s="248">
        <v>46072</v>
      </c>
      <c r="F532" s="252" t="s">
        <v>1993</v>
      </c>
      <c r="L532" s="265">
        <v>1</v>
      </c>
      <c r="N532" s="265">
        <v>1</v>
      </c>
      <c r="P532" s="251">
        <v>3</v>
      </c>
      <c r="R532" s="108" t="s">
        <v>721</v>
      </c>
      <c r="S532" s="310"/>
      <c r="V532" s="243" t="s">
        <v>506</v>
      </c>
      <c r="W532" s="243" t="str">
        <f>VLOOKUP(V532,名簿!A:L,3,FALSE)</f>
        <v>技術製造部</v>
      </c>
      <c r="X532" s="243" t="str">
        <f>VLOOKUP(V532,名簿!A:L,4,FALSE)</f>
        <v>生産管理課</v>
      </c>
      <c r="Y532" s="243" t="str">
        <f>VLOOKUP(V532,名簿!A:L,5,FALSE)</f>
        <v>生産管理</v>
      </c>
      <c r="Z532" s="243" t="str">
        <f>VLOOKUP(V532,名簿!A:L,11,FALSE)</f>
        <v>本社</v>
      </c>
      <c r="AA532" s="243" t="str">
        <f>VLOOKUP(V532,名簿!A:L,12,FALSE)</f>
        <v>3F/シンク前</v>
      </c>
    </row>
    <row r="533" spans="1:27">
      <c r="A533" s="301">
        <v>527</v>
      </c>
      <c r="B533" s="248">
        <v>46072</v>
      </c>
      <c r="F533" s="252" t="s">
        <v>1993</v>
      </c>
      <c r="L533" s="265">
        <v>1</v>
      </c>
      <c r="N533" s="265">
        <v>1</v>
      </c>
      <c r="P533" s="269">
        <v>5</v>
      </c>
      <c r="Q533" s="269">
        <f>P533</f>
        <v>5</v>
      </c>
      <c r="R533" s="108" t="s">
        <v>727</v>
      </c>
      <c r="S533" s="310"/>
      <c r="V533" s="267" t="s">
        <v>547</v>
      </c>
      <c r="W533" s="243" t="str">
        <f>VLOOKUP(V533,名簿!A:L,3,FALSE)</f>
        <v>管理部</v>
      </c>
      <c r="X533" s="243" t="str">
        <f>VLOOKUP(V533,名簿!A:L,4,FALSE)</f>
        <v>管理課</v>
      </c>
      <c r="Y533" s="243" t="str">
        <f>VLOOKUP(V533,名簿!A:L,5,FALSE)</f>
        <v>-</v>
      </c>
      <c r="Z533" s="243" t="str">
        <f>VLOOKUP(V533,名簿!A:L,11,FALSE)</f>
        <v>本社</v>
      </c>
      <c r="AA533" s="243" t="str">
        <f>VLOOKUP(V533,名簿!A:L,12,FALSE)</f>
        <v>3F/シンク前</v>
      </c>
    </row>
    <row r="534" spans="1:27">
      <c r="A534" s="301">
        <v>528</v>
      </c>
      <c r="B534" s="248">
        <v>46072</v>
      </c>
      <c r="F534" s="252" t="s">
        <v>1993</v>
      </c>
      <c r="L534" s="265">
        <v>1</v>
      </c>
      <c r="N534" s="265">
        <v>1</v>
      </c>
      <c r="P534" s="250">
        <v>3</v>
      </c>
      <c r="Q534" s="250"/>
      <c r="S534" s="310"/>
      <c r="V534" s="243" t="s">
        <v>535</v>
      </c>
      <c r="W534" s="243" t="str">
        <f>VLOOKUP(V534,名簿!A:L,3,FALSE)</f>
        <v>管理部</v>
      </c>
      <c r="X534" s="243" t="str">
        <f>VLOOKUP(V534,名簿!A:L,4,FALSE)</f>
        <v>管理課</v>
      </c>
      <c r="Y534" s="243" t="str">
        <f>VLOOKUP(V534,名簿!A:L,5,FALSE)</f>
        <v>-</v>
      </c>
      <c r="Z534" s="243" t="str">
        <f>VLOOKUP(V534,名簿!A:L,11,FALSE)</f>
        <v>本社</v>
      </c>
      <c r="AA534" s="243" t="str">
        <f>VLOOKUP(V534,名簿!A:L,12,FALSE)</f>
        <v>3F/シンク前</v>
      </c>
    </row>
    <row r="535" spans="1:27">
      <c r="A535" s="301">
        <v>529</v>
      </c>
      <c r="B535" s="248">
        <v>46072</v>
      </c>
      <c r="F535" s="252" t="s">
        <v>1993</v>
      </c>
      <c r="L535" s="265">
        <v>1</v>
      </c>
      <c r="N535" s="265">
        <v>1</v>
      </c>
      <c r="P535" s="250">
        <v>4</v>
      </c>
      <c r="Q535" s="250">
        <f>P535</f>
        <v>4</v>
      </c>
      <c r="R535" s="108" t="s">
        <v>737</v>
      </c>
      <c r="S535" s="310"/>
      <c r="V535" s="266" t="s">
        <v>541</v>
      </c>
      <c r="W535" s="243" t="str">
        <f>VLOOKUP(V535,名簿!A:L,3,FALSE)</f>
        <v>管理部</v>
      </c>
      <c r="X535" s="243" t="str">
        <f>VLOOKUP(V535,名簿!A:L,4,FALSE)</f>
        <v>管理課</v>
      </c>
      <c r="Y535" s="243" t="str">
        <f>VLOOKUP(V535,名簿!A:L,5,FALSE)</f>
        <v>-</v>
      </c>
      <c r="Z535" s="243" t="str">
        <f>VLOOKUP(V535,名簿!A:L,11,FALSE)</f>
        <v>本社</v>
      </c>
      <c r="AA535" s="243" t="str">
        <f>VLOOKUP(V535,名簿!A:L,12,FALSE)</f>
        <v>3F/シンク前</v>
      </c>
    </row>
    <row r="536" spans="1:27">
      <c r="A536" s="301">
        <v>530</v>
      </c>
      <c r="B536" s="248">
        <v>46066</v>
      </c>
      <c r="F536" s="252" t="s">
        <v>1990</v>
      </c>
      <c r="K536" s="265">
        <v>1</v>
      </c>
      <c r="P536" s="251">
        <v>1</v>
      </c>
      <c r="S536" s="310"/>
      <c r="V536" s="243" t="s">
        <v>1991</v>
      </c>
      <c r="W536" s="243" t="str">
        <f>VLOOKUP(V536,名簿!A:L,3,FALSE)</f>
        <v>技術製造部</v>
      </c>
      <c r="X536" s="243" t="str">
        <f>VLOOKUP(V536,名簿!A:L,4,FALSE)</f>
        <v>-</v>
      </c>
      <c r="Y536" s="243" t="str">
        <f>VLOOKUP(V536,名簿!A:L,5,FALSE)</f>
        <v>-</v>
      </c>
      <c r="Z536" s="243" t="str">
        <f>VLOOKUP(V536,名簿!A:L,11,FALSE)</f>
        <v>コスメラボラトリー</v>
      </c>
      <c r="AA536" s="243" t="str">
        <f>VLOOKUP(V536,名簿!A:L,12,FALSE)</f>
        <v>2F/事務所</v>
      </c>
    </row>
    <row r="537" spans="1:27" ht="22.8">
      <c r="A537" s="301">
        <v>531</v>
      </c>
      <c r="B537" s="248">
        <v>46066</v>
      </c>
      <c r="F537" s="252" t="s">
        <v>1990</v>
      </c>
      <c r="K537" s="265">
        <v>1</v>
      </c>
      <c r="N537" s="265">
        <v>1</v>
      </c>
      <c r="P537" s="251">
        <v>5</v>
      </c>
      <c r="R537" s="108" t="s">
        <v>2052</v>
      </c>
      <c r="S537" s="310"/>
      <c r="V537" s="243" t="s">
        <v>483</v>
      </c>
      <c r="W537" s="243" t="str">
        <f>VLOOKUP(V537,名簿!A:L,3,FALSE)</f>
        <v>技術製造部</v>
      </c>
      <c r="X537" s="243" t="str">
        <f>VLOOKUP(V537,名簿!A:L,4,FALSE)</f>
        <v>生産管理課</v>
      </c>
      <c r="Y537" s="243" t="str">
        <f>VLOOKUP(V537,名簿!A:L,5,FALSE)</f>
        <v>生産管理</v>
      </c>
      <c r="Z537" s="243" t="str">
        <f>VLOOKUP(V537,名簿!A:L,11,FALSE)</f>
        <v>本社</v>
      </c>
      <c r="AA537" s="243" t="str">
        <f>VLOOKUP(V537,名簿!A:L,12,FALSE)</f>
        <v>3F/シンク前</v>
      </c>
    </row>
    <row r="538" spans="1:27">
      <c r="A538" s="301">
        <v>532</v>
      </c>
      <c r="B538" s="248">
        <v>46066</v>
      </c>
      <c r="F538" s="252" t="s">
        <v>1990</v>
      </c>
      <c r="K538" s="265">
        <v>1</v>
      </c>
      <c r="P538" s="251">
        <v>1</v>
      </c>
      <c r="S538" s="310"/>
      <c r="V538" s="243" t="s">
        <v>1992</v>
      </c>
      <c r="W538" s="243" t="str">
        <f>VLOOKUP(V538,名簿!A:L,3,FALSE)</f>
        <v>企画営業部</v>
      </c>
      <c r="X538" s="243" t="str">
        <f>VLOOKUP(V538,名簿!A:L,4,FALSE)</f>
        <v>-</v>
      </c>
      <c r="Y538" s="243" t="str">
        <f>VLOOKUP(V538,名簿!A:L,5,FALSE)</f>
        <v>-</v>
      </c>
      <c r="Z538" s="243" t="str">
        <f>VLOOKUP(V538,名簿!A:L,11,FALSE)</f>
        <v>東京営業所</v>
      </c>
      <c r="AA538" s="243" t="str">
        <f>VLOOKUP(V538,名簿!A:L,12,FALSE)</f>
        <v>-</v>
      </c>
    </row>
    <row r="539" spans="1:27" ht="125.4">
      <c r="A539" s="301">
        <v>533</v>
      </c>
      <c r="B539" s="248">
        <v>46066</v>
      </c>
      <c r="F539" s="252" t="s">
        <v>1990</v>
      </c>
      <c r="K539" s="265">
        <v>1</v>
      </c>
      <c r="N539" s="265">
        <v>1</v>
      </c>
      <c r="O539" s="265">
        <v>1</v>
      </c>
      <c r="P539" s="251">
        <v>5</v>
      </c>
      <c r="R539" s="108" t="s">
        <v>2083</v>
      </c>
      <c r="S539" s="310"/>
      <c r="V539" s="243" t="s">
        <v>471</v>
      </c>
      <c r="W539" s="243" t="str">
        <f>VLOOKUP(V539,名簿!A:L,3,FALSE)</f>
        <v>技術製造部</v>
      </c>
      <c r="X539" s="243" t="str">
        <f>VLOOKUP(V539,名簿!A:L,4,FALSE)</f>
        <v>生産管理課</v>
      </c>
      <c r="Y539" s="243" t="str">
        <f>VLOOKUP(V539,名簿!A:L,5,FALSE)</f>
        <v>生産管理</v>
      </c>
      <c r="Z539" s="243" t="str">
        <f>VLOOKUP(V539,名簿!A:L,11,FALSE)</f>
        <v>本社</v>
      </c>
      <c r="AA539" s="243" t="str">
        <f>VLOOKUP(V539,名簿!A:L,12,FALSE)</f>
        <v>3F/シンク前</v>
      </c>
    </row>
    <row r="540" spans="1:27">
      <c r="A540" s="301">
        <v>534</v>
      </c>
      <c r="B540" s="248">
        <v>46066</v>
      </c>
      <c r="F540" s="252" t="s">
        <v>1990</v>
      </c>
      <c r="K540" s="265">
        <v>1</v>
      </c>
      <c r="P540" s="251">
        <v>1</v>
      </c>
      <c r="S540" s="310"/>
      <c r="V540" s="243" t="s">
        <v>478</v>
      </c>
      <c r="W540" s="243" t="str">
        <f>VLOOKUP(V540,名簿!A:L,3,FALSE)</f>
        <v>技術製造部</v>
      </c>
      <c r="X540" s="243" t="str">
        <f>VLOOKUP(V540,名簿!A:L,4,FALSE)</f>
        <v>生産管理課</v>
      </c>
      <c r="Y540" s="243" t="str">
        <f>VLOOKUP(V540,名簿!A:L,5,FALSE)</f>
        <v>物流</v>
      </c>
      <c r="Z540" s="243" t="str">
        <f>VLOOKUP(V540,名簿!A:L,11,FALSE)</f>
        <v>第一倉庫</v>
      </c>
      <c r="AA540" s="243" t="str">
        <f>VLOOKUP(V540,名簿!A:L,12,FALSE)</f>
        <v>1F/南西角</v>
      </c>
    </row>
    <row r="541" spans="1:27" ht="22.8">
      <c r="A541" s="301">
        <v>535</v>
      </c>
      <c r="B541" s="248">
        <v>46066</v>
      </c>
      <c r="F541" s="252" t="s">
        <v>1990</v>
      </c>
      <c r="K541" s="265">
        <v>1</v>
      </c>
      <c r="N541" s="265">
        <v>1</v>
      </c>
      <c r="P541" s="251">
        <v>4</v>
      </c>
      <c r="R541" s="108" t="s">
        <v>2084</v>
      </c>
      <c r="S541" s="310"/>
      <c r="V541" s="243" t="s">
        <v>636</v>
      </c>
      <c r="W541" s="243" t="str">
        <f>VLOOKUP(V541,名簿!A:L,3,FALSE)</f>
        <v>企画営業部</v>
      </c>
      <c r="X541" s="243" t="str">
        <f>VLOOKUP(V541,名簿!A:L,4,FALSE)</f>
        <v>営業課</v>
      </c>
      <c r="Y541" s="243" t="str">
        <f>VLOOKUP(V541,名簿!A:L,5,FALSE)</f>
        <v>-</v>
      </c>
      <c r="Z541" s="243" t="str">
        <f>VLOOKUP(V541,名簿!A:L,11,FALSE)</f>
        <v>東京営業所</v>
      </c>
      <c r="AA541" s="243" t="str">
        <f>VLOOKUP(V541,名簿!A:L,12,FALSE)</f>
        <v>-</v>
      </c>
    </row>
    <row r="542" spans="1:27">
      <c r="A542" s="301">
        <v>536</v>
      </c>
      <c r="B542" s="248">
        <v>46066</v>
      </c>
      <c r="F542" s="252" t="s">
        <v>1990</v>
      </c>
      <c r="K542" s="265">
        <v>1</v>
      </c>
      <c r="P542" s="251">
        <v>1</v>
      </c>
      <c r="S542" s="310"/>
      <c r="V542" s="243" t="s">
        <v>560</v>
      </c>
      <c r="W542" s="243" t="str">
        <f>VLOOKUP(V542,名簿!A:L,3,FALSE)</f>
        <v>技術製造部</v>
      </c>
      <c r="X542" s="243" t="str">
        <f>VLOOKUP(V542,名簿!A:L,4,FALSE)</f>
        <v>製造課</v>
      </c>
      <c r="Y542" s="243" t="str">
        <f>VLOOKUP(V542,名簿!A:L,5,FALSE)</f>
        <v>液体</v>
      </c>
      <c r="Z542" s="243" t="str">
        <f>VLOOKUP(V542,名簿!A:L,11,FALSE)</f>
        <v>本社</v>
      </c>
      <c r="AA542" s="243" t="str">
        <f>VLOOKUP(V542,名簿!A:L,12,FALSE)</f>
        <v>3F/シンク前</v>
      </c>
    </row>
    <row r="543" spans="1:27" ht="68.400000000000006">
      <c r="A543" s="301">
        <v>537</v>
      </c>
      <c r="B543" s="248">
        <v>46069</v>
      </c>
      <c r="F543" s="252" t="s">
        <v>1990</v>
      </c>
      <c r="K543" s="265">
        <v>1</v>
      </c>
      <c r="N543" s="265">
        <v>1</v>
      </c>
      <c r="P543" s="251">
        <v>5</v>
      </c>
      <c r="R543" s="108" t="s">
        <v>650</v>
      </c>
      <c r="S543" s="310"/>
      <c r="V543" s="243" t="s">
        <v>646</v>
      </c>
      <c r="W543" s="243" t="str">
        <f>VLOOKUP(V543,名簿!A:L,3,FALSE)</f>
        <v>企画営業部</v>
      </c>
      <c r="X543" s="243" t="str">
        <f>VLOOKUP(V543,名簿!A:L,4,FALSE)</f>
        <v>営業課</v>
      </c>
      <c r="Y543" s="243" t="str">
        <f>VLOOKUP(V543,名簿!A:L,5,FALSE)</f>
        <v>-</v>
      </c>
      <c r="Z543" s="243" t="str">
        <f>VLOOKUP(V543,名簿!A:L,11,FALSE)</f>
        <v>東京営業所</v>
      </c>
      <c r="AA543" s="243" t="str">
        <f>VLOOKUP(V543,名簿!A:L,12,FALSE)</f>
        <v>-</v>
      </c>
    </row>
    <row r="544" spans="1:27" ht="57">
      <c r="A544" s="301">
        <v>538</v>
      </c>
      <c r="B544" s="248">
        <v>46069</v>
      </c>
      <c r="F544" s="252" t="s">
        <v>1990</v>
      </c>
      <c r="K544" s="265">
        <v>1</v>
      </c>
      <c r="N544" s="265">
        <v>1</v>
      </c>
      <c r="O544" s="265">
        <v>1</v>
      </c>
      <c r="P544" s="251">
        <v>5</v>
      </c>
      <c r="R544" s="108" t="s">
        <v>2085</v>
      </c>
      <c r="S544" s="310"/>
      <c r="V544" s="243" t="s">
        <v>568</v>
      </c>
      <c r="W544" s="243" t="str">
        <f>VLOOKUP(V544,名簿!A:L,3,FALSE)</f>
        <v>品質保証部</v>
      </c>
      <c r="X544" s="243" t="str">
        <f>VLOOKUP(V544,名簿!A:L,4,FALSE)</f>
        <v>品質管理課</v>
      </c>
      <c r="Y544" s="243" t="str">
        <f>VLOOKUP(V544,名簿!A:L,5,FALSE)</f>
        <v>-</v>
      </c>
      <c r="Z544" s="243" t="str">
        <f>VLOOKUP(V544,名簿!A:L,11,FALSE)</f>
        <v>本社</v>
      </c>
      <c r="AA544" s="243" t="str">
        <f>VLOOKUP(V544,名簿!A:L,12,FALSE)</f>
        <v>3F/シンク前</v>
      </c>
    </row>
    <row r="545" spans="1:27">
      <c r="A545" s="301">
        <v>539</v>
      </c>
      <c r="B545" s="248">
        <v>46070</v>
      </c>
      <c r="D545" s="293">
        <v>46091</v>
      </c>
      <c r="E545" s="249">
        <v>1</v>
      </c>
      <c r="F545" s="252" t="s">
        <v>1990</v>
      </c>
      <c r="G545" s="252" t="s">
        <v>2205</v>
      </c>
      <c r="K545" s="265">
        <v>1</v>
      </c>
      <c r="N545" s="265">
        <v>1</v>
      </c>
      <c r="O545" s="265">
        <v>1</v>
      </c>
      <c r="P545" s="251">
        <v>4</v>
      </c>
      <c r="R545" s="108" t="s">
        <v>665</v>
      </c>
      <c r="S545" s="312" t="s">
        <v>2216</v>
      </c>
      <c r="T545" s="108" t="s">
        <v>2217</v>
      </c>
      <c r="V545" s="243" t="s">
        <v>501</v>
      </c>
      <c r="W545" s="243" t="str">
        <f>VLOOKUP(V545,名簿!A:L,3,FALSE)</f>
        <v>技術製造部</v>
      </c>
      <c r="X545" s="243" t="str">
        <f>VLOOKUP(V545,名簿!A:L,4,FALSE)</f>
        <v>製造課</v>
      </c>
      <c r="Y545" s="243" t="str">
        <f>VLOOKUP(V545,名簿!A:L,5,FALSE)</f>
        <v>粉体</v>
      </c>
      <c r="Z545" s="243" t="str">
        <f>VLOOKUP(V545,名簿!A:L,11,FALSE)</f>
        <v>本社</v>
      </c>
      <c r="AA545" s="243" t="str">
        <f>VLOOKUP(V545,名簿!A:L,12,FALSE)</f>
        <v>3F/シンク前</v>
      </c>
    </row>
    <row r="546" spans="1:27">
      <c r="A546" s="301">
        <v>540</v>
      </c>
      <c r="B546" s="248">
        <v>46070</v>
      </c>
      <c r="F546" s="252" t="s">
        <v>1990</v>
      </c>
      <c r="K546" s="265">
        <v>1</v>
      </c>
      <c r="P546" s="251">
        <v>1</v>
      </c>
      <c r="R546" s="108" t="s">
        <v>670</v>
      </c>
      <c r="S546" s="310"/>
      <c r="V546" s="243" t="s">
        <v>524</v>
      </c>
      <c r="W546" s="243" t="str">
        <f>VLOOKUP(V546,名簿!A:L,3,FALSE)</f>
        <v>企画営業部</v>
      </c>
      <c r="X546" s="243" t="str">
        <f>VLOOKUP(V546,名簿!A:L,4,FALSE)</f>
        <v>企画課</v>
      </c>
      <c r="Y546" s="243" t="str">
        <f>VLOOKUP(V546,名簿!A:L,5,FALSE)</f>
        <v>-</v>
      </c>
      <c r="Z546" s="243" t="str">
        <f>VLOOKUP(V546,名簿!A:L,11,FALSE)</f>
        <v>本社</v>
      </c>
      <c r="AA546" s="243" t="str">
        <f>VLOOKUP(V546,名簿!A:L,12,FALSE)</f>
        <v>3F/シンク前</v>
      </c>
    </row>
    <row r="547" spans="1:27" ht="34.200000000000003">
      <c r="A547" s="301">
        <v>541</v>
      </c>
      <c r="B547" s="248">
        <v>46070</v>
      </c>
      <c r="F547" s="252" t="s">
        <v>1990</v>
      </c>
      <c r="K547" s="265">
        <v>1</v>
      </c>
      <c r="O547" s="265">
        <v>1</v>
      </c>
      <c r="P547" s="251">
        <v>4</v>
      </c>
      <c r="R547" s="108" t="s">
        <v>674</v>
      </c>
      <c r="S547" s="310"/>
      <c r="V547" s="243" t="s">
        <v>512</v>
      </c>
      <c r="W547" s="243" t="str">
        <f>VLOOKUP(V547,名簿!A:L,3,FALSE)</f>
        <v>技術製造部</v>
      </c>
      <c r="X547" s="243" t="str">
        <f>VLOOKUP(V547,名簿!A:L,4,FALSE)</f>
        <v>生産管理課</v>
      </c>
      <c r="Y547" s="243" t="str">
        <f>VLOOKUP(V547,名簿!A:L,5,FALSE)</f>
        <v>生産管理事務</v>
      </c>
      <c r="Z547" s="243" t="str">
        <f>VLOOKUP(V547,名簿!A:L,11,FALSE)</f>
        <v>本社</v>
      </c>
      <c r="AA547" s="243" t="str">
        <f>VLOOKUP(V547,名簿!A:L,12,FALSE)</f>
        <v>3F/シンク前</v>
      </c>
    </row>
    <row r="548" spans="1:27">
      <c r="A548" s="301">
        <v>542</v>
      </c>
      <c r="B548" s="248">
        <v>46070</v>
      </c>
      <c r="F548" s="252" t="s">
        <v>1990</v>
      </c>
      <c r="K548" s="265">
        <v>1</v>
      </c>
      <c r="P548" s="251">
        <v>1</v>
      </c>
      <c r="S548" s="310"/>
      <c r="V548" s="243" t="s">
        <v>458</v>
      </c>
      <c r="W548" s="243" t="str">
        <f>VLOOKUP(V548,名簿!A:L,3,FALSE)</f>
        <v>研究開発部</v>
      </c>
      <c r="X548" s="243" t="str">
        <f>VLOOKUP(V548,名簿!A:L,4,FALSE)</f>
        <v>研究開発課</v>
      </c>
      <c r="Y548" s="243" t="str">
        <f>VLOOKUP(V548,名簿!A:L,5,FALSE)</f>
        <v>-</v>
      </c>
      <c r="Z548" s="243" t="str">
        <f>VLOOKUP(V548,名簿!A:L,11,FALSE)</f>
        <v>コスメラボラトリー</v>
      </c>
      <c r="AA548" s="243" t="str">
        <f>VLOOKUP(V548,名簿!A:L,12,FALSE)</f>
        <v>3F/事務所</v>
      </c>
    </row>
    <row r="549" spans="1:27" ht="34.200000000000003">
      <c r="A549" s="301">
        <v>543</v>
      </c>
      <c r="B549" s="248">
        <v>46070</v>
      </c>
      <c r="F549" s="252" t="s">
        <v>1990</v>
      </c>
      <c r="K549" s="265">
        <v>1</v>
      </c>
      <c r="O549" s="265">
        <v>1</v>
      </c>
      <c r="P549" s="251">
        <v>4</v>
      </c>
      <c r="R549" s="108" t="s">
        <v>683</v>
      </c>
      <c r="S549" s="310"/>
      <c r="V549" s="243" t="s">
        <v>530</v>
      </c>
      <c r="W549" s="243" t="str">
        <f>VLOOKUP(V549,名簿!A:L,3,FALSE)</f>
        <v>品質保証部</v>
      </c>
      <c r="X549" s="243" t="str">
        <f>VLOOKUP(V549,名簿!A:L,4,FALSE)</f>
        <v>品質管理課</v>
      </c>
      <c r="Y549" s="243" t="str">
        <f>VLOOKUP(V549,名簿!A:L,5,FALSE)</f>
        <v>-</v>
      </c>
      <c r="Z549" s="243" t="str">
        <f>VLOOKUP(V549,名簿!A:L,11,FALSE)</f>
        <v>本社</v>
      </c>
      <c r="AA549" s="243" t="str">
        <f>VLOOKUP(V549,名簿!A:L,12,FALSE)</f>
        <v>3F/シンク前</v>
      </c>
    </row>
    <row r="550" spans="1:27">
      <c r="A550" s="301">
        <v>544</v>
      </c>
      <c r="B550" s="248">
        <v>46070</v>
      </c>
      <c r="F550" s="252" t="s">
        <v>1990</v>
      </c>
      <c r="K550" s="265">
        <v>1</v>
      </c>
      <c r="P550" s="251">
        <v>1</v>
      </c>
      <c r="S550" s="310"/>
      <c r="V550" s="243" t="s">
        <v>427</v>
      </c>
      <c r="W550" s="243" t="str">
        <f>VLOOKUP(V550,名簿!A:L,3,FALSE)</f>
        <v>技術製造部</v>
      </c>
      <c r="X550" s="243" t="str">
        <f>VLOOKUP(V550,名簿!A:L,4,FALSE)</f>
        <v>製造課</v>
      </c>
      <c r="Y550" s="243" t="str">
        <f>VLOOKUP(V550,名簿!A:L,5,FALSE)</f>
        <v>バルク・顆粒</v>
      </c>
      <c r="Z550" s="243" t="str">
        <f>VLOOKUP(V550,名簿!A:L,11,FALSE)</f>
        <v>コスメファクトリー</v>
      </c>
      <c r="AA550" s="243" t="str">
        <f>VLOOKUP(V550,名簿!A:L,12,FALSE)</f>
        <v>1F/バルク室</v>
      </c>
    </row>
    <row r="551" spans="1:27">
      <c r="A551" s="301">
        <v>545</v>
      </c>
      <c r="B551" s="248">
        <v>46070</v>
      </c>
      <c r="F551" s="252" t="s">
        <v>1990</v>
      </c>
      <c r="K551" s="265">
        <v>1</v>
      </c>
      <c r="P551" s="251">
        <v>1</v>
      </c>
      <c r="S551" s="310"/>
      <c r="V551" s="243" t="s">
        <v>1994</v>
      </c>
      <c r="W551" s="243" t="str">
        <f>VLOOKUP(V551,名簿!A:L,3,FALSE)</f>
        <v>技術製造部</v>
      </c>
      <c r="X551" s="243" t="str">
        <f>VLOOKUP(V551,名簿!A:L,4,FALSE)</f>
        <v>製造課</v>
      </c>
      <c r="Y551" s="243" t="str">
        <f>VLOOKUP(V551,名簿!A:L,5,FALSE)</f>
        <v>バルク・顆粒</v>
      </c>
      <c r="Z551" s="243" t="str">
        <f>VLOOKUP(V551,名簿!A:L,11,FALSE)</f>
        <v>コスメラボラトリー</v>
      </c>
      <c r="AA551" s="243" t="str">
        <f>VLOOKUP(V551,名簿!A:L,12,FALSE)</f>
        <v>2F/事務所</v>
      </c>
    </row>
    <row r="552" spans="1:27">
      <c r="A552" s="301">
        <v>546</v>
      </c>
      <c r="B552" s="248">
        <v>46070</v>
      </c>
      <c r="F552" s="252" t="s">
        <v>1990</v>
      </c>
      <c r="K552" s="265">
        <v>1</v>
      </c>
      <c r="P552" s="251">
        <v>1</v>
      </c>
      <c r="S552" s="310"/>
      <c r="V552" s="243" t="s">
        <v>489</v>
      </c>
      <c r="W552" s="243" t="str">
        <f>VLOOKUP(V552,名簿!A:L,3,FALSE)</f>
        <v>技術製造部</v>
      </c>
      <c r="X552" s="243" t="str">
        <f>VLOOKUP(V552,名簿!A:L,4,FALSE)</f>
        <v>生産管理課</v>
      </c>
      <c r="Y552" s="243" t="str">
        <f>VLOOKUP(V552,名簿!A:L,5,FALSE)</f>
        <v>生産管理事務</v>
      </c>
      <c r="Z552" s="243" t="str">
        <f>VLOOKUP(V552,名簿!A:L,11,FALSE)</f>
        <v>本社</v>
      </c>
      <c r="AA552" s="243" t="str">
        <f>VLOOKUP(V552,名簿!A:L,12,FALSE)</f>
        <v>3F/シンク前</v>
      </c>
    </row>
    <row r="553" spans="1:27">
      <c r="A553" s="301">
        <v>547</v>
      </c>
      <c r="B553" s="248">
        <v>46071</v>
      </c>
      <c r="F553" s="252" t="s">
        <v>1990</v>
      </c>
      <c r="K553" s="265">
        <v>1</v>
      </c>
      <c r="P553" s="251">
        <v>1</v>
      </c>
      <c r="S553" s="310"/>
      <c r="V553" s="243" t="s">
        <v>420</v>
      </c>
      <c r="W553" s="243" t="str">
        <f>VLOOKUP(V553,名簿!A:L,3,FALSE)</f>
        <v>技術製造部</v>
      </c>
      <c r="X553" s="243" t="str">
        <f>VLOOKUP(V553,名簿!A:L,4,FALSE)</f>
        <v>製造課</v>
      </c>
      <c r="Y553" s="243" t="str">
        <f>VLOOKUP(V553,名簿!A:L,5,FALSE)</f>
        <v>粉体</v>
      </c>
      <c r="Z553" s="243" t="str">
        <f>VLOOKUP(V553,名簿!A:L,11,FALSE)</f>
        <v>コスメラボラトリー</v>
      </c>
      <c r="AA553" s="243" t="str">
        <f>VLOOKUP(V553,名簿!A:L,12,FALSE)</f>
        <v>2F/作業場南</v>
      </c>
    </row>
    <row r="554" spans="1:27">
      <c r="A554" s="301">
        <v>548</v>
      </c>
      <c r="B554" s="248">
        <v>46071</v>
      </c>
      <c r="F554" s="252" t="s">
        <v>1990</v>
      </c>
      <c r="K554" s="265">
        <v>1</v>
      </c>
      <c r="P554" s="251">
        <v>1</v>
      </c>
      <c r="R554" s="108" t="s">
        <v>355</v>
      </c>
      <c r="S554" s="310"/>
      <c r="V554" s="243" t="s">
        <v>434</v>
      </c>
      <c r="W554" s="243" t="str">
        <f>VLOOKUP(V554,名簿!A:L,3,FALSE)</f>
        <v>技術製造部</v>
      </c>
      <c r="X554" s="243" t="str">
        <f>VLOOKUP(V554,名簿!A:L,4,FALSE)</f>
        <v>製造課</v>
      </c>
      <c r="Y554" s="243" t="str">
        <f>VLOOKUP(V554,名簿!A:L,5,FALSE)</f>
        <v>バルク・顆粒</v>
      </c>
      <c r="Z554" s="243" t="str">
        <f>VLOOKUP(V554,名簿!A:L,11,FALSE)</f>
        <v>コスメファクトリー</v>
      </c>
      <c r="AA554" s="243" t="str">
        <f>VLOOKUP(V554,名簿!A:L,12,FALSE)</f>
        <v>1F/バルク室</v>
      </c>
    </row>
    <row r="555" spans="1:27">
      <c r="A555" s="301">
        <v>549</v>
      </c>
      <c r="B555" s="248">
        <v>46071</v>
      </c>
      <c r="F555" s="252" t="s">
        <v>1990</v>
      </c>
      <c r="K555" s="265">
        <v>1</v>
      </c>
      <c r="P555" s="251">
        <v>2</v>
      </c>
      <c r="R555" s="108" t="s">
        <v>703</v>
      </c>
      <c r="S555" s="310"/>
      <c r="V555" s="243" t="s">
        <v>555</v>
      </c>
      <c r="W555" s="243" t="str">
        <f>VLOOKUP(V555,名簿!A:L,3,FALSE)</f>
        <v>技術製造部</v>
      </c>
      <c r="X555" s="243" t="str">
        <f>VLOOKUP(V555,名簿!A:L,4,FALSE)</f>
        <v>製造課</v>
      </c>
      <c r="Y555" s="243" t="str">
        <f>VLOOKUP(V555,名簿!A:L,5,FALSE)</f>
        <v>液体</v>
      </c>
      <c r="Z555" s="243" t="str">
        <f>VLOOKUP(V555,名簿!A:L,11,FALSE)</f>
        <v>本社</v>
      </c>
      <c r="AA555" s="243" t="str">
        <f>VLOOKUP(V555,名簿!A:L,12,FALSE)</f>
        <v>3F/シンク前</v>
      </c>
    </row>
    <row r="556" spans="1:27">
      <c r="A556" s="301">
        <v>550</v>
      </c>
      <c r="B556" s="248">
        <v>46071</v>
      </c>
      <c r="F556" s="252" t="s">
        <v>1990</v>
      </c>
      <c r="K556" s="265">
        <v>1</v>
      </c>
      <c r="P556" s="251">
        <v>1</v>
      </c>
      <c r="S556" s="310"/>
      <c r="V556" s="243" t="s">
        <v>495</v>
      </c>
      <c r="W556" s="243" t="str">
        <f>VLOOKUP(V556,名簿!A:L,3,FALSE)</f>
        <v>技術製造部</v>
      </c>
      <c r="X556" s="243" t="str">
        <f>VLOOKUP(V556,名簿!A:L,4,FALSE)</f>
        <v>生産管理課</v>
      </c>
      <c r="Y556" s="243" t="str">
        <f>VLOOKUP(V556,名簿!A:L,5,FALSE)</f>
        <v>生産管理</v>
      </c>
      <c r="Z556" s="243" t="str">
        <f>VLOOKUP(V556,名簿!A:L,11,FALSE)</f>
        <v>本社</v>
      </c>
      <c r="AA556" s="243" t="str">
        <f>VLOOKUP(V556,名簿!A:L,12,FALSE)</f>
        <v>3F/シンク前</v>
      </c>
    </row>
    <row r="557" spans="1:27">
      <c r="A557" s="301">
        <v>551</v>
      </c>
      <c r="B557" s="248">
        <v>46071</v>
      </c>
      <c r="F557" s="252" t="s">
        <v>1990</v>
      </c>
      <c r="K557" s="265">
        <v>1</v>
      </c>
      <c r="P557" s="251">
        <v>1</v>
      </c>
      <c r="R557" s="108" t="s">
        <v>713</v>
      </c>
      <c r="S557" s="310"/>
      <c r="V557" s="243" t="s">
        <v>403</v>
      </c>
      <c r="W557" s="243" t="str">
        <f>VLOOKUP(V557,名簿!A:L,3,FALSE)</f>
        <v>技術製造部</v>
      </c>
      <c r="X557" s="243" t="str">
        <f>VLOOKUP(V557,名簿!A:L,4,FALSE)</f>
        <v>製造課</v>
      </c>
      <c r="Y557" s="243" t="str">
        <f>VLOOKUP(V557,名簿!A:L,5,FALSE)</f>
        <v>充填包装</v>
      </c>
      <c r="Z557" s="243" t="str">
        <f>VLOOKUP(V557,名簿!A:L,11,FALSE)</f>
        <v>コスメファクトリー</v>
      </c>
      <c r="AA557" s="243" t="str">
        <f>VLOOKUP(V557,名簿!A:L,12,FALSE)</f>
        <v>2F/充填ライン南</v>
      </c>
    </row>
    <row r="558" spans="1:27">
      <c r="A558" s="301">
        <v>552</v>
      </c>
      <c r="B558" s="248">
        <v>46071</v>
      </c>
      <c r="F558" s="252" t="s">
        <v>1990</v>
      </c>
      <c r="K558" s="265">
        <v>1</v>
      </c>
      <c r="P558" s="251">
        <v>1</v>
      </c>
      <c r="S558" s="310"/>
      <c r="V558" s="243" t="s">
        <v>435</v>
      </c>
      <c r="W558" s="243" t="str">
        <f>VLOOKUP(V558,名簿!A:L,3,FALSE)</f>
        <v>技術製造部</v>
      </c>
      <c r="X558" s="243" t="str">
        <f>VLOOKUP(V558,名簿!A:L,4,FALSE)</f>
        <v>製造課</v>
      </c>
      <c r="Y558" s="243" t="str">
        <f>VLOOKUP(V558,名簿!A:L,5,FALSE)</f>
        <v>バルク・顆粒</v>
      </c>
      <c r="Z558" s="243" t="str">
        <f>VLOOKUP(V558,名簿!A:L,11,FALSE)</f>
        <v>コスメファクトリー</v>
      </c>
      <c r="AA558" s="243" t="str">
        <f>VLOOKUP(V558,名簿!A:L,12,FALSE)</f>
        <v>1F/バルク室</v>
      </c>
    </row>
    <row r="559" spans="1:27">
      <c r="A559" s="301">
        <v>553</v>
      </c>
      <c r="B559" s="248">
        <v>46072</v>
      </c>
      <c r="F559" s="252" t="s">
        <v>1990</v>
      </c>
      <c r="K559" s="265">
        <v>1</v>
      </c>
      <c r="P559" s="251">
        <v>1</v>
      </c>
      <c r="S559" s="310"/>
      <c r="V559" s="243" t="s">
        <v>506</v>
      </c>
      <c r="W559" s="243" t="str">
        <f>VLOOKUP(V559,名簿!A:L,3,FALSE)</f>
        <v>技術製造部</v>
      </c>
      <c r="X559" s="243" t="str">
        <f>VLOOKUP(V559,名簿!A:L,4,FALSE)</f>
        <v>生産管理課</v>
      </c>
      <c r="Y559" s="243" t="str">
        <f>VLOOKUP(V559,名簿!A:L,5,FALSE)</f>
        <v>生産管理</v>
      </c>
      <c r="Z559" s="243" t="str">
        <f>VLOOKUP(V559,名簿!A:L,11,FALSE)</f>
        <v>本社</v>
      </c>
      <c r="AA559" s="243" t="str">
        <f>VLOOKUP(V559,名簿!A:L,12,FALSE)</f>
        <v>3F/シンク前</v>
      </c>
    </row>
    <row r="560" spans="1:27" ht="22.8">
      <c r="A560" s="301">
        <v>554</v>
      </c>
      <c r="B560" s="248">
        <v>46072</v>
      </c>
      <c r="F560" s="252" t="s">
        <v>1990</v>
      </c>
      <c r="K560" s="265">
        <v>1</v>
      </c>
      <c r="O560" s="265">
        <v>1</v>
      </c>
      <c r="P560" s="251">
        <v>4</v>
      </c>
      <c r="R560" s="108" t="s">
        <v>2086</v>
      </c>
      <c r="S560" s="310"/>
      <c r="V560" s="243" t="s">
        <v>547</v>
      </c>
      <c r="W560" s="243" t="str">
        <f>VLOOKUP(V560,名簿!A:L,3,FALSE)</f>
        <v>管理部</v>
      </c>
      <c r="X560" s="243" t="str">
        <f>VLOOKUP(V560,名簿!A:L,4,FALSE)</f>
        <v>管理課</v>
      </c>
      <c r="Y560" s="243" t="str">
        <f>VLOOKUP(V560,名簿!A:L,5,FALSE)</f>
        <v>-</v>
      </c>
      <c r="Z560" s="243" t="str">
        <f>VLOOKUP(V560,名簿!A:L,11,FALSE)</f>
        <v>本社</v>
      </c>
      <c r="AA560" s="243" t="str">
        <f>VLOOKUP(V560,名簿!A:L,12,FALSE)</f>
        <v>3F/シンク前</v>
      </c>
    </row>
    <row r="561" spans="1:27">
      <c r="A561" s="301">
        <v>555</v>
      </c>
      <c r="B561" s="248">
        <v>46072</v>
      </c>
      <c r="F561" s="252" t="s">
        <v>1990</v>
      </c>
      <c r="K561" s="265">
        <v>1</v>
      </c>
      <c r="P561" s="251">
        <v>1</v>
      </c>
      <c r="S561" s="310"/>
      <c r="V561" s="243" t="s">
        <v>535</v>
      </c>
      <c r="W561" s="243" t="str">
        <f>VLOOKUP(V561,名簿!A:L,3,FALSE)</f>
        <v>管理部</v>
      </c>
      <c r="X561" s="243" t="str">
        <f>VLOOKUP(V561,名簿!A:L,4,FALSE)</f>
        <v>管理課</v>
      </c>
      <c r="Y561" s="243" t="str">
        <f>VLOOKUP(V561,名簿!A:L,5,FALSE)</f>
        <v>-</v>
      </c>
      <c r="Z561" s="243" t="str">
        <f>VLOOKUP(V561,名簿!A:L,11,FALSE)</f>
        <v>本社</v>
      </c>
      <c r="AA561" s="243" t="str">
        <f>VLOOKUP(V561,名簿!A:L,12,FALSE)</f>
        <v>3F/シンク前</v>
      </c>
    </row>
    <row r="562" spans="1:27">
      <c r="A562" s="301">
        <v>556</v>
      </c>
      <c r="B562" s="248">
        <v>46072</v>
      </c>
      <c r="F562" s="252" t="s">
        <v>1990</v>
      </c>
      <c r="K562" s="265">
        <v>1</v>
      </c>
      <c r="P562" s="251">
        <v>1</v>
      </c>
      <c r="S562" s="310"/>
      <c r="V562" s="243" t="s">
        <v>541</v>
      </c>
      <c r="W562" s="243" t="str">
        <f>VLOOKUP(V562,名簿!A:L,3,FALSE)</f>
        <v>管理部</v>
      </c>
      <c r="X562" s="243" t="str">
        <f>VLOOKUP(V562,名簿!A:L,4,FALSE)</f>
        <v>管理課</v>
      </c>
      <c r="Y562" s="243" t="str">
        <f>VLOOKUP(V562,名簿!A:L,5,FALSE)</f>
        <v>-</v>
      </c>
      <c r="Z562" s="243" t="str">
        <f>VLOOKUP(V562,名簿!A:L,11,FALSE)</f>
        <v>本社</v>
      </c>
      <c r="AA562" s="243" t="str">
        <f>VLOOKUP(V562,名簿!A:L,12,FALSE)</f>
        <v>3F/シンク前</v>
      </c>
    </row>
  </sheetData>
  <autoFilter ref="A6:AB562" xr:uid="{27DE317A-A6F1-41FB-9C0D-7D3B393450C6}"/>
  <phoneticPr fontId="1"/>
  <pageMargins left="0.39370078740157483" right="0.39370078740157483" top="0.31496062992125984" bottom="0.19685039370078741" header="0.15748031496062992" footer="0.31496062992125984"/>
  <pageSetup paperSize="8" orientation="landscape" r:id="rId1"/>
  <headerFooter>
    <oddHeader>&amp;L&amp;8&amp;K00-049&amp;P/&amp;N</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D7CB-FA72-47BE-A318-D3AA2C33BE13}">
  <dimension ref="A1:O27"/>
  <sheetViews>
    <sheetView topLeftCell="E1" workbookViewId="0">
      <selection activeCell="K1" sqref="K1"/>
    </sheetView>
  </sheetViews>
  <sheetFormatPr defaultRowHeight="11.4" outlineLevelCol="1"/>
  <cols>
    <col min="1" max="4" width="8.7265625" style="2" hidden="1" customWidth="1" outlineLevel="1"/>
    <col min="5" max="5" width="8.7265625" style="2" collapsed="1"/>
    <col min="6" max="9" width="8.7265625" style="2" customWidth="1"/>
    <col min="10" max="10" width="8.7265625" style="2"/>
    <col min="11" max="15" width="8.7265625" style="2" customWidth="1"/>
    <col min="16" max="16384" width="8.7265625" style="2"/>
  </cols>
  <sheetData>
    <row r="1" spans="1:15">
      <c r="F1" s="276" t="s">
        <v>2103</v>
      </c>
    </row>
    <row r="2" spans="1:15">
      <c r="K2" s="65" t="s">
        <v>2105</v>
      </c>
      <c r="L2" s="65" t="s">
        <v>2106</v>
      </c>
      <c r="M2" s="65" t="s">
        <v>2107</v>
      </c>
      <c r="N2" s="65" t="s">
        <v>606</v>
      </c>
      <c r="O2" s="272" t="s">
        <v>2108</v>
      </c>
    </row>
    <row r="3" spans="1:15">
      <c r="A3" s="2" t="s">
        <v>606</v>
      </c>
      <c r="B3" s="2" t="s">
        <v>1019</v>
      </c>
      <c r="C3" s="2" t="s">
        <v>1020</v>
      </c>
      <c r="D3" s="2" t="s">
        <v>1021</v>
      </c>
      <c r="F3" s="65" t="s">
        <v>2105</v>
      </c>
      <c r="G3" s="65" t="s">
        <v>2106</v>
      </c>
      <c r="H3" s="65" t="s">
        <v>2107</v>
      </c>
      <c r="I3" s="273" t="s">
        <v>2104</v>
      </c>
      <c r="K3" s="66" t="s">
        <v>114</v>
      </c>
      <c r="L3" s="66" t="s">
        <v>2092</v>
      </c>
      <c r="M3" s="66" t="s">
        <v>926</v>
      </c>
      <c r="N3" s="287" t="s">
        <v>443</v>
      </c>
      <c r="O3" s="290">
        <v>5</v>
      </c>
    </row>
    <row r="4" spans="1:15">
      <c r="A4" s="2" t="s">
        <v>1463</v>
      </c>
      <c r="B4" s="2" t="str">
        <f>VLOOKUP(A4,名簿!A:E,3,FALSE)</f>
        <v>EC事業部</v>
      </c>
      <c r="C4" s="2" t="str">
        <f>VLOOKUP(A4,名簿!A:E,4,FALSE)</f>
        <v>EC事業課</v>
      </c>
      <c r="D4" s="2" t="str">
        <f>VLOOKUP(A4,名簿!A:E,5,FALSE)</f>
        <v>-</v>
      </c>
      <c r="F4" s="66" t="s">
        <v>114</v>
      </c>
      <c r="G4" s="66" t="s">
        <v>2092</v>
      </c>
      <c r="H4" s="66" t="s">
        <v>926</v>
      </c>
      <c r="I4" s="69">
        <v>6</v>
      </c>
      <c r="K4" s="67"/>
      <c r="L4" s="67"/>
      <c r="M4" s="67"/>
      <c r="N4" s="283" t="s">
        <v>458</v>
      </c>
      <c r="O4" s="290">
        <v>5</v>
      </c>
    </row>
    <row r="5" spans="1:15">
      <c r="A5" s="2" t="s">
        <v>1347</v>
      </c>
      <c r="B5" s="2" t="str">
        <f>VLOOKUP(A5,名簿!A:E,3,FALSE)</f>
        <v>技術製造部</v>
      </c>
      <c r="C5" s="2" t="str">
        <f>VLOOKUP(A5,名簿!A:E,4,FALSE)</f>
        <v>製造課</v>
      </c>
      <c r="D5" s="2" t="str">
        <f>VLOOKUP(A5,名簿!A:E,5,FALSE)</f>
        <v>充填包装</v>
      </c>
      <c r="F5" s="66" t="s">
        <v>123</v>
      </c>
      <c r="G5" s="66" t="s">
        <v>2094</v>
      </c>
      <c r="H5" s="66" t="s">
        <v>926</v>
      </c>
      <c r="I5" s="69">
        <v>1</v>
      </c>
      <c r="K5" s="67"/>
      <c r="L5" s="67"/>
      <c r="M5" s="67"/>
      <c r="N5" s="284"/>
      <c r="O5" s="274">
        <v>4</v>
      </c>
    </row>
    <row r="6" spans="1:15">
      <c r="A6" s="2" t="s">
        <v>1261</v>
      </c>
      <c r="B6" s="2" t="str">
        <f>VLOOKUP(A6,名簿!A:E,3,FALSE)</f>
        <v>技術製造部</v>
      </c>
      <c r="C6" s="2" t="str">
        <f>VLOOKUP(A6,名簿!A:E,4,FALSE)</f>
        <v>生産管理課</v>
      </c>
      <c r="D6" s="2" t="str">
        <f>VLOOKUP(A6,名簿!A:E,5,FALSE)</f>
        <v>物流</v>
      </c>
      <c r="F6" s="66" t="s">
        <v>111</v>
      </c>
      <c r="G6" s="66" t="s">
        <v>117</v>
      </c>
      <c r="H6" s="66" t="s">
        <v>2098</v>
      </c>
      <c r="I6" s="69">
        <v>2</v>
      </c>
      <c r="K6" s="67"/>
      <c r="L6" s="67"/>
      <c r="M6" s="67"/>
      <c r="N6" s="68" t="s">
        <v>376</v>
      </c>
      <c r="O6" s="273">
        <v>4</v>
      </c>
    </row>
    <row r="7" spans="1:15">
      <c r="A7" s="2" t="s">
        <v>1159</v>
      </c>
      <c r="B7" s="2" t="str">
        <f>VLOOKUP(A7,名簿!A:E,3,FALSE)</f>
        <v>研究開発部</v>
      </c>
      <c r="C7" s="2" t="str">
        <f>VLOOKUP(A7,名簿!A:E,4,FALSE)</f>
        <v>研究開発課</v>
      </c>
      <c r="D7" s="2" t="str">
        <f>VLOOKUP(A7,名簿!A:E,5,FALSE)</f>
        <v>-</v>
      </c>
      <c r="F7" s="67"/>
      <c r="G7" s="66" t="s">
        <v>2093</v>
      </c>
      <c r="H7" s="66" t="s">
        <v>2096</v>
      </c>
      <c r="I7" s="69">
        <v>5</v>
      </c>
      <c r="K7" s="66" t="s">
        <v>123</v>
      </c>
      <c r="L7" s="66" t="s">
        <v>2094</v>
      </c>
      <c r="M7" s="66" t="s">
        <v>926</v>
      </c>
      <c r="N7" s="277" t="s">
        <v>530</v>
      </c>
      <c r="O7" s="273">
        <v>4</v>
      </c>
    </row>
    <row r="8" spans="1:15">
      <c r="A8" s="2" t="s">
        <v>1385</v>
      </c>
      <c r="B8" s="2" t="str">
        <f>VLOOKUP(A8,名簿!A:E,3,FALSE)</f>
        <v>技術製造部</v>
      </c>
      <c r="C8" s="2" t="str">
        <f>VLOOKUP(A8,名簿!A:E,4,FALSE)</f>
        <v>製造課</v>
      </c>
      <c r="D8" s="2" t="str">
        <f>VLOOKUP(A8,名簿!A:E,5,FALSE)</f>
        <v>充填包装</v>
      </c>
      <c r="F8" s="67"/>
      <c r="G8" s="67"/>
      <c r="H8" s="70" t="s">
        <v>2095</v>
      </c>
      <c r="I8" s="71">
        <v>1</v>
      </c>
      <c r="K8" s="66" t="s">
        <v>2089</v>
      </c>
      <c r="L8" s="66" t="s">
        <v>2090</v>
      </c>
      <c r="M8" s="66" t="s">
        <v>926</v>
      </c>
      <c r="N8" s="287" t="s">
        <v>2100</v>
      </c>
      <c r="O8" s="290">
        <v>5</v>
      </c>
    </row>
    <row r="9" spans="1:15">
      <c r="A9" s="2" t="s">
        <v>1191</v>
      </c>
      <c r="B9" s="2" t="str">
        <f>VLOOKUP(A9,名簿!A:E,3,FALSE)</f>
        <v>研究開発部</v>
      </c>
      <c r="C9" s="2" t="str">
        <f>VLOOKUP(A9,名簿!A:E,4,FALSE)</f>
        <v>研究開発課</v>
      </c>
      <c r="D9" s="2" t="str">
        <f>VLOOKUP(A9,名簿!A:E,5,FALSE)</f>
        <v>-</v>
      </c>
      <c r="F9" s="66" t="s">
        <v>1578</v>
      </c>
      <c r="G9" s="66" t="s">
        <v>127</v>
      </c>
      <c r="H9" s="66" t="s">
        <v>926</v>
      </c>
      <c r="I9" s="69">
        <v>2</v>
      </c>
      <c r="K9" s="66" t="s">
        <v>111</v>
      </c>
      <c r="L9" s="66" t="s">
        <v>926</v>
      </c>
      <c r="M9" s="66" t="s">
        <v>926</v>
      </c>
      <c r="N9" s="66" t="s">
        <v>1991</v>
      </c>
      <c r="O9" s="290">
        <v>5</v>
      </c>
    </row>
    <row r="10" spans="1:15">
      <c r="A10" s="2" t="s">
        <v>1577</v>
      </c>
      <c r="B10" s="2" t="str">
        <f>VLOOKUP(A10,名簿!A:E,3,FALSE)</f>
        <v>企画営業部</v>
      </c>
      <c r="C10" s="2" t="str">
        <f>VLOOKUP(A10,名簿!A:E,4,FALSE)</f>
        <v>企画課</v>
      </c>
      <c r="D10" s="2" t="str">
        <f>VLOOKUP(A10,名簿!A:E,5,FALSE)</f>
        <v>-</v>
      </c>
      <c r="F10" s="66" t="s">
        <v>2089</v>
      </c>
      <c r="G10" s="66" t="s">
        <v>2090</v>
      </c>
      <c r="H10" s="66" t="s">
        <v>926</v>
      </c>
      <c r="I10" s="69">
        <v>1</v>
      </c>
      <c r="K10" s="67"/>
      <c r="L10" s="66" t="s">
        <v>117</v>
      </c>
      <c r="M10" s="66" t="s">
        <v>1999</v>
      </c>
      <c r="N10" s="66" t="s">
        <v>506</v>
      </c>
      <c r="O10" s="273">
        <v>4</v>
      </c>
    </row>
    <row r="11" spans="1:15">
      <c r="A11" s="2" t="s">
        <v>1190</v>
      </c>
      <c r="B11" s="2" t="str">
        <f>VLOOKUP(A11,名簿!A:E,3,FALSE)</f>
        <v>研究開発部</v>
      </c>
      <c r="C11" s="2" t="str">
        <f>VLOOKUP(A11,名簿!A:E,4,FALSE)</f>
        <v>研究開発課</v>
      </c>
      <c r="D11" s="2" t="str">
        <f>VLOOKUP(A11,名簿!A:E,5,FALSE)</f>
        <v>-</v>
      </c>
      <c r="F11" s="73" t="s">
        <v>331</v>
      </c>
      <c r="G11" s="74"/>
      <c r="H11" s="74"/>
      <c r="I11" s="75">
        <v>18</v>
      </c>
      <c r="K11" s="67"/>
      <c r="L11" s="67"/>
      <c r="M11" s="67"/>
      <c r="N11" s="289" t="s">
        <v>471</v>
      </c>
      <c r="O11" s="290">
        <v>5</v>
      </c>
    </row>
    <row r="12" spans="1:15">
      <c r="A12" s="2" t="s">
        <v>1201</v>
      </c>
      <c r="B12" s="2" t="str">
        <f>VLOOKUP(A12,名簿!A:E,3,FALSE)</f>
        <v>品質保証部</v>
      </c>
      <c r="C12" s="2" t="str">
        <f>VLOOKUP(A12,名簿!A:E,4,FALSE)</f>
        <v>品質管理課</v>
      </c>
      <c r="D12" s="2" t="str">
        <f>VLOOKUP(A12,名簿!A:E,5,FALSE)</f>
        <v>-</v>
      </c>
      <c r="K12" s="67"/>
      <c r="L12" s="67"/>
      <c r="M12" s="66" t="s">
        <v>2097</v>
      </c>
      <c r="N12" s="66" t="s">
        <v>512</v>
      </c>
      <c r="O12" s="273">
        <v>4</v>
      </c>
    </row>
    <row r="13" spans="1:15">
      <c r="A13" s="2" t="s">
        <v>1199</v>
      </c>
      <c r="B13" s="2" t="str">
        <f>VLOOKUP(A13,名簿!A:E,3,FALSE)</f>
        <v>研究開発部</v>
      </c>
      <c r="C13" s="2" t="str">
        <f>VLOOKUP(A13,名簿!A:E,4,FALSE)</f>
        <v>研究開発課</v>
      </c>
      <c r="D13" s="2" t="str">
        <f>VLOOKUP(A13,名簿!A:E,5,FALSE)</f>
        <v>-</v>
      </c>
      <c r="K13" s="67"/>
      <c r="L13" s="67"/>
      <c r="M13" s="66" t="s">
        <v>2098</v>
      </c>
      <c r="N13" s="283" t="s">
        <v>478</v>
      </c>
      <c r="O13" s="290">
        <v>5</v>
      </c>
    </row>
    <row r="14" spans="1:15">
      <c r="A14" s="2" t="s">
        <v>1502</v>
      </c>
      <c r="B14" s="2" t="str">
        <f>VLOOKUP(A14,名簿!A:E,3,FALSE)</f>
        <v>企画営業部</v>
      </c>
      <c r="C14" s="2" t="str">
        <f>VLOOKUP(A14,名簿!A:E,4,FALSE)</f>
        <v>企画課</v>
      </c>
      <c r="D14" s="2" t="str">
        <f>VLOOKUP(A14,名簿!A:E,5,FALSE)</f>
        <v>-</v>
      </c>
      <c r="K14" s="67"/>
      <c r="L14" s="67"/>
      <c r="M14" s="67"/>
      <c r="N14" s="284"/>
      <c r="O14" s="274">
        <v>4</v>
      </c>
    </row>
    <row r="15" spans="1:15">
      <c r="A15" s="2" t="s">
        <v>1367</v>
      </c>
      <c r="B15" s="2" t="str">
        <f>VLOOKUP(A15,名簿!A:E,3,FALSE)</f>
        <v>技術製造部</v>
      </c>
      <c r="C15" s="2" t="str">
        <f>VLOOKUP(A15,名簿!A:E,4,FALSE)</f>
        <v>製造課</v>
      </c>
      <c r="D15" s="2" t="str">
        <f>VLOOKUP(A15,名簿!A:E,5,FALSE)</f>
        <v>充填包装</v>
      </c>
      <c r="K15" s="67"/>
      <c r="L15" s="66" t="s">
        <v>2093</v>
      </c>
      <c r="M15" s="66" t="s">
        <v>2095</v>
      </c>
      <c r="N15" s="277" t="s">
        <v>427</v>
      </c>
      <c r="O15" s="290">
        <v>5</v>
      </c>
    </row>
    <row r="16" spans="1:15">
      <c r="A16" s="2" t="s">
        <v>1376</v>
      </c>
      <c r="B16" s="2" t="str">
        <f>VLOOKUP(A16,名簿!A:E,3,FALSE)</f>
        <v>技術製造部</v>
      </c>
      <c r="C16" s="2" t="str">
        <f>VLOOKUP(A16,名簿!A:E,4,FALSE)</f>
        <v>製造課</v>
      </c>
      <c r="D16" s="2" t="str">
        <f>VLOOKUP(A16,名簿!A:E,5,FALSE)</f>
        <v>充填包装</v>
      </c>
      <c r="K16" s="67"/>
      <c r="L16" s="67"/>
      <c r="M16" s="66" t="s">
        <v>2154</v>
      </c>
      <c r="N16" s="277" t="s">
        <v>555</v>
      </c>
      <c r="O16" s="273">
        <v>4</v>
      </c>
    </row>
    <row r="17" spans="1:15">
      <c r="A17" s="2" t="s">
        <v>1278</v>
      </c>
      <c r="B17" s="2" t="str">
        <f>VLOOKUP(A17,名簿!A:E,3,FALSE)</f>
        <v>技術製造部</v>
      </c>
      <c r="C17" s="2" t="str">
        <f>VLOOKUP(A17,名簿!A:E,4,FALSE)</f>
        <v>生産管理課</v>
      </c>
      <c r="D17" s="2" t="str">
        <f>VLOOKUP(A17,名簿!A:E,5,FALSE)</f>
        <v>物流</v>
      </c>
      <c r="K17" s="67"/>
      <c r="L17" s="67"/>
      <c r="M17" s="66" t="s">
        <v>2096</v>
      </c>
      <c r="N17" s="283" t="s">
        <v>403</v>
      </c>
      <c r="O17" s="290">
        <v>5</v>
      </c>
    </row>
    <row r="18" spans="1:15">
      <c r="A18" s="2" t="s">
        <v>1193</v>
      </c>
      <c r="B18" s="2" t="str">
        <f>VLOOKUP(A18,名簿!A:E,3,FALSE)</f>
        <v>研究開発部</v>
      </c>
      <c r="C18" s="2" t="str">
        <f>VLOOKUP(A18,名簿!A:E,4,FALSE)</f>
        <v>研究開発課</v>
      </c>
      <c r="D18" s="2" t="str">
        <f>VLOOKUP(A18,名簿!A:E,5,FALSE)</f>
        <v>-</v>
      </c>
      <c r="K18" s="67"/>
      <c r="L18" s="67"/>
      <c r="M18" s="67"/>
      <c r="N18" s="284"/>
      <c r="O18" s="274">
        <v>4</v>
      </c>
    </row>
    <row r="19" spans="1:15">
      <c r="A19" s="2" t="s">
        <v>1188</v>
      </c>
      <c r="B19" s="2" t="str">
        <f>VLOOKUP(A19,名簿!A:E,3,FALSE)</f>
        <v>研究開発部</v>
      </c>
      <c r="C19" s="2" t="str">
        <f>VLOOKUP(A19,名簿!A:E,4,FALSE)</f>
        <v>研究開発課</v>
      </c>
      <c r="D19" s="2" t="str">
        <f>VLOOKUP(A19,名簿!A:E,5,FALSE)</f>
        <v>-</v>
      </c>
      <c r="K19" s="67"/>
      <c r="L19" s="67"/>
      <c r="M19" s="66" t="s">
        <v>2099</v>
      </c>
      <c r="N19" s="277" t="s">
        <v>420</v>
      </c>
      <c r="O19" s="290">
        <v>5</v>
      </c>
    </row>
    <row r="20" spans="1:15">
      <c r="A20" s="2" t="s">
        <v>1437</v>
      </c>
      <c r="B20" s="2" t="str">
        <f>VLOOKUP(A20,名簿!A:E,3,FALSE)</f>
        <v>技術製造部</v>
      </c>
      <c r="C20" s="2" t="str">
        <f>VLOOKUP(A20,名簿!A:E,4,FALSE)</f>
        <v>製造課</v>
      </c>
      <c r="D20" s="2" t="str">
        <f>VLOOKUP(A20,名簿!A:E,5,FALSE)</f>
        <v>バルク・顆粒</v>
      </c>
      <c r="K20" s="67"/>
      <c r="L20" s="67"/>
      <c r="M20" s="67"/>
      <c r="N20" s="277" t="s">
        <v>501</v>
      </c>
      <c r="O20" s="273">
        <v>4</v>
      </c>
    </row>
    <row r="21" spans="1:15">
      <c r="A21" s="2" t="s">
        <v>1562</v>
      </c>
      <c r="B21" s="2" t="str">
        <f>VLOOKUP(A21,名簿!A:E,3,FALSE)</f>
        <v>技術製造部</v>
      </c>
      <c r="C21" s="2" t="str">
        <f>VLOOKUP(A21,名簿!A:E,4,FALSE)</f>
        <v>製造課</v>
      </c>
      <c r="D21" s="2" t="str">
        <f>VLOOKUP(A21,名簿!A:E,5,FALSE)</f>
        <v>充填包装</v>
      </c>
      <c r="K21" s="66" t="s">
        <v>108</v>
      </c>
      <c r="L21" s="66" t="s">
        <v>2091</v>
      </c>
      <c r="M21" s="66" t="s">
        <v>926</v>
      </c>
      <c r="N21" s="277" t="s">
        <v>547</v>
      </c>
      <c r="O21" s="290">
        <v>5</v>
      </c>
    </row>
    <row r="22" spans="1:15">
      <c r="K22" s="67"/>
      <c r="L22" s="67"/>
      <c r="M22" s="67"/>
      <c r="N22" s="289" t="s">
        <v>541</v>
      </c>
      <c r="O22" s="273">
        <v>4</v>
      </c>
    </row>
    <row r="23" spans="1:15">
      <c r="K23" s="66" t="s">
        <v>1578</v>
      </c>
      <c r="L23" s="66" t="s">
        <v>926</v>
      </c>
      <c r="M23" s="66" t="s">
        <v>926</v>
      </c>
      <c r="N23" s="66" t="s">
        <v>1992</v>
      </c>
      <c r="O23" s="273">
        <v>4</v>
      </c>
    </row>
    <row r="24" spans="1:15">
      <c r="K24" s="67"/>
      <c r="L24" s="66" t="s">
        <v>187</v>
      </c>
      <c r="M24" s="66" t="s">
        <v>926</v>
      </c>
      <c r="N24" s="277" t="s">
        <v>646</v>
      </c>
      <c r="O24" s="290">
        <v>5</v>
      </c>
    </row>
    <row r="25" spans="1:15">
      <c r="K25" s="67"/>
      <c r="L25" s="67"/>
      <c r="M25" s="67"/>
      <c r="N25" s="277" t="s">
        <v>636</v>
      </c>
      <c r="O25" s="290">
        <v>5</v>
      </c>
    </row>
    <row r="26" spans="1:15">
      <c r="K26" s="67"/>
      <c r="L26" s="66" t="s">
        <v>127</v>
      </c>
      <c r="M26" s="66" t="s">
        <v>926</v>
      </c>
      <c r="N26" s="277" t="s">
        <v>524</v>
      </c>
      <c r="O26" s="273">
        <v>4</v>
      </c>
    </row>
    <row r="27" spans="1:15">
      <c r="K27" s="73" t="s">
        <v>331</v>
      </c>
      <c r="L27" s="74"/>
      <c r="M27" s="74"/>
      <c r="N27" s="74"/>
      <c r="O27" s="275"/>
    </row>
  </sheetData>
  <autoFilter ref="A3:D3" xr:uid="{BF87D7CB-FA72-47BE-A318-D3AA2C33BE13}"/>
  <sortState xmlns:xlrd2="http://schemas.microsoft.com/office/spreadsheetml/2017/richdata2" ref="A4:D21">
    <sortCondition ref="A4:A21"/>
  </sortState>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8E0E-414D-4165-AE60-BDC1CA957BF9}">
  <dimension ref="A1:P26"/>
  <sheetViews>
    <sheetView workbookViewId="0"/>
  </sheetViews>
  <sheetFormatPr defaultRowHeight="9.6"/>
  <cols>
    <col min="1" max="2" width="8.7265625" style="233"/>
    <col min="3" max="3" width="9.90625" style="233" bestFit="1" customWidth="1"/>
    <col min="4" max="4" width="4.6328125" style="233" customWidth="1"/>
    <col min="5" max="6" width="4.08984375" style="233" customWidth="1"/>
    <col min="7" max="7" width="60.453125" style="233" bestFit="1" customWidth="1"/>
    <col min="8" max="8" width="7.7265625" style="233" bestFit="1" customWidth="1"/>
    <col min="9" max="9" width="4.6328125" style="233" customWidth="1"/>
    <col min="10" max="10" width="2.6328125" style="236" customWidth="1"/>
    <col min="11" max="11" width="9.26953125" style="236" bestFit="1" customWidth="1"/>
    <col min="12" max="12" width="2.6328125" style="236" customWidth="1"/>
    <col min="13" max="13" width="10.36328125" style="236" bestFit="1" customWidth="1"/>
    <col min="14" max="15" width="2.6328125" style="233" customWidth="1"/>
    <col min="16" max="16384" width="8.7265625" style="233"/>
  </cols>
  <sheetData>
    <row r="1" spans="1:16" s="232" customFormat="1">
      <c r="C1" s="232">
        <v>45838</v>
      </c>
      <c r="G1" s="232">
        <v>45838</v>
      </c>
      <c r="K1" s="232">
        <v>45863</v>
      </c>
      <c r="P1" s="232">
        <v>46073</v>
      </c>
    </row>
    <row r="2" spans="1:16">
      <c r="J2" s="233"/>
      <c r="K2" s="233"/>
      <c r="L2" s="233"/>
      <c r="M2" s="233"/>
    </row>
    <row r="3" spans="1:16">
      <c r="A3" s="234" t="s">
        <v>2001</v>
      </c>
      <c r="C3" s="233" t="s">
        <v>1974</v>
      </c>
      <c r="E3" s="234" t="s">
        <v>69</v>
      </c>
      <c r="J3" s="235" t="s">
        <v>583</v>
      </c>
      <c r="K3" s="236" t="s">
        <v>584</v>
      </c>
      <c r="L3" s="236">
        <v>0</v>
      </c>
      <c r="M3" s="236" t="s">
        <v>585</v>
      </c>
      <c r="O3" s="233">
        <v>1</v>
      </c>
      <c r="P3" s="233" t="s">
        <v>1981</v>
      </c>
    </row>
    <row r="4" spans="1:16">
      <c r="A4" s="233" t="s">
        <v>2002</v>
      </c>
      <c r="C4" s="237" t="s">
        <v>14</v>
      </c>
      <c r="E4" s="238" t="s">
        <v>70</v>
      </c>
      <c r="F4" s="233" t="s">
        <v>71</v>
      </c>
      <c r="J4" s="235" t="s">
        <v>586</v>
      </c>
      <c r="K4" s="236" t="s">
        <v>587</v>
      </c>
      <c r="L4" s="236">
        <v>1</v>
      </c>
      <c r="M4" s="236" t="s">
        <v>588</v>
      </c>
      <c r="O4" s="233">
        <v>2</v>
      </c>
      <c r="P4" s="233" t="s">
        <v>1982</v>
      </c>
    </row>
    <row r="5" spans="1:16">
      <c r="A5" s="233" t="s">
        <v>2003</v>
      </c>
      <c r="C5" s="239"/>
      <c r="E5" s="238" t="s">
        <v>72</v>
      </c>
      <c r="F5" s="233" t="s">
        <v>73</v>
      </c>
      <c r="J5" s="235" t="s">
        <v>589</v>
      </c>
      <c r="K5" s="236" t="s">
        <v>590</v>
      </c>
      <c r="L5" s="236">
        <v>2</v>
      </c>
      <c r="M5" s="236" t="s">
        <v>591</v>
      </c>
      <c r="O5" s="233">
        <v>3</v>
      </c>
      <c r="P5" s="233" t="s">
        <v>1983</v>
      </c>
    </row>
    <row r="6" spans="1:16">
      <c r="A6" s="233" t="s">
        <v>2004</v>
      </c>
      <c r="C6" s="240" t="s">
        <v>60</v>
      </c>
      <c r="E6" s="238" t="s">
        <v>72</v>
      </c>
      <c r="F6" s="233" t="s">
        <v>74</v>
      </c>
      <c r="J6" s="235" t="s">
        <v>592</v>
      </c>
      <c r="K6" s="236" t="s">
        <v>593</v>
      </c>
      <c r="O6" s="233">
        <v>4</v>
      </c>
      <c r="P6" s="233" t="s">
        <v>1984</v>
      </c>
    </row>
    <row r="7" spans="1:16">
      <c r="C7" s="240" t="s">
        <v>19</v>
      </c>
      <c r="E7" s="238" t="s">
        <v>75</v>
      </c>
      <c r="F7" s="233" t="s">
        <v>76</v>
      </c>
      <c r="J7" s="235" t="s">
        <v>594</v>
      </c>
      <c r="K7" s="236" t="s">
        <v>595</v>
      </c>
      <c r="O7" s="233">
        <v>5</v>
      </c>
      <c r="P7" s="233" t="s">
        <v>1985</v>
      </c>
    </row>
    <row r="8" spans="1:16">
      <c r="C8" s="240" t="s">
        <v>30</v>
      </c>
      <c r="J8" s="236" t="s">
        <v>596</v>
      </c>
      <c r="K8" s="236" t="s">
        <v>597</v>
      </c>
    </row>
    <row r="9" spans="1:16">
      <c r="C9" s="240" t="s">
        <v>50</v>
      </c>
    </row>
    <row r="10" spans="1:16">
      <c r="C10" s="241" t="s">
        <v>77</v>
      </c>
      <c r="F10" s="234" t="s">
        <v>78</v>
      </c>
    </row>
    <row r="11" spans="1:16">
      <c r="H11" s="242" t="s">
        <v>79</v>
      </c>
    </row>
    <row r="12" spans="1:16">
      <c r="F12" s="238" t="s">
        <v>70</v>
      </c>
      <c r="G12" s="233" t="s">
        <v>80</v>
      </c>
      <c r="H12" s="242" t="s">
        <v>60</v>
      </c>
    </row>
    <row r="13" spans="1:16">
      <c r="F13" s="238" t="s">
        <v>72</v>
      </c>
      <c r="G13" s="233" t="s">
        <v>81</v>
      </c>
      <c r="H13" s="242" t="s">
        <v>60</v>
      </c>
    </row>
    <row r="14" spans="1:16">
      <c r="F14" s="238" t="s">
        <v>75</v>
      </c>
      <c r="G14" s="233" t="s">
        <v>82</v>
      </c>
      <c r="H14" s="242" t="s">
        <v>60</v>
      </c>
    </row>
    <row r="15" spans="1:16">
      <c r="H15" s="242"/>
    </row>
    <row r="16" spans="1:16">
      <c r="F16" s="238" t="s">
        <v>70</v>
      </c>
      <c r="G16" s="233" t="s">
        <v>83</v>
      </c>
      <c r="H16" s="242" t="s">
        <v>19</v>
      </c>
    </row>
    <row r="17" spans="6:8">
      <c r="F17" s="238" t="s">
        <v>72</v>
      </c>
      <c r="G17" s="233" t="s">
        <v>84</v>
      </c>
      <c r="H17" s="242" t="s">
        <v>19</v>
      </c>
    </row>
    <row r="18" spans="6:8">
      <c r="F18" s="238" t="s">
        <v>75</v>
      </c>
      <c r="G18" s="233" t="s">
        <v>85</v>
      </c>
      <c r="H18" s="242" t="s">
        <v>19</v>
      </c>
    </row>
    <row r="19" spans="6:8">
      <c r="H19" s="242"/>
    </row>
    <row r="20" spans="6:8">
      <c r="F20" s="238" t="s">
        <v>70</v>
      </c>
      <c r="G20" s="233" t="s">
        <v>86</v>
      </c>
      <c r="H20" s="242" t="s">
        <v>30</v>
      </c>
    </row>
    <row r="21" spans="6:8">
      <c r="F21" s="238" t="s">
        <v>72</v>
      </c>
      <c r="G21" s="233" t="s">
        <v>87</v>
      </c>
      <c r="H21" s="242" t="s">
        <v>30</v>
      </c>
    </row>
    <row r="22" spans="6:8">
      <c r="F22" s="238" t="s">
        <v>75</v>
      </c>
      <c r="G22" s="233" t="s">
        <v>88</v>
      </c>
      <c r="H22" s="242" t="s">
        <v>30</v>
      </c>
    </row>
    <row r="23" spans="6:8">
      <c r="H23" s="242"/>
    </row>
    <row r="24" spans="6:8">
      <c r="F24" s="238" t="s">
        <v>70</v>
      </c>
      <c r="G24" s="233" t="s">
        <v>89</v>
      </c>
      <c r="H24" s="242" t="s">
        <v>77</v>
      </c>
    </row>
    <row r="25" spans="6:8">
      <c r="F25" s="238" t="s">
        <v>72</v>
      </c>
      <c r="G25" s="233" t="s">
        <v>90</v>
      </c>
      <c r="H25" s="242" t="s">
        <v>77</v>
      </c>
    </row>
    <row r="26" spans="6:8">
      <c r="F26" s="238" t="s">
        <v>75</v>
      </c>
      <c r="G26" s="233" t="s">
        <v>91</v>
      </c>
      <c r="H26" s="242" t="s">
        <v>77</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5A304-F54B-46C1-9EE3-ECA92BAFA161}">
  <sheetPr>
    <tabColor theme="9" tint="0.59999389629810485"/>
    <outlinePr summaryBelow="0" summaryRight="0"/>
  </sheetPr>
  <dimension ref="A1:J28"/>
  <sheetViews>
    <sheetView zoomScaleNormal="100" workbookViewId="0">
      <pane xSplit="3" ySplit="1" topLeftCell="G17" activePane="bottomRight" state="frozen"/>
      <selection pane="topRight"/>
      <selection pane="bottomLeft"/>
      <selection pane="bottomRight" activeCell="A29" sqref="A29"/>
    </sheetView>
  </sheetViews>
  <sheetFormatPr defaultColWidth="12.54296875" defaultRowHeight="9.6"/>
  <cols>
    <col min="1" max="1" width="8.08984375" style="96" customWidth="1"/>
    <col min="2" max="2" width="18.7265625" style="94" customWidth="1"/>
    <col min="3" max="3" width="8.7265625" style="94" customWidth="1"/>
    <col min="4" max="7" width="40.6328125" style="95" customWidth="1"/>
    <col min="8" max="8" width="16.26953125" style="97" customWidth="1"/>
    <col min="9" max="9" width="40.6328125" style="94" customWidth="1"/>
    <col min="10" max="10" width="70.6328125" style="94" customWidth="1"/>
    <col min="11" max="11" width="18.7265625" style="94" customWidth="1"/>
    <col min="12" max="16" width="15.453125" style="94" customWidth="1"/>
    <col min="17" max="16384" width="12.54296875" style="94"/>
  </cols>
  <sheetData>
    <row r="1" spans="1:10" s="89" customFormat="1" ht="20.399999999999999" customHeight="1">
      <c r="A1" s="85" t="s">
        <v>604</v>
      </c>
      <c r="B1" s="86" t="s">
        <v>605</v>
      </c>
      <c r="C1" s="86" t="s">
        <v>606</v>
      </c>
      <c r="D1" s="87" t="s">
        <v>607</v>
      </c>
      <c r="E1" s="87" t="s">
        <v>608</v>
      </c>
      <c r="F1" s="87" t="s">
        <v>609</v>
      </c>
      <c r="G1" s="87" t="s">
        <v>610</v>
      </c>
      <c r="H1" s="88" t="s">
        <v>2051</v>
      </c>
      <c r="I1" s="86" t="s">
        <v>611</v>
      </c>
      <c r="J1" s="86" t="s">
        <v>612</v>
      </c>
    </row>
    <row r="2" spans="1:10" ht="19.2">
      <c r="A2" s="90">
        <v>46066.558439386572</v>
      </c>
      <c r="B2" s="91" t="s">
        <v>613</v>
      </c>
      <c r="C2" s="91" t="s">
        <v>614</v>
      </c>
      <c r="D2" s="92" t="s">
        <v>615</v>
      </c>
      <c r="E2" s="92"/>
      <c r="F2" s="92" t="s">
        <v>616</v>
      </c>
      <c r="G2" s="92" t="s">
        <v>617</v>
      </c>
      <c r="H2" s="93">
        <v>5</v>
      </c>
      <c r="I2" s="92" t="s">
        <v>618</v>
      </c>
      <c r="J2" s="92"/>
    </row>
    <row r="3" spans="1:10" ht="38.4">
      <c r="A3" s="90">
        <v>46066.566649340282</v>
      </c>
      <c r="B3" s="91" t="s">
        <v>619</v>
      </c>
      <c r="C3" s="91" t="s">
        <v>620</v>
      </c>
      <c r="D3" s="92" t="s">
        <v>621</v>
      </c>
      <c r="E3" s="92" t="s">
        <v>622</v>
      </c>
      <c r="F3" s="92" t="s">
        <v>623</v>
      </c>
      <c r="G3" s="92" t="s">
        <v>624</v>
      </c>
      <c r="H3" s="93">
        <v>5</v>
      </c>
      <c r="I3" s="92" t="s">
        <v>625</v>
      </c>
      <c r="J3" s="92" t="s">
        <v>626</v>
      </c>
    </row>
    <row r="4" spans="1:10">
      <c r="A4" s="90">
        <v>46066.57641519676</v>
      </c>
      <c r="B4" s="91" t="s">
        <v>627</v>
      </c>
      <c r="C4" s="91" t="s">
        <v>628</v>
      </c>
      <c r="D4" s="92" t="s">
        <v>629</v>
      </c>
      <c r="H4" s="93">
        <v>4</v>
      </c>
      <c r="I4" s="95"/>
      <c r="J4" s="95"/>
    </row>
    <row r="5" spans="1:10" ht="96">
      <c r="A5" s="90">
        <v>46066.58418701389</v>
      </c>
      <c r="B5" s="91" t="s">
        <v>619</v>
      </c>
      <c r="C5" s="91" t="s">
        <v>471</v>
      </c>
      <c r="D5" s="92" t="s">
        <v>630</v>
      </c>
      <c r="E5" s="92" t="s">
        <v>631</v>
      </c>
      <c r="H5" s="93">
        <v>5</v>
      </c>
      <c r="I5" s="95"/>
      <c r="J5" s="92" t="s">
        <v>632</v>
      </c>
    </row>
    <row r="6" spans="1:10" ht="19.2">
      <c r="A6" s="90">
        <v>46066.589676747681</v>
      </c>
      <c r="B6" s="91" t="s">
        <v>619</v>
      </c>
      <c r="C6" s="91" t="s">
        <v>478</v>
      </c>
      <c r="D6" s="92" t="s">
        <v>633</v>
      </c>
      <c r="E6" s="92" t="s">
        <v>634</v>
      </c>
      <c r="H6" s="93">
        <v>5</v>
      </c>
      <c r="I6" s="92" t="s">
        <v>635</v>
      </c>
      <c r="J6" s="95"/>
    </row>
    <row r="7" spans="1:10" ht="57.6">
      <c r="A7" s="90">
        <v>46066.606254444443</v>
      </c>
      <c r="B7" s="91" t="s">
        <v>627</v>
      </c>
      <c r="C7" s="91" t="s">
        <v>636</v>
      </c>
      <c r="D7" s="92" t="s">
        <v>637</v>
      </c>
      <c r="E7" s="92" t="s">
        <v>638</v>
      </c>
      <c r="F7" s="92" t="s">
        <v>639</v>
      </c>
      <c r="G7" s="92" t="s">
        <v>640</v>
      </c>
      <c r="H7" s="93">
        <v>5</v>
      </c>
      <c r="I7" s="92" t="s">
        <v>641</v>
      </c>
      <c r="J7" s="92" t="s">
        <v>642</v>
      </c>
    </row>
    <row r="8" spans="1:10" ht="19.2">
      <c r="A8" s="90">
        <v>46066.818250925928</v>
      </c>
      <c r="B8" s="91" t="s">
        <v>643</v>
      </c>
      <c r="C8" s="91" t="s">
        <v>560</v>
      </c>
      <c r="D8" s="92" t="s">
        <v>644</v>
      </c>
      <c r="E8" s="92" t="s">
        <v>645</v>
      </c>
      <c r="H8" s="93">
        <v>3</v>
      </c>
      <c r="I8" s="95"/>
      <c r="J8" s="95"/>
    </row>
    <row r="9" spans="1:10" ht="38.4">
      <c r="A9" s="90">
        <v>46069.721509374998</v>
      </c>
      <c r="B9" s="91" t="s">
        <v>627</v>
      </c>
      <c r="C9" s="91" t="s">
        <v>646</v>
      </c>
      <c r="D9" s="92" t="s">
        <v>647</v>
      </c>
      <c r="F9" s="92" t="s">
        <v>648</v>
      </c>
      <c r="H9" s="93">
        <v>5</v>
      </c>
      <c r="I9" s="92" t="s">
        <v>649</v>
      </c>
      <c r="J9" s="92" t="s">
        <v>650</v>
      </c>
    </row>
    <row r="10" spans="1:10" ht="76.8">
      <c r="A10" s="90">
        <v>46069.726819386575</v>
      </c>
      <c r="B10" s="91" t="s">
        <v>651</v>
      </c>
      <c r="C10" s="91" t="s">
        <v>652</v>
      </c>
      <c r="D10" s="92" t="s">
        <v>653</v>
      </c>
      <c r="E10" s="92" t="s">
        <v>654</v>
      </c>
      <c r="F10" s="92" t="s">
        <v>655</v>
      </c>
      <c r="G10" s="92" t="s">
        <v>656</v>
      </c>
      <c r="H10" s="93">
        <v>3</v>
      </c>
      <c r="I10" s="92" t="s">
        <v>657</v>
      </c>
      <c r="J10" s="92" t="s">
        <v>658</v>
      </c>
    </row>
    <row r="11" spans="1:10" ht="19.2">
      <c r="A11" s="90">
        <v>46070.369406423612</v>
      </c>
      <c r="B11" s="91" t="s">
        <v>643</v>
      </c>
      <c r="C11" s="91" t="s">
        <v>659</v>
      </c>
      <c r="D11" s="92" t="s">
        <v>660</v>
      </c>
      <c r="E11" s="92" t="s">
        <v>661</v>
      </c>
      <c r="F11" s="92" t="s">
        <v>662</v>
      </c>
      <c r="G11" s="92" t="s">
        <v>663</v>
      </c>
      <c r="H11" s="93">
        <v>4</v>
      </c>
      <c r="I11" s="92" t="s">
        <v>664</v>
      </c>
      <c r="J11" s="92" t="s">
        <v>665</v>
      </c>
    </row>
    <row r="12" spans="1:10">
      <c r="A12" s="90">
        <v>46070.377743518518</v>
      </c>
      <c r="B12" s="91" t="s">
        <v>666</v>
      </c>
      <c r="C12" s="91" t="s">
        <v>667</v>
      </c>
      <c r="D12" s="92" t="s">
        <v>668</v>
      </c>
      <c r="E12" s="92" t="s">
        <v>668</v>
      </c>
      <c r="F12" s="92" t="s">
        <v>668</v>
      </c>
      <c r="H12" s="93">
        <v>4</v>
      </c>
      <c r="I12" s="92" t="s">
        <v>669</v>
      </c>
      <c r="J12" s="92" t="s">
        <v>670</v>
      </c>
    </row>
    <row r="13" spans="1:10" ht="48">
      <c r="A13" s="90">
        <v>46070.424340034719</v>
      </c>
      <c r="B13" s="91" t="s">
        <v>619</v>
      </c>
      <c r="C13" s="91" t="s">
        <v>512</v>
      </c>
      <c r="D13" s="92" t="s">
        <v>671</v>
      </c>
      <c r="E13" s="92" t="s">
        <v>672</v>
      </c>
      <c r="F13" s="92" t="s">
        <v>423</v>
      </c>
      <c r="G13" s="92" t="s">
        <v>423</v>
      </c>
      <c r="H13" s="93">
        <v>4</v>
      </c>
      <c r="I13" s="92" t="s">
        <v>673</v>
      </c>
      <c r="J13" s="92" t="s">
        <v>674</v>
      </c>
    </row>
    <row r="14" spans="1:10" ht="28.8">
      <c r="A14" s="90">
        <v>46070.434057152779</v>
      </c>
      <c r="B14" s="91" t="s">
        <v>675</v>
      </c>
      <c r="C14" s="91" t="s">
        <v>458</v>
      </c>
      <c r="D14" s="92" t="s">
        <v>676</v>
      </c>
      <c r="E14" s="92" t="s">
        <v>677</v>
      </c>
      <c r="F14" s="92" t="s">
        <v>358</v>
      </c>
      <c r="G14" s="92" t="s">
        <v>678</v>
      </c>
      <c r="H14" s="93">
        <v>5</v>
      </c>
      <c r="I14" s="92" t="s">
        <v>358</v>
      </c>
      <c r="J14" s="95"/>
    </row>
    <row r="15" spans="1:10" ht="19.2">
      <c r="A15" s="90">
        <v>46070.628067696758</v>
      </c>
      <c r="B15" s="91" t="s">
        <v>651</v>
      </c>
      <c r="C15" s="91" t="s">
        <v>530</v>
      </c>
      <c r="D15" s="92" t="s">
        <v>679</v>
      </c>
      <c r="E15" s="92" t="s">
        <v>680</v>
      </c>
      <c r="F15" s="92" t="s">
        <v>681</v>
      </c>
      <c r="G15" s="92" t="s">
        <v>682</v>
      </c>
      <c r="H15" s="93">
        <v>4</v>
      </c>
      <c r="I15" s="95"/>
      <c r="J15" s="92" t="s">
        <v>683</v>
      </c>
    </row>
    <row r="16" spans="1:10" ht="105.6">
      <c r="A16" s="90">
        <v>46070.743263680561</v>
      </c>
      <c r="B16" s="91" t="s">
        <v>613</v>
      </c>
      <c r="C16" s="91" t="s">
        <v>684</v>
      </c>
      <c r="F16" s="92" t="s">
        <v>685</v>
      </c>
      <c r="G16" s="92" t="s">
        <v>686</v>
      </c>
      <c r="H16" s="93">
        <v>5</v>
      </c>
      <c r="I16" s="95"/>
      <c r="J16" s="95"/>
    </row>
    <row r="17" spans="1:10">
      <c r="A17" s="90">
        <v>46070.785051400468</v>
      </c>
      <c r="B17" s="91" t="s">
        <v>613</v>
      </c>
      <c r="C17" s="91" t="s">
        <v>415</v>
      </c>
      <c r="D17" s="92" t="s">
        <v>687</v>
      </c>
      <c r="E17" s="92" t="s">
        <v>688</v>
      </c>
      <c r="F17" s="92" t="s">
        <v>689</v>
      </c>
      <c r="G17" s="92" t="s">
        <v>689</v>
      </c>
      <c r="H17" s="93">
        <v>2</v>
      </c>
      <c r="I17" s="92" t="s">
        <v>689</v>
      </c>
      <c r="J17" s="95"/>
    </row>
    <row r="18" spans="1:10" ht="38.4">
      <c r="A18" s="90">
        <v>46070.791603379628</v>
      </c>
      <c r="B18" s="91" t="s">
        <v>619</v>
      </c>
      <c r="C18" s="91" t="s">
        <v>489</v>
      </c>
      <c r="D18" s="92" t="s">
        <v>690</v>
      </c>
      <c r="E18" s="92" t="s">
        <v>691</v>
      </c>
      <c r="F18" s="92" t="s">
        <v>692</v>
      </c>
      <c r="H18" s="93">
        <v>3</v>
      </c>
      <c r="I18" s="95"/>
      <c r="J18" s="95"/>
    </row>
    <row r="19" spans="1:10">
      <c r="A19" s="90">
        <v>46071.349112719909</v>
      </c>
      <c r="B19" s="91" t="s">
        <v>643</v>
      </c>
      <c r="C19" s="91" t="s">
        <v>420</v>
      </c>
      <c r="D19" s="92" t="s">
        <v>360</v>
      </c>
      <c r="E19" s="92" t="s">
        <v>693</v>
      </c>
      <c r="F19" s="92" t="s">
        <v>360</v>
      </c>
      <c r="G19" s="92" t="s">
        <v>694</v>
      </c>
      <c r="H19" s="93">
        <v>5</v>
      </c>
      <c r="I19" s="92" t="s">
        <v>695</v>
      </c>
      <c r="J19" s="95"/>
    </row>
    <row r="20" spans="1:10">
      <c r="A20" s="90">
        <v>46071.362237152774</v>
      </c>
      <c r="B20" s="91" t="s">
        <v>613</v>
      </c>
      <c r="C20" s="91" t="s">
        <v>696</v>
      </c>
      <c r="D20" s="92" t="s">
        <v>355</v>
      </c>
      <c r="E20" s="92" t="s">
        <v>355</v>
      </c>
      <c r="F20" s="92" t="s">
        <v>355</v>
      </c>
      <c r="G20" s="92" t="s">
        <v>355</v>
      </c>
      <c r="H20" s="93">
        <v>3</v>
      </c>
      <c r="I20" s="95"/>
      <c r="J20" s="92" t="s">
        <v>355</v>
      </c>
    </row>
    <row r="21" spans="1:10" ht="19.2">
      <c r="A21" s="90">
        <v>46071.539403831019</v>
      </c>
      <c r="B21" s="91" t="s">
        <v>643</v>
      </c>
      <c r="C21" s="91" t="s">
        <v>697</v>
      </c>
      <c r="D21" s="92" t="s">
        <v>698</v>
      </c>
      <c r="E21" s="92" t="s">
        <v>699</v>
      </c>
      <c r="F21" s="92" t="s">
        <v>700</v>
      </c>
      <c r="G21" s="92" t="s">
        <v>701</v>
      </c>
      <c r="H21" s="93">
        <v>2</v>
      </c>
      <c r="I21" s="92" t="s">
        <v>702</v>
      </c>
      <c r="J21" s="92" t="s">
        <v>703</v>
      </c>
    </row>
    <row r="22" spans="1:10" ht="38.4">
      <c r="A22" s="90">
        <v>46071.586982662033</v>
      </c>
      <c r="B22" s="91" t="s">
        <v>619</v>
      </c>
      <c r="C22" s="91" t="s">
        <v>704</v>
      </c>
      <c r="D22" s="92" t="s">
        <v>705</v>
      </c>
      <c r="E22" s="92" t="s">
        <v>706</v>
      </c>
      <c r="F22" s="92" t="s">
        <v>707</v>
      </c>
      <c r="G22" s="92" t="s">
        <v>708</v>
      </c>
      <c r="H22" s="93">
        <v>5</v>
      </c>
      <c r="I22" s="92" t="s">
        <v>709</v>
      </c>
      <c r="J22" s="95"/>
    </row>
    <row r="23" spans="1:10" ht="48">
      <c r="A23" s="90">
        <v>46071.657832928242</v>
      </c>
      <c r="B23" s="91" t="s">
        <v>613</v>
      </c>
      <c r="C23" s="91" t="s">
        <v>403</v>
      </c>
      <c r="D23" s="92" t="s">
        <v>710</v>
      </c>
      <c r="E23" s="92" t="s">
        <v>711</v>
      </c>
      <c r="F23" s="92" t="s">
        <v>712</v>
      </c>
      <c r="G23" s="92" t="s">
        <v>713</v>
      </c>
      <c r="H23" s="93">
        <v>4</v>
      </c>
      <c r="I23" s="95"/>
      <c r="J23" s="92" t="s">
        <v>713</v>
      </c>
    </row>
    <row r="24" spans="1:10" ht="19.2">
      <c r="A24" s="90">
        <v>46071.787887500002</v>
      </c>
      <c r="B24" s="91" t="s">
        <v>613</v>
      </c>
      <c r="C24" s="91" t="s">
        <v>435</v>
      </c>
      <c r="D24" s="92" t="s">
        <v>714</v>
      </c>
      <c r="E24" s="92" t="s">
        <v>423</v>
      </c>
      <c r="F24" s="92" t="s">
        <v>423</v>
      </c>
      <c r="G24" s="92" t="s">
        <v>715</v>
      </c>
      <c r="H24" s="93">
        <v>2</v>
      </c>
      <c r="I24" s="92" t="s">
        <v>712</v>
      </c>
      <c r="J24" s="95"/>
    </row>
    <row r="25" spans="1:10" ht="19.2">
      <c r="A25" s="90">
        <v>46072.424015914352</v>
      </c>
      <c r="B25" s="91" t="s">
        <v>619</v>
      </c>
      <c r="C25" s="91" t="s">
        <v>716</v>
      </c>
      <c r="D25" s="92" t="s">
        <v>717</v>
      </c>
      <c r="E25" s="92" t="s">
        <v>718</v>
      </c>
      <c r="F25" s="92" t="s">
        <v>719</v>
      </c>
      <c r="G25" s="92" t="s">
        <v>720</v>
      </c>
      <c r="H25" s="93">
        <v>1</v>
      </c>
      <c r="I25" s="92" t="s">
        <v>721</v>
      </c>
      <c r="J25" s="95"/>
    </row>
    <row r="26" spans="1:10" ht="57.6">
      <c r="A26" s="90">
        <v>46072.484845046296</v>
      </c>
      <c r="B26" s="91" t="s">
        <v>722</v>
      </c>
      <c r="C26" s="91" t="s">
        <v>723</v>
      </c>
      <c r="D26" s="92" t="s">
        <v>724</v>
      </c>
      <c r="F26" s="92" t="s">
        <v>725</v>
      </c>
      <c r="G26" s="92" t="s">
        <v>726</v>
      </c>
      <c r="H26" s="93">
        <v>5</v>
      </c>
      <c r="I26" s="92" t="s">
        <v>727</v>
      </c>
      <c r="J26" s="92" t="s">
        <v>728</v>
      </c>
    </row>
    <row r="27" spans="1:10" ht="38.4">
      <c r="A27" s="90">
        <v>46072.513638969904</v>
      </c>
      <c r="B27" s="91" t="s">
        <v>722</v>
      </c>
      <c r="C27" s="91" t="s">
        <v>729</v>
      </c>
      <c r="D27" s="92" t="s">
        <v>730</v>
      </c>
      <c r="E27" s="92" t="s">
        <v>731</v>
      </c>
      <c r="F27" s="92" t="s">
        <v>732</v>
      </c>
      <c r="H27" s="93">
        <v>3</v>
      </c>
      <c r="I27" s="95"/>
      <c r="J27" s="95"/>
    </row>
    <row r="28" spans="1:10" ht="48">
      <c r="A28" s="90">
        <v>46072.557460543976</v>
      </c>
      <c r="B28" s="91" t="s">
        <v>722</v>
      </c>
      <c r="C28" s="91" t="s">
        <v>733</v>
      </c>
      <c r="D28" s="92" t="s">
        <v>734</v>
      </c>
      <c r="E28" s="92" t="s">
        <v>735</v>
      </c>
      <c r="F28" s="92" t="s">
        <v>736</v>
      </c>
      <c r="G28" s="92" t="s">
        <v>736</v>
      </c>
      <c r="H28" s="93">
        <v>4</v>
      </c>
      <c r="I28" s="92" t="s">
        <v>737</v>
      </c>
      <c r="J28" s="95"/>
    </row>
  </sheetData>
  <phoneticPr fontId="1"/>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8FC79-A1F6-40E8-B482-F7EACC22D387}">
  <sheetPr>
    <tabColor theme="9" tint="0.79998168889431442"/>
  </sheetPr>
  <dimension ref="A1:K261"/>
  <sheetViews>
    <sheetView zoomScale="120" zoomScaleNormal="120" workbookViewId="0">
      <selection activeCell="L1" sqref="L1"/>
    </sheetView>
  </sheetViews>
  <sheetFormatPr defaultRowHeight="12.6" customHeight="1"/>
  <cols>
    <col min="1" max="3" width="1.90625" style="13" customWidth="1"/>
    <col min="4" max="4" width="1.90625" style="12" customWidth="1"/>
    <col min="5" max="16384" width="8.7265625" style="12"/>
  </cols>
  <sheetData>
    <row r="1" spans="1:11" ht="12.6" customHeight="1">
      <c r="A1" s="10" t="s">
        <v>92</v>
      </c>
      <c r="B1" s="10"/>
      <c r="C1" s="10"/>
      <c r="D1" s="11"/>
      <c r="E1" s="11"/>
      <c r="F1" s="11"/>
      <c r="G1" s="11"/>
      <c r="H1" s="11"/>
      <c r="I1" s="11"/>
      <c r="J1" s="11"/>
      <c r="K1" s="11"/>
    </row>
    <row r="2" spans="1:11" ht="12.6" customHeight="1">
      <c r="B2" s="10" t="s">
        <v>93</v>
      </c>
    </row>
    <row r="3" spans="1:11" ht="12.6" customHeight="1">
      <c r="C3" s="13" t="s">
        <v>94</v>
      </c>
    </row>
    <row r="4" spans="1:11" ht="12.6" customHeight="1">
      <c r="D4" s="12" t="s">
        <v>95</v>
      </c>
    </row>
    <row r="5" spans="1:11" ht="12.6" customHeight="1">
      <c r="D5" s="12" t="s">
        <v>96</v>
      </c>
    </row>
    <row r="6" spans="1:11" ht="12.6" customHeight="1">
      <c r="C6" s="13" t="s">
        <v>97</v>
      </c>
    </row>
    <row r="7" spans="1:11" ht="12.6" customHeight="1">
      <c r="D7" s="12" t="s">
        <v>98</v>
      </c>
    </row>
    <row r="8" spans="1:11" ht="12.6" customHeight="1">
      <c r="D8" s="12" t="s">
        <v>99</v>
      </c>
    </row>
    <row r="9" spans="1:11" ht="12.6" customHeight="1">
      <c r="C9" s="13" t="s">
        <v>100</v>
      </c>
    </row>
    <row r="10" spans="1:11" ht="12.6" customHeight="1">
      <c r="D10" s="12" t="s">
        <v>101</v>
      </c>
    </row>
    <row r="11" spans="1:11" ht="12.6" customHeight="1">
      <c r="D11" s="12" t="s">
        <v>102</v>
      </c>
    </row>
    <row r="12" spans="1:11" ht="12.6" customHeight="1">
      <c r="C12" s="13" t="s">
        <v>103</v>
      </c>
    </row>
    <row r="13" spans="1:11" ht="12.6" customHeight="1">
      <c r="D13" s="12" t="s">
        <v>104</v>
      </c>
    </row>
    <row r="14" spans="1:11" ht="12.6" customHeight="1">
      <c r="D14" s="12" t="s">
        <v>105</v>
      </c>
    </row>
    <row r="15" spans="1:11" ht="12.6" customHeight="1">
      <c r="D15" s="12" t="s">
        <v>106</v>
      </c>
    </row>
    <row r="16" spans="1:11" ht="12.6" customHeight="1">
      <c r="B16" s="10" t="s">
        <v>107</v>
      </c>
    </row>
    <row r="17" spans="3:4" ht="12.6" customHeight="1">
      <c r="C17" s="13" t="s">
        <v>108</v>
      </c>
    </row>
    <row r="18" spans="3:4" ht="12.6" customHeight="1">
      <c r="D18" s="12" t="s">
        <v>109</v>
      </c>
    </row>
    <row r="19" spans="3:4" ht="12.6" customHeight="1">
      <c r="D19" s="12" t="s">
        <v>110</v>
      </c>
    </row>
    <row r="20" spans="3:4" ht="12.6" customHeight="1">
      <c r="C20" s="13" t="s">
        <v>111</v>
      </c>
    </row>
    <row r="21" spans="3:4" ht="12.6" customHeight="1">
      <c r="D21" s="12" t="s">
        <v>112</v>
      </c>
    </row>
    <row r="22" spans="3:4" ht="12.6" customHeight="1">
      <c r="D22" s="12" t="s">
        <v>113</v>
      </c>
    </row>
    <row r="23" spans="3:4" ht="12.6" customHeight="1">
      <c r="C23" s="13" t="s">
        <v>114</v>
      </c>
    </row>
    <row r="24" spans="3:4" ht="12.6" customHeight="1">
      <c r="D24" s="12" t="s">
        <v>115</v>
      </c>
    </row>
    <row r="25" spans="3:4" ht="12.6" customHeight="1">
      <c r="D25" s="12" t="s">
        <v>116</v>
      </c>
    </row>
    <row r="26" spans="3:4" ht="12.6" customHeight="1">
      <c r="C26" s="13" t="s">
        <v>117</v>
      </c>
    </row>
    <row r="27" spans="3:4" ht="12.6" customHeight="1">
      <c r="D27" s="12" t="s">
        <v>118</v>
      </c>
    </row>
    <row r="28" spans="3:4" ht="12.6" customHeight="1">
      <c r="D28" s="12" t="s">
        <v>119</v>
      </c>
    </row>
    <row r="29" spans="3:4" ht="12.6" customHeight="1">
      <c r="C29" s="13" t="s">
        <v>120</v>
      </c>
    </row>
    <row r="30" spans="3:4" ht="12.6" customHeight="1">
      <c r="D30" s="12" t="s">
        <v>121</v>
      </c>
    </row>
    <row r="31" spans="3:4" ht="12.6" customHeight="1">
      <c r="D31" s="12" t="s">
        <v>122</v>
      </c>
    </row>
    <row r="32" spans="3:4" ht="12.6" customHeight="1">
      <c r="C32" s="13" t="s">
        <v>123</v>
      </c>
    </row>
    <row r="33" spans="1:11" ht="12.6" customHeight="1">
      <c r="D33" s="12" t="s">
        <v>124</v>
      </c>
    </row>
    <row r="34" spans="1:11" ht="12.6" customHeight="1">
      <c r="D34" s="12" t="s">
        <v>125</v>
      </c>
    </row>
    <row r="35" spans="1:11" ht="12.6" customHeight="1">
      <c r="D35" s="12" t="s">
        <v>126</v>
      </c>
    </row>
    <row r="36" spans="1:11" ht="12.6" customHeight="1">
      <c r="C36" s="13" t="s">
        <v>127</v>
      </c>
    </row>
    <row r="37" spans="1:11" ht="12.6" customHeight="1">
      <c r="D37" s="12" t="s">
        <v>128</v>
      </c>
    </row>
    <row r="38" spans="1:11" ht="12.6" customHeight="1">
      <c r="D38" s="12" t="s">
        <v>129</v>
      </c>
    </row>
    <row r="39" spans="1:11" ht="12.6" customHeight="1">
      <c r="B39" s="10" t="s">
        <v>130</v>
      </c>
    </row>
    <row r="40" spans="1:11" ht="12.6" customHeight="1">
      <c r="C40" s="12" t="s">
        <v>131</v>
      </c>
    </row>
    <row r="41" spans="1:11" ht="12.6" customHeight="1">
      <c r="C41" s="12" t="s">
        <v>132</v>
      </c>
    </row>
    <row r="42" spans="1:11" ht="12.6" customHeight="1">
      <c r="C42" s="12" t="s">
        <v>133</v>
      </c>
    </row>
    <row r="43" spans="1:11" ht="12.6" customHeight="1">
      <c r="C43" s="14" t="s">
        <v>134</v>
      </c>
    </row>
    <row r="45" spans="1:11" ht="12.6" customHeight="1">
      <c r="A45" s="10" t="s">
        <v>135</v>
      </c>
      <c r="B45" s="10"/>
      <c r="C45" s="10"/>
      <c r="D45" s="11"/>
      <c r="E45" s="11"/>
      <c r="F45" s="11"/>
      <c r="G45" s="11"/>
      <c r="H45" s="11"/>
      <c r="I45" s="11"/>
      <c r="J45" s="11"/>
      <c r="K45" s="11"/>
    </row>
    <row r="46" spans="1:11" ht="12.6" customHeight="1">
      <c r="B46" s="10" t="s">
        <v>93</v>
      </c>
    </row>
    <row r="47" spans="1:11" ht="12.6" customHeight="1">
      <c r="C47" s="13" t="s">
        <v>136</v>
      </c>
    </row>
    <row r="48" spans="1:11" ht="12.6" customHeight="1">
      <c r="C48" s="13" t="s">
        <v>137</v>
      </c>
    </row>
    <row r="49" spans="2:4" ht="12.6" customHeight="1">
      <c r="C49" s="13" t="s">
        <v>138</v>
      </c>
    </row>
    <row r="50" spans="2:4" ht="12.6" customHeight="1">
      <c r="B50" s="10" t="s">
        <v>107</v>
      </c>
    </row>
    <row r="51" spans="2:4" ht="12.6" customHeight="1">
      <c r="C51" s="13" t="s">
        <v>108</v>
      </c>
    </row>
    <row r="52" spans="2:4" ht="12.6" customHeight="1">
      <c r="D52" s="12" t="s">
        <v>139</v>
      </c>
    </row>
    <row r="53" spans="2:4" ht="12.6" customHeight="1">
      <c r="D53" s="12" t="s">
        <v>140</v>
      </c>
    </row>
    <row r="54" spans="2:4" ht="12.6" customHeight="1">
      <c r="D54" s="12" t="s">
        <v>141</v>
      </c>
    </row>
    <row r="55" spans="2:4" ht="12.6" customHeight="1">
      <c r="C55" s="13" t="s">
        <v>127</v>
      </c>
    </row>
    <row r="56" spans="2:4" ht="12.6" customHeight="1">
      <c r="D56" s="12" t="s">
        <v>142</v>
      </c>
    </row>
    <row r="57" spans="2:4" ht="12.6" customHeight="1">
      <c r="C57" s="13" t="s">
        <v>111</v>
      </c>
    </row>
    <row r="58" spans="2:4" ht="12.6" customHeight="1">
      <c r="D58" s="12" t="s">
        <v>143</v>
      </c>
    </row>
    <row r="59" spans="2:4" ht="12.6" customHeight="1">
      <c r="D59" s="12" t="s">
        <v>144</v>
      </c>
    </row>
    <row r="60" spans="2:4" ht="12.6" customHeight="1">
      <c r="D60" s="12" t="s">
        <v>145</v>
      </c>
    </row>
    <row r="61" spans="2:4" ht="12.6" customHeight="1">
      <c r="D61" s="12" t="s">
        <v>146</v>
      </c>
    </row>
    <row r="62" spans="2:4" ht="12.6" customHeight="1">
      <c r="C62" s="13" t="s">
        <v>114</v>
      </c>
    </row>
    <row r="63" spans="2:4" ht="12.6" customHeight="1">
      <c r="D63" s="12" t="s">
        <v>147</v>
      </c>
    </row>
    <row r="64" spans="2:4" ht="12.6" customHeight="1">
      <c r="D64" s="12" t="s">
        <v>148</v>
      </c>
    </row>
    <row r="65" spans="2:4" ht="12.6" customHeight="1">
      <c r="C65" s="13" t="s">
        <v>117</v>
      </c>
    </row>
    <row r="66" spans="2:4" ht="12.6" customHeight="1">
      <c r="D66" s="12" t="s">
        <v>149</v>
      </c>
    </row>
    <row r="67" spans="2:4" ht="12.6" customHeight="1">
      <c r="D67" s="12" t="s">
        <v>150</v>
      </c>
    </row>
    <row r="68" spans="2:4" ht="12.6" customHeight="1">
      <c r="D68" s="12" t="s">
        <v>151</v>
      </c>
    </row>
    <row r="70" spans="2:4" ht="12.6" customHeight="1">
      <c r="C70" s="13" t="s">
        <v>120</v>
      </c>
    </row>
    <row r="71" spans="2:4" ht="12.6" customHeight="1">
      <c r="D71" s="12" t="s">
        <v>152</v>
      </c>
    </row>
    <row r="72" spans="2:4" ht="12.6" customHeight="1">
      <c r="D72" s="12" t="s">
        <v>153</v>
      </c>
    </row>
    <row r="73" spans="2:4" ht="12.6" customHeight="1">
      <c r="D73" s="12" t="s">
        <v>154</v>
      </c>
    </row>
    <row r="74" spans="2:4" ht="12.6" customHeight="1">
      <c r="C74" s="13" t="s">
        <v>123</v>
      </c>
    </row>
    <row r="75" spans="2:4" ht="12.6" customHeight="1">
      <c r="D75" s="12" t="s">
        <v>155</v>
      </c>
    </row>
    <row r="76" spans="2:4" ht="12.6" customHeight="1">
      <c r="D76" s="12" t="s">
        <v>156</v>
      </c>
    </row>
    <row r="77" spans="2:4" ht="12.6" customHeight="1">
      <c r="D77" s="12" t="s">
        <v>157</v>
      </c>
    </row>
    <row r="78" spans="2:4" ht="12.6" customHeight="1">
      <c r="D78" s="12" t="s">
        <v>158</v>
      </c>
    </row>
    <row r="79" spans="2:4" ht="12.6" customHeight="1">
      <c r="B79" s="10" t="s">
        <v>130</v>
      </c>
    </row>
    <row r="80" spans="2:4" ht="12.6" customHeight="1">
      <c r="C80" s="12" t="s">
        <v>159</v>
      </c>
    </row>
    <row r="82" spans="1:11" ht="12.6" customHeight="1">
      <c r="A82" s="10" t="s">
        <v>160</v>
      </c>
      <c r="B82" s="10"/>
      <c r="C82" s="10"/>
      <c r="D82" s="11"/>
      <c r="E82" s="11"/>
      <c r="F82" s="11"/>
      <c r="G82" s="11"/>
      <c r="H82" s="11"/>
      <c r="I82" s="11"/>
      <c r="J82" s="11"/>
      <c r="K82" s="11"/>
    </row>
    <row r="83" spans="1:11" ht="12.6" customHeight="1">
      <c r="B83" s="10" t="s">
        <v>93</v>
      </c>
    </row>
    <row r="84" spans="1:11" ht="12.6" customHeight="1">
      <c r="C84" s="13" t="s">
        <v>161</v>
      </c>
    </row>
    <row r="85" spans="1:11" ht="12.6" customHeight="1">
      <c r="D85" s="12" t="s">
        <v>162</v>
      </c>
    </row>
    <row r="86" spans="1:11" ht="12.6" customHeight="1">
      <c r="D86" s="12" t="s">
        <v>163</v>
      </c>
    </row>
    <row r="87" spans="1:11" ht="12.6" customHeight="1">
      <c r="D87" s="12" t="s">
        <v>164</v>
      </c>
    </row>
    <row r="88" spans="1:11" ht="12.6" customHeight="1">
      <c r="C88" s="13" t="s">
        <v>165</v>
      </c>
    </row>
    <row r="89" spans="1:11" ht="12.6" customHeight="1">
      <c r="D89" s="12" t="s">
        <v>166</v>
      </c>
    </row>
    <row r="90" spans="1:11" ht="12.6" customHeight="1">
      <c r="C90" s="13" t="s">
        <v>167</v>
      </c>
    </row>
    <row r="91" spans="1:11" ht="12.6" customHeight="1">
      <c r="D91" s="12" t="s">
        <v>168</v>
      </c>
    </row>
    <row r="92" spans="1:11" ht="12.6" customHeight="1">
      <c r="C92" s="13" t="s">
        <v>169</v>
      </c>
    </row>
    <row r="93" spans="1:11" ht="12.6" customHeight="1">
      <c r="D93" s="12" t="s">
        <v>170</v>
      </c>
    </row>
    <row r="94" spans="1:11" ht="12.6" customHeight="1">
      <c r="D94" s="12" t="s">
        <v>171</v>
      </c>
    </row>
    <row r="95" spans="1:11" ht="12.6" customHeight="1">
      <c r="D95" s="12" t="s">
        <v>172</v>
      </c>
    </row>
    <row r="96" spans="1:11" ht="12.6" customHeight="1">
      <c r="C96" s="13" t="s">
        <v>173</v>
      </c>
    </row>
    <row r="97" spans="1:11" ht="12.6" customHeight="1">
      <c r="D97" s="12" t="s">
        <v>174</v>
      </c>
    </row>
    <row r="98" spans="1:11" ht="12.6" customHeight="1">
      <c r="D98" s="12" t="s">
        <v>175</v>
      </c>
    </row>
    <row r="99" spans="1:11" ht="12.6" customHeight="1">
      <c r="C99" s="13" t="s">
        <v>176</v>
      </c>
    </row>
    <row r="100" spans="1:11" ht="12.6" customHeight="1">
      <c r="D100" s="12" t="s">
        <v>177</v>
      </c>
    </row>
    <row r="101" spans="1:11" ht="12.6" customHeight="1">
      <c r="C101" s="13" t="s">
        <v>178</v>
      </c>
    </row>
    <row r="102" spans="1:11" ht="12.6" customHeight="1">
      <c r="D102" s="12" t="s">
        <v>179</v>
      </c>
    </row>
    <row r="103" spans="1:11" ht="12.6" customHeight="1">
      <c r="C103" s="13" t="s">
        <v>180</v>
      </c>
    </row>
    <row r="104" spans="1:11" ht="12.6" customHeight="1">
      <c r="D104" s="12" t="s">
        <v>181</v>
      </c>
    </row>
    <row r="106" spans="1:11" ht="12.6" customHeight="1">
      <c r="A106" s="10" t="s">
        <v>182</v>
      </c>
      <c r="B106" s="10"/>
      <c r="C106" s="10"/>
      <c r="D106" s="11"/>
      <c r="E106" s="11"/>
      <c r="F106" s="11"/>
      <c r="G106" s="11"/>
      <c r="H106" s="11"/>
      <c r="I106" s="11"/>
      <c r="J106" s="11"/>
      <c r="K106" s="11"/>
    </row>
    <row r="107" spans="1:11" ht="12.6" customHeight="1">
      <c r="B107" s="10" t="s">
        <v>93</v>
      </c>
    </row>
    <row r="108" spans="1:11" ht="12.6" customHeight="1">
      <c r="C108" s="13" t="s">
        <v>183</v>
      </c>
    </row>
    <row r="109" spans="1:11" ht="12.6" customHeight="1">
      <c r="C109" s="13" t="s">
        <v>184</v>
      </c>
    </row>
    <row r="110" spans="1:11" ht="12.6" customHeight="1">
      <c r="C110" s="13" t="s">
        <v>185</v>
      </c>
    </row>
    <row r="111" spans="1:11" ht="12.6" customHeight="1">
      <c r="C111" s="13" t="s">
        <v>186</v>
      </c>
    </row>
    <row r="112" spans="1:11" ht="12.6" customHeight="1">
      <c r="B112" s="10" t="s">
        <v>107</v>
      </c>
    </row>
    <row r="113" spans="3:4" ht="12.6" customHeight="1">
      <c r="C113" s="13" t="s">
        <v>187</v>
      </c>
    </row>
    <row r="114" spans="3:4" ht="12.6" customHeight="1">
      <c r="D114" s="12" t="s">
        <v>188</v>
      </c>
    </row>
    <row r="115" spans="3:4" ht="12.6" customHeight="1">
      <c r="C115" s="13" t="s">
        <v>108</v>
      </c>
    </row>
    <row r="116" spans="3:4" ht="12.6" customHeight="1">
      <c r="D116" s="12" t="s">
        <v>189</v>
      </c>
    </row>
    <row r="117" spans="3:4" ht="12.6" customHeight="1">
      <c r="D117" s="12" t="s">
        <v>190</v>
      </c>
    </row>
    <row r="118" spans="3:4" ht="12.6" customHeight="1">
      <c r="C118" s="13" t="s">
        <v>127</v>
      </c>
    </row>
    <row r="119" spans="3:4" ht="12.6" customHeight="1">
      <c r="D119" s="12" t="s">
        <v>191</v>
      </c>
    </row>
    <row r="120" spans="3:4" ht="12.6" customHeight="1">
      <c r="C120" s="13" t="s">
        <v>111</v>
      </c>
    </row>
    <row r="121" spans="3:4" ht="12.6" customHeight="1">
      <c r="D121" s="12" t="s">
        <v>192</v>
      </c>
    </row>
    <row r="122" spans="3:4" ht="12.6" customHeight="1">
      <c r="C122" s="13" t="s">
        <v>114</v>
      </c>
    </row>
    <row r="123" spans="3:4" ht="12.6" customHeight="1">
      <c r="D123" s="12" t="s">
        <v>193</v>
      </c>
    </row>
    <row r="124" spans="3:4" ht="12.6" customHeight="1">
      <c r="D124" s="12" t="s">
        <v>194</v>
      </c>
    </row>
    <row r="125" spans="3:4" ht="12.6" customHeight="1">
      <c r="D125" s="12" t="s">
        <v>195</v>
      </c>
    </row>
    <row r="126" spans="3:4" ht="12.6" customHeight="1">
      <c r="C126" s="13" t="s">
        <v>117</v>
      </c>
    </row>
    <row r="127" spans="3:4" ht="12.6" customHeight="1">
      <c r="D127" s="12" t="s">
        <v>196</v>
      </c>
    </row>
    <row r="128" spans="3:4" ht="12.6" customHeight="1">
      <c r="D128" s="12" t="s">
        <v>197</v>
      </c>
    </row>
    <row r="129" spans="1:11" ht="12.6" customHeight="1">
      <c r="D129" s="12" t="s">
        <v>198</v>
      </c>
    </row>
    <row r="130" spans="1:11" ht="12.6" customHeight="1">
      <c r="D130" s="12" t="s">
        <v>199</v>
      </c>
    </row>
    <row r="131" spans="1:11" ht="12.6" customHeight="1">
      <c r="C131" s="13" t="s">
        <v>120</v>
      </c>
    </row>
    <row r="132" spans="1:11" ht="12.6" customHeight="1">
      <c r="D132" s="12" t="s">
        <v>200</v>
      </c>
    </row>
    <row r="133" spans="1:11" ht="12.6" customHeight="1">
      <c r="D133" s="12" t="s">
        <v>201</v>
      </c>
    </row>
    <row r="134" spans="1:11" ht="12.6" customHeight="1">
      <c r="C134" s="13" t="s">
        <v>123</v>
      </c>
    </row>
    <row r="135" spans="1:11" ht="12.6" customHeight="1">
      <c r="D135" s="12" t="s">
        <v>202</v>
      </c>
    </row>
    <row r="137" spans="1:11" ht="12.6" customHeight="1">
      <c r="A137" s="10" t="s">
        <v>203</v>
      </c>
      <c r="B137" s="10"/>
      <c r="C137" s="10"/>
      <c r="D137" s="11"/>
      <c r="E137" s="11"/>
      <c r="F137" s="11"/>
      <c r="G137" s="11"/>
      <c r="H137" s="11"/>
      <c r="I137" s="11"/>
      <c r="J137" s="11"/>
      <c r="K137" s="11"/>
    </row>
    <row r="138" spans="1:11" ht="12.6" customHeight="1">
      <c r="B138" s="10" t="s">
        <v>93</v>
      </c>
    </row>
    <row r="139" spans="1:11" ht="12.6" customHeight="1">
      <c r="C139" s="13" t="s">
        <v>204</v>
      </c>
    </row>
    <row r="140" spans="1:11" ht="12.6" customHeight="1">
      <c r="D140" s="12" t="s">
        <v>205</v>
      </c>
    </row>
    <row r="141" spans="1:11" ht="12.6" customHeight="1">
      <c r="D141" s="12" t="s">
        <v>206</v>
      </c>
    </row>
    <row r="142" spans="1:11" ht="12.6" customHeight="1">
      <c r="D142" s="12" t="s">
        <v>207</v>
      </c>
    </row>
    <row r="143" spans="1:11" ht="12.6" customHeight="1">
      <c r="C143" s="13" t="s">
        <v>208</v>
      </c>
    </row>
    <row r="144" spans="1:11" ht="12.6" customHeight="1">
      <c r="D144" s="12" t="s">
        <v>209</v>
      </c>
    </row>
    <row r="145" spans="2:4" ht="12.6" customHeight="1">
      <c r="D145" s="12" t="s">
        <v>210</v>
      </c>
    </row>
    <row r="146" spans="2:4" ht="12.6" customHeight="1">
      <c r="C146" s="13" t="s">
        <v>211</v>
      </c>
    </row>
    <row r="147" spans="2:4" ht="12.6" customHeight="1">
      <c r="D147" s="12" t="s">
        <v>212</v>
      </c>
    </row>
    <row r="148" spans="2:4" ht="12.6" customHeight="1">
      <c r="D148" s="12" t="s">
        <v>213</v>
      </c>
    </row>
    <row r="149" spans="2:4" ht="12.6" customHeight="1">
      <c r="D149" s="12" t="s">
        <v>214</v>
      </c>
    </row>
    <row r="150" spans="2:4" ht="12.6" customHeight="1">
      <c r="C150" s="13" t="s">
        <v>215</v>
      </c>
    </row>
    <row r="151" spans="2:4" ht="12.6" customHeight="1">
      <c r="D151" s="12" t="s">
        <v>216</v>
      </c>
    </row>
    <row r="152" spans="2:4" ht="12.6" customHeight="1">
      <c r="D152" s="12" t="s">
        <v>217</v>
      </c>
    </row>
    <row r="153" spans="2:4" ht="12.6" customHeight="1">
      <c r="D153" s="12" t="s">
        <v>218</v>
      </c>
    </row>
    <row r="154" spans="2:4" ht="12.6" customHeight="1">
      <c r="C154" s="13" t="s">
        <v>219</v>
      </c>
    </row>
    <row r="155" spans="2:4" ht="12.6" customHeight="1">
      <c r="D155" s="12" t="s">
        <v>220</v>
      </c>
    </row>
    <row r="156" spans="2:4" ht="12.6" customHeight="1">
      <c r="D156" s="12" t="s">
        <v>221</v>
      </c>
    </row>
    <row r="157" spans="2:4" ht="12.6" customHeight="1">
      <c r="B157" s="10" t="s">
        <v>107</v>
      </c>
    </row>
    <row r="158" spans="2:4" ht="12.6" customHeight="1">
      <c r="C158" s="13" t="s">
        <v>187</v>
      </c>
    </row>
    <row r="159" spans="2:4" ht="12.6" customHeight="1">
      <c r="D159" s="12" t="s">
        <v>222</v>
      </c>
    </row>
    <row r="160" spans="2:4" ht="12.6" customHeight="1">
      <c r="D160" s="12" t="s">
        <v>223</v>
      </c>
    </row>
    <row r="161" spans="3:4" ht="12.6" customHeight="1">
      <c r="C161" s="13" t="s">
        <v>108</v>
      </c>
    </row>
    <row r="162" spans="3:4" ht="12.6" customHeight="1">
      <c r="D162" s="12" t="s">
        <v>224</v>
      </c>
    </row>
    <row r="163" spans="3:4" ht="12.6" customHeight="1">
      <c r="D163" s="12" t="s">
        <v>225</v>
      </c>
    </row>
    <row r="164" spans="3:4" ht="12.6" customHeight="1">
      <c r="D164" s="12" t="s">
        <v>226</v>
      </c>
    </row>
    <row r="165" spans="3:4" ht="12.6" customHeight="1">
      <c r="D165" s="12" t="s">
        <v>227</v>
      </c>
    </row>
    <row r="166" spans="3:4" ht="12.6" customHeight="1">
      <c r="C166" s="13" t="s">
        <v>127</v>
      </c>
    </row>
    <row r="167" spans="3:4" ht="12.6" customHeight="1">
      <c r="D167" s="12" t="s">
        <v>228</v>
      </c>
    </row>
    <row r="168" spans="3:4" ht="12.6" customHeight="1">
      <c r="D168" s="12" t="s">
        <v>229</v>
      </c>
    </row>
    <row r="169" spans="3:4" ht="12.6" customHeight="1">
      <c r="C169" s="13" t="s">
        <v>111</v>
      </c>
    </row>
    <row r="170" spans="3:4" ht="12.6" customHeight="1">
      <c r="D170" s="12" t="s">
        <v>230</v>
      </c>
    </row>
    <row r="171" spans="3:4" ht="12.6" customHeight="1">
      <c r="D171" s="12" t="s">
        <v>231</v>
      </c>
    </row>
    <row r="172" spans="3:4" ht="12.6" customHeight="1">
      <c r="D172" s="12" t="s">
        <v>232</v>
      </c>
    </row>
    <row r="173" spans="3:4" ht="12.6" customHeight="1">
      <c r="D173" s="12" t="s">
        <v>233</v>
      </c>
    </row>
    <row r="174" spans="3:4" ht="12.6" customHeight="1">
      <c r="D174" s="12" t="s">
        <v>234</v>
      </c>
    </row>
    <row r="175" spans="3:4" ht="12.6" customHeight="1">
      <c r="D175" s="12" t="s">
        <v>235</v>
      </c>
    </row>
    <row r="176" spans="3:4" ht="12.6" customHeight="1">
      <c r="D176" s="12" t="s">
        <v>236</v>
      </c>
    </row>
    <row r="177" spans="3:4" ht="12.6" customHeight="1">
      <c r="D177" s="12" t="s">
        <v>237</v>
      </c>
    </row>
    <row r="178" spans="3:4" ht="12.6" customHeight="1">
      <c r="D178" s="12" t="s">
        <v>238</v>
      </c>
    </row>
    <row r="179" spans="3:4" ht="12.6" customHeight="1">
      <c r="D179" s="12" t="s">
        <v>239</v>
      </c>
    </row>
    <row r="180" spans="3:4" ht="12.6" customHeight="1">
      <c r="D180" s="12" t="s">
        <v>240</v>
      </c>
    </row>
    <row r="181" spans="3:4" ht="12.6" customHeight="1">
      <c r="C181" s="13" t="s">
        <v>114</v>
      </c>
    </row>
    <row r="182" spans="3:4" ht="12.6" customHeight="1">
      <c r="D182" s="12" t="s">
        <v>241</v>
      </c>
    </row>
    <row r="183" spans="3:4" ht="12.6" customHeight="1">
      <c r="D183" s="12" t="s">
        <v>228</v>
      </c>
    </row>
    <row r="184" spans="3:4" ht="12.6" customHeight="1">
      <c r="D184" s="12" t="s">
        <v>229</v>
      </c>
    </row>
    <row r="185" spans="3:4" ht="12.6" customHeight="1">
      <c r="D185" s="12" t="s">
        <v>242</v>
      </c>
    </row>
    <row r="186" spans="3:4" ht="12.6" customHeight="1">
      <c r="C186" s="13" t="s">
        <v>117</v>
      </c>
    </row>
    <row r="187" spans="3:4" ht="12.6" customHeight="1">
      <c r="D187" s="12" t="s">
        <v>243</v>
      </c>
    </row>
    <row r="188" spans="3:4" ht="12.6" customHeight="1">
      <c r="D188" s="12" t="s">
        <v>244</v>
      </c>
    </row>
    <row r="189" spans="3:4" ht="12.6" customHeight="1">
      <c r="D189" s="12" t="s">
        <v>229</v>
      </c>
    </row>
    <row r="190" spans="3:4" ht="12.6" customHeight="1">
      <c r="D190" s="12" t="s">
        <v>245</v>
      </c>
    </row>
    <row r="191" spans="3:4" ht="12.6" customHeight="1">
      <c r="D191" s="12" t="s">
        <v>246</v>
      </c>
    </row>
    <row r="192" spans="3:4" ht="12.6" customHeight="1">
      <c r="D192" s="12" t="s">
        <v>247</v>
      </c>
    </row>
    <row r="193" spans="1:11" ht="12.6" customHeight="1">
      <c r="D193" s="12" t="s">
        <v>248</v>
      </c>
    </row>
    <row r="194" spans="1:11" ht="12.6" customHeight="1">
      <c r="C194" s="13" t="s">
        <v>120</v>
      </c>
    </row>
    <row r="195" spans="1:11" ht="12.6" customHeight="1">
      <c r="D195" s="12" t="s">
        <v>249</v>
      </c>
    </row>
    <row r="196" spans="1:11" ht="12.6" customHeight="1">
      <c r="D196" s="12" t="s">
        <v>250</v>
      </c>
    </row>
    <row r="197" spans="1:11" ht="12.6" customHeight="1">
      <c r="D197" s="12" t="s">
        <v>251</v>
      </c>
    </row>
    <row r="198" spans="1:11" ht="12.6" customHeight="1">
      <c r="D198" s="12" t="s">
        <v>252</v>
      </c>
    </row>
    <row r="199" spans="1:11" ht="12.6" customHeight="1">
      <c r="C199" s="13" t="s">
        <v>123</v>
      </c>
    </row>
    <row r="200" spans="1:11" ht="12.6" customHeight="1">
      <c r="D200" s="12" t="s">
        <v>253</v>
      </c>
    </row>
    <row r="201" spans="1:11" ht="12.6" customHeight="1">
      <c r="D201" s="12" t="s">
        <v>254</v>
      </c>
    </row>
    <row r="202" spans="1:11" ht="12.6" customHeight="1">
      <c r="D202" s="12" t="s">
        <v>255</v>
      </c>
    </row>
    <row r="203" spans="1:11" ht="12.6" customHeight="1">
      <c r="D203" s="12" t="s">
        <v>256</v>
      </c>
    </row>
    <row r="205" spans="1:11" ht="12.6" customHeight="1">
      <c r="A205" s="10" t="s">
        <v>257</v>
      </c>
      <c r="B205" s="10"/>
      <c r="C205" s="10"/>
      <c r="D205" s="11"/>
      <c r="E205" s="11"/>
      <c r="F205" s="11"/>
      <c r="G205" s="11"/>
      <c r="H205" s="11"/>
      <c r="I205" s="11"/>
      <c r="J205" s="11"/>
      <c r="K205" s="11"/>
    </row>
    <row r="206" spans="1:11" ht="12.6" customHeight="1">
      <c r="B206" s="13" t="s">
        <v>258</v>
      </c>
    </row>
    <row r="207" spans="1:11" ht="12.6" customHeight="1">
      <c r="C207" s="13" t="s">
        <v>259</v>
      </c>
    </row>
    <row r="208" spans="1:11" ht="12.6" customHeight="1">
      <c r="D208" s="12" t="s">
        <v>260</v>
      </c>
    </row>
    <row r="209" spans="2:4" ht="12.6" customHeight="1">
      <c r="D209" s="12" t="s">
        <v>261</v>
      </c>
    </row>
    <row r="210" spans="2:4" ht="12.6" customHeight="1">
      <c r="D210" s="12" t="s">
        <v>262</v>
      </c>
    </row>
    <row r="211" spans="2:4" ht="12.6" customHeight="1">
      <c r="D211" s="12" t="s">
        <v>263</v>
      </c>
    </row>
    <row r="212" spans="2:4" ht="12.6" customHeight="1">
      <c r="C212" s="13" t="s">
        <v>264</v>
      </c>
    </row>
    <row r="213" spans="2:4" ht="12.6" customHeight="1">
      <c r="D213" s="12" t="s">
        <v>265</v>
      </c>
    </row>
    <row r="214" spans="2:4" ht="12.6" customHeight="1">
      <c r="D214" s="12" t="s">
        <v>266</v>
      </c>
    </row>
    <row r="215" spans="2:4" ht="12.6" customHeight="1">
      <c r="D215" s="12" t="s">
        <v>267</v>
      </c>
    </row>
    <row r="216" spans="2:4" ht="12.6" customHeight="1">
      <c r="C216" s="13" t="s">
        <v>268</v>
      </c>
    </row>
    <row r="217" spans="2:4" ht="12.6" customHeight="1">
      <c r="D217" s="12" t="s">
        <v>269</v>
      </c>
    </row>
    <row r="218" spans="2:4" ht="12.6" customHeight="1">
      <c r="D218" s="12" t="s">
        <v>270</v>
      </c>
    </row>
    <row r="219" spans="2:4" ht="12.6" customHeight="1">
      <c r="D219" s="12" t="s">
        <v>271</v>
      </c>
    </row>
    <row r="220" spans="2:4" ht="12.6" customHeight="1">
      <c r="C220" s="13" t="s">
        <v>272</v>
      </c>
    </row>
    <row r="221" spans="2:4" ht="12.6" customHeight="1">
      <c r="D221" s="12" t="s">
        <v>273</v>
      </c>
    </row>
    <row r="222" spans="2:4" ht="12.6" customHeight="1">
      <c r="D222" s="12" t="s">
        <v>274</v>
      </c>
    </row>
    <row r="223" spans="2:4" ht="12.6" customHeight="1">
      <c r="D223" s="12" t="s">
        <v>275</v>
      </c>
    </row>
    <row r="224" spans="2:4" ht="12.6" customHeight="1">
      <c r="B224" s="13" t="s">
        <v>276</v>
      </c>
    </row>
    <row r="225" spans="2:4" ht="12.6" customHeight="1">
      <c r="C225" s="13" t="s">
        <v>277</v>
      </c>
    </row>
    <row r="226" spans="2:4" ht="12.6" customHeight="1">
      <c r="D226" s="12" t="s">
        <v>278</v>
      </c>
    </row>
    <row r="227" spans="2:4" ht="12.6" customHeight="1">
      <c r="C227" s="13" t="s">
        <v>279</v>
      </c>
    </row>
    <row r="228" spans="2:4" ht="12.6" customHeight="1">
      <c r="D228" s="12" t="s">
        <v>280</v>
      </c>
    </row>
    <row r="229" spans="2:4" ht="12.6" customHeight="1">
      <c r="D229" s="12" t="s">
        <v>281</v>
      </c>
    </row>
    <row r="230" spans="2:4" ht="12.6" customHeight="1">
      <c r="B230" s="13" t="s">
        <v>282</v>
      </c>
    </row>
    <row r="231" spans="2:4" ht="12.6" customHeight="1">
      <c r="C231" s="13" t="s">
        <v>283</v>
      </c>
    </row>
    <row r="232" spans="2:4" ht="12.6" customHeight="1">
      <c r="D232" s="12" t="s">
        <v>284</v>
      </c>
    </row>
    <row r="233" spans="2:4" ht="12.6" customHeight="1">
      <c r="C233" s="13" t="s">
        <v>285</v>
      </c>
    </row>
    <row r="234" spans="2:4" ht="12.6" customHeight="1">
      <c r="D234" s="12" t="s">
        <v>286</v>
      </c>
    </row>
    <row r="235" spans="2:4" ht="12.6" customHeight="1">
      <c r="D235" s="12" t="s">
        <v>287</v>
      </c>
    </row>
    <row r="236" spans="2:4" ht="12.6" customHeight="1">
      <c r="C236" s="13" t="s">
        <v>288</v>
      </c>
    </row>
    <row r="237" spans="2:4" ht="12.6" customHeight="1">
      <c r="D237" s="12" t="s">
        <v>289</v>
      </c>
    </row>
    <row r="238" spans="2:4" ht="12.6" customHeight="1">
      <c r="D238" s="12" t="s">
        <v>290</v>
      </c>
    </row>
    <row r="239" spans="2:4" ht="12.6" customHeight="1">
      <c r="B239" s="13" t="s">
        <v>291</v>
      </c>
    </row>
    <row r="240" spans="2:4" ht="12.6" customHeight="1">
      <c r="C240" s="13" t="s">
        <v>292</v>
      </c>
    </row>
    <row r="241" spans="2:4" ht="12.6" customHeight="1">
      <c r="D241" s="12" t="s">
        <v>293</v>
      </c>
    </row>
    <row r="242" spans="2:4" ht="12.6" customHeight="1">
      <c r="C242" s="13" t="s">
        <v>294</v>
      </c>
    </row>
    <row r="243" spans="2:4" ht="12.6" customHeight="1">
      <c r="D243" s="12" t="s">
        <v>295</v>
      </c>
    </row>
    <row r="244" spans="2:4" ht="12.6" customHeight="1">
      <c r="B244" s="13" t="s">
        <v>296</v>
      </c>
    </row>
    <row r="245" spans="2:4" ht="12.6" customHeight="1">
      <c r="C245" s="13" t="s">
        <v>297</v>
      </c>
    </row>
    <row r="246" spans="2:4" ht="12.6" customHeight="1">
      <c r="D246" s="12" t="s">
        <v>298</v>
      </c>
    </row>
    <row r="247" spans="2:4" ht="12.6" customHeight="1">
      <c r="D247" s="12" t="s">
        <v>299</v>
      </c>
    </row>
    <row r="248" spans="2:4" ht="12.6" customHeight="1">
      <c r="C248" s="13" t="s">
        <v>300</v>
      </c>
    </row>
    <row r="249" spans="2:4" ht="12.6" customHeight="1">
      <c r="D249" s="12" t="s">
        <v>301</v>
      </c>
    </row>
    <row r="250" spans="2:4" ht="12.6" customHeight="1">
      <c r="D250" s="12" t="s">
        <v>302</v>
      </c>
    </row>
    <row r="251" spans="2:4" ht="12.6" customHeight="1">
      <c r="D251" s="12" t="s">
        <v>303</v>
      </c>
    </row>
    <row r="252" spans="2:4" ht="12.6" customHeight="1">
      <c r="B252" s="13" t="s">
        <v>304</v>
      </c>
    </row>
    <row r="253" spans="2:4" ht="12.6" customHeight="1">
      <c r="C253" s="13" t="s">
        <v>305</v>
      </c>
    </row>
    <row r="254" spans="2:4" ht="12.6" customHeight="1">
      <c r="D254" s="12" t="s">
        <v>306</v>
      </c>
    </row>
    <row r="255" spans="2:4" ht="12.6" customHeight="1">
      <c r="B255" s="13" t="s">
        <v>307</v>
      </c>
    </row>
    <row r="256" spans="2:4" ht="12.6" customHeight="1">
      <c r="C256" s="13" t="s">
        <v>308</v>
      </c>
    </row>
    <row r="257" spans="3:4" ht="12.6" customHeight="1">
      <c r="D257" s="12" t="s">
        <v>309</v>
      </c>
    </row>
    <row r="258" spans="3:4" ht="12.6" customHeight="1">
      <c r="C258" s="13" t="s">
        <v>310</v>
      </c>
    </row>
    <row r="259" spans="3:4" ht="12.6" customHeight="1">
      <c r="D259" s="12" t="s">
        <v>311</v>
      </c>
    </row>
    <row r="260" spans="3:4" ht="12.6" customHeight="1">
      <c r="C260" s="13" t="s">
        <v>312</v>
      </c>
    </row>
    <row r="261" spans="3:4" ht="12.6" customHeight="1">
      <c r="D261" s="12" t="s">
        <v>313</v>
      </c>
    </row>
  </sheetData>
  <phoneticPr fontId="1"/>
  <pageMargins left="0.59055118110236227" right="0.19685039370078741" top="0.31496062992125984" bottom="0.31496062992125984" header="0.31496062992125984" footer="0.15748031496062992"/>
  <pageSetup paperSize="9" orientation="portrait" horizontalDpi="1200" verticalDpi="1200" r:id="rId1"/>
  <headerFooter>
    <oddFooter>&amp;C&amp;"Meiryo UI,標準"&amp;8&amp;P/&amp;N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CC29-9B91-46CF-952A-7B2B82F8258A}">
  <sheetPr>
    <tabColor theme="9" tint="0.79998168889431442"/>
    <pageSetUpPr fitToPage="1"/>
  </sheetPr>
  <dimension ref="A1:X45"/>
  <sheetViews>
    <sheetView workbookViewId="0">
      <selection activeCell="A24" sqref="A24"/>
    </sheetView>
  </sheetViews>
  <sheetFormatPr defaultRowHeight="12.6"/>
  <cols>
    <col min="1" max="1" width="8.81640625" style="12" customWidth="1"/>
    <col min="2" max="2" width="7" style="12" bestFit="1" customWidth="1"/>
    <col min="3" max="3" width="4.7265625" style="12" customWidth="1"/>
    <col min="4" max="4" width="5.54296875" style="16" customWidth="1"/>
    <col min="5" max="5" width="10.453125" style="12" customWidth="1"/>
    <col min="6" max="6" width="7" style="12" bestFit="1" customWidth="1"/>
    <col min="7" max="7" width="4.7265625" style="12" customWidth="1"/>
    <col min="8" max="8" width="5.54296875" style="16" customWidth="1"/>
    <col min="9" max="9" width="8" style="12" customWidth="1"/>
    <col min="10" max="10" width="7" style="12" bestFit="1" customWidth="1"/>
    <col min="11" max="11" width="4.7265625" style="12" customWidth="1"/>
    <col min="12" max="12" width="5.54296875" style="16" customWidth="1"/>
    <col min="13" max="13" width="8.81640625" style="12" customWidth="1"/>
    <col min="14" max="14" width="7" style="12" bestFit="1" customWidth="1"/>
    <col min="15" max="15" width="4.7265625" style="12" customWidth="1"/>
    <col min="16" max="16" width="5.54296875" style="16" customWidth="1"/>
    <col min="17" max="17" width="10.453125" style="12" customWidth="1"/>
    <col min="18" max="18" width="7" style="12" bestFit="1" customWidth="1"/>
    <col min="19" max="19" width="4.7265625" style="12" customWidth="1"/>
    <col min="20" max="20" width="5.54296875" style="16" customWidth="1"/>
    <col min="21" max="21" width="8" style="12" customWidth="1"/>
    <col min="22" max="22" width="7" style="12" bestFit="1" customWidth="1"/>
    <col min="23" max="23" width="4.7265625" style="12" customWidth="1"/>
    <col min="24" max="24" width="5.54296875" style="16" customWidth="1"/>
    <col min="25" max="16384" width="8.7265625" style="16"/>
  </cols>
  <sheetData>
    <row r="1" spans="1:24">
      <c r="A1" s="15" t="s">
        <v>314</v>
      </c>
    </row>
    <row r="3" spans="1:24">
      <c r="A3" s="77" t="s">
        <v>315</v>
      </c>
      <c r="B3" s="65" t="s">
        <v>316</v>
      </c>
      <c r="C3" s="76" t="s">
        <v>317</v>
      </c>
      <c r="E3" s="77" t="s">
        <v>318</v>
      </c>
      <c r="F3" s="65" t="s">
        <v>316</v>
      </c>
      <c r="G3" s="76" t="s">
        <v>319</v>
      </c>
      <c r="H3" s="17"/>
      <c r="I3" s="77" t="s">
        <v>320</v>
      </c>
      <c r="J3" s="65" t="s">
        <v>316</v>
      </c>
      <c r="K3" s="76" t="s">
        <v>321</v>
      </c>
      <c r="L3" s="17"/>
      <c r="M3" s="77" t="s">
        <v>322</v>
      </c>
      <c r="N3" s="65" t="s">
        <v>316</v>
      </c>
      <c r="O3" s="76" t="s">
        <v>323</v>
      </c>
      <c r="P3" s="17"/>
      <c r="Q3" s="77" t="s">
        <v>324</v>
      </c>
      <c r="R3" s="65" t="s">
        <v>316</v>
      </c>
      <c r="S3" s="76" t="s">
        <v>325</v>
      </c>
      <c r="T3" s="17"/>
      <c r="U3" s="77" t="s">
        <v>326</v>
      </c>
      <c r="V3" s="65" t="s">
        <v>316</v>
      </c>
      <c r="W3" s="76" t="s">
        <v>327</v>
      </c>
      <c r="X3" s="17"/>
    </row>
    <row r="4" spans="1:24">
      <c r="A4" s="66">
        <v>2</v>
      </c>
      <c r="B4" s="66" t="s">
        <v>108</v>
      </c>
      <c r="C4" s="69">
        <v>3</v>
      </c>
      <c r="E4" s="66">
        <v>2</v>
      </c>
      <c r="F4" s="66" t="s">
        <v>108</v>
      </c>
      <c r="G4" s="69">
        <v>2</v>
      </c>
      <c r="H4" s="17"/>
      <c r="I4" s="66">
        <v>2</v>
      </c>
      <c r="J4" s="66" t="s">
        <v>187</v>
      </c>
      <c r="K4" s="69">
        <v>1</v>
      </c>
      <c r="L4" s="17"/>
      <c r="M4" s="66">
        <v>2</v>
      </c>
      <c r="N4" s="66" t="s">
        <v>187</v>
      </c>
      <c r="O4" s="69">
        <v>1</v>
      </c>
      <c r="P4" s="17"/>
      <c r="Q4" s="66">
        <v>2</v>
      </c>
      <c r="R4" s="66" t="s">
        <v>187</v>
      </c>
      <c r="S4" s="69">
        <v>2</v>
      </c>
      <c r="T4" s="17"/>
      <c r="U4" s="66">
        <v>2</v>
      </c>
      <c r="V4" s="66" t="s">
        <v>187</v>
      </c>
      <c r="W4" s="69">
        <v>2</v>
      </c>
      <c r="X4" s="17"/>
    </row>
    <row r="5" spans="1:24">
      <c r="A5" s="67"/>
      <c r="B5" s="70" t="s">
        <v>111</v>
      </c>
      <c r="C5" s="71">
        <v>6</v>
      </c>
      <c r="E5" s="67"/>
      <c r="F5" s="70" t="s">
        <v>127</v>
      </c>
      <c r="G5" s="71">
        <v>1</v>
      </c>
      <c r="H5" s="17"/>
      <c r="I5" s="67"/>
      <c r="J5" s="70" t="s">
        <v>108</v>
      </c>
      <c r="K5" s="71">
        <v>3</v>
      </c>
      <c r="L5" s="17"/>
      <c r="M5" s="67"/>
      <c r="N5" s="70" t="s">
        <v>108</v>
      </c>
      <c r="O5" s="71">
        <v>2</v>
      </c>
      <c r="P5" s="17"/>
      <c r="Q5" s="67"/>
      <c r="R5" s="70" t="s">
        <v>108</v>
      </c>
      <c r="S5" s="71">
        <v>2</v>
      </c>
      <c r="T5" s="17"/>
      <c r="U5" s="67"/>
      <c r="V5" s="70" t="s">
        <v>108</v>
      </c>
      <c r="W5" s="71">
        <v>2</v>
      </c>
      <c r="X5" s="17"/>
    </row>
    <row r="6" spans="1:24">
      <c r="A6" s="67"/>
      <c r="B6" s="70" t="s">
        <v>114</v>
      </c>
      <c r="C6" s="71">
        <v>3</v>
      </c>
      <c r="E6" s="67"/>
      <c r="F6" s="70" t="s">
        <v>111</v>
      </c>
      <c r="G6" s="71">
        <v>6</v>
      </c>
      <c r="H6" s="17"/>
      <c r="I6" s="67"/>
      <c r="J6" s="70" t="s">
        <v>127</v>
      </c>
      <c r="K6" s="71">
        <v>1</v>
      </c>
      <c r="L6" s="17"/>
      <c r="M6" s="67"/>
      <c r="N6" s="70" t="s">
        <v>127</v>
      </c>
      <c r="O6" s="71">
        <v>2</v>
      </c>
      <c r="P6" s="17"/>
      <c r="Q6" s="67"/>
      <c r="R6" s="70" t="s">
        <v>127</v>
      </c>
      <c r="S6" s="71">
        <v>1</v>
      </c>
      <c r="T6" s="17"/>
      <c r="U6" s="67"/>
      <c r="V6" s="70" t="s">
        <v>111</v>
      </c>
      <c r="W6" s="71">
        <v>1</v>
      </c>
      <c r="X6" s="17"/>
    </row>
    <row r="7" spans="1:24">
      <c r="A7" s="67"/>
      <c r="B7" s="70" t="s">
        <v>117</v>
      </c>
      <c r="C7" s="71">
        <v>5</v>
      </c>
      <c r="E7" s="67"/>
      <c r="F7" s="70" t="s">
        <v>114</v>
      </c>
      <c r="G7" s="71">
        <v>3</v>
      </c>
      <c r="H7" s="17"/>
      <c r="I7" s="67"/>
      <c r="J7" s="70" t="s">
        <v>111</v>
      </c>
      <c r="K7" s="71">
        <v>2</v>
      </c>
      <c r="L7" s="17"/>
      <c r="M7" s="67"/>
      <c r="N7" s="70" t="s">
        <v>111</v>
      </c>
      <c r="O7" s="71">
        <v>1</v>
      </c>
      <c r="P7" s="17"/>
      <c r="Q7" s="67"/>
      <c r="R7" s="70" t="s">
        <v>111</v>
      </c>
      <c r="S7" s="71">
        <v>7</v>
      </c>
      <c r="T7" s="17"/>
      <c r="U7" s="67"/>
      <c r="V7" s="70" t="s">
        <v>114</v>
      </c>
      <c r="W7" s="71">
        <v>1</v>
      </c>
      <c r="X7" s="17"/>
    </row>
    <row r="8" spans="1:24">
      <c r="A8" s="67"/>
      <c r="B8" s="70" t="s">
        <v>120</v>
      </c>
      <c r="C8" s="71">
        <v>2</v>
      </c>
      <c r="E8" s="67"/>
      <c r="F8" s="70" t="s">
        <v>117</v>
      </c>
      <c r="G8" s="71">
        <v>7</v>
      </c>
      <c r="H8" s="17"/>
      <c r="I8" s="67"/>
      <c r="J8" s="70" t="s">
        <v>114</v>
      </c>
      <c r="K8" s="71">
        <v>2</v>
      </c>
      <c r="L8" s="17"/>
      <c r="M8" s="67"/>
      <c r="N8" s="70" t="s">
        <v>114</v>
      </c>
      <c r="O8" s="71">
        <v>4</v>
      </c>
      <c r="P8" s="17"/>
      <c r="Q8" s="67"/>
      <c r="R8" s="70" t="s">
        <v>114</v>
      </c>
      <c r="S8" s="71">
        <v>2</v>
      </c>
      <c r="T8" s="17"/>
      <c r="U8" s="67"/>
      <c r="V8" s="70" t="s">
        <v>117</v>
      </c>
      <c r="W8" s="71">
        <v>3</v>
      </c>
      <c r="X8" s="17"/>
    </row>
    <row r="9" spans="1:24">
      <c r="A9" s="67"/>
      <c r="B9" s="70" t="s">
        <v>123</v>
      </c>
      <c r="C9" s="71">
        <v>5</v>
      </c>
      <c r="E9" s="67"/>
      <c r="F9" s="70" t="s">
        <v>120</v>
      </c>
      <c r="G9" s="71">
        <v>1</v>
      </c>
      <c r="H9" s="17"/>
      <c r="I9" s="67"/>
      <c r="J9" s="70" t="s">
        <v>117</v>
      </c>
      <c r="K9" s="71">
        <v>4</v>
      </c>
      <c r="L9" s="17"/>
      <c r="M9" s="67"/>
      <c r="N9" s="70" t="s">
        <v>117</v>
      </c>
      <c r="O9" s="71">
        <v>5</v>
      </c>
      <c r="P9" s="17"/>
      <c r="Q9" s="67"/>
      <c r="R9" s="70" t="s">
        <v>117</v>
      </c>
      <c r="S9" s="71">
        <v>7</v>
      </c>
      <c r="T9" s="17"/>
      <c r="U9" s="67"/>
      <c r="V9" s="70" t="s">
        <v>120</v>
      </c>
      <c r="W9" s="71">
        <v>1</v>
      </c>
      <c r="X9" s="17"/>
    </row>
    <row r="10" spans="1:24">
      <c r="A10" s="81" t="s">
        <v>328</v>
      </c>
      <c r="B10" s="82"/>
      <c r="C10" s="83">
        <v>24</v>
      </c>
      <c r="D10" s="18">
        <f>C10/45</f>
        <v>0.53333333333333333</v>
      </c>
      <c r="E10" s="67"/>
      <c r="F10" s="70" t="s">
        <v>123</v>
      </c>
      <c r="G10" s="71">
        <v>3</v>
      </c>
      <c r="H10" s="17"/>
      <c r="I10" s="67"/>
      <c r="J10" s="70" t="s">
        <v>120</v>
      </c>
      <c r="K10" s="71">
        <v>2</v>
      </c>
      <c r="L10" s="17"/>
      <c r="M10" s="67"/>
      <c r="N10" s="70" t="s">
        <v>120</v>
      </c>
      <c r="O10" s="71">
        <v>2</v>
      </c>
      <c r="P10" s="17"/>
      <c r="Q10" s="67"/>
      <c r="R10" s="70" t="s">
        <v>120</v>
      </c>
      <c r="S10" s="71">
        <v>1</v>
      </c>
      <c r="T10" s="17"/>
      <c r="U10" s="67"/>
      <c r="V10" s="70" t="s">
        <v>123</v>
      </c>
      <c r="W10" s="71">
        <v>1</v>
      </c>
      <c r="X10" s="17"/>
    </row>
    <row r="11" spans="1:24">
      <c r="A11" s="66">
        <v>1</v>
      </c>
      <c r="B11" s="66" t="s">
        <v>127</v>
      </c>
      <c r="C11" s="69">
        <v>2</v>
      </c>
      <c r="E11" s="81" t="s">
        <v>328</v>
      </c>
      <c r="F11" s="82"/>
      <c r="G11" s="83">
        <v>23</v>
      </c>
      <c r="H11" s="18">
        <f>G11/45</f>
        <v>0.51111111111111107</v>
      </c>
      <c r="I11" s="67"/>
      <c r="J11" s="70" t="s">
        <v>123</v>
      </c>
      <c r="K11" s="71">
        <v>1</v>
      </c>
      <c r="L11" s="17"/>
      <c r="M11" s="67"/>
      <c r="N11" s="70" t="s">
        <v>123</v>
      </c>
      <c r="O11" s="71">
        <v>1</v>
      </c>
      <c r="P11" s="17"/>
      <c r="Q11" s="67"/>
      <c r="R11" s="70" t="s">
        <v>123</v>
      </c>
      <c r="S11" s="71">
        <v>4</v>
      </c>
      <c r="T11" s="17"/>
      <c r="U11" s="81" t="s">
        <v>328</v>
      </c>
      <c r="V11" s="82"/>
      <c r="W11" s="83">
        <v>11</v>
      </c>
      <c r="X11" s="19">
        <f>W11/45</f>
        <v>0.24444444444444444</v>
      </c>
    </row>
    <row r="12" spans="1:24">
      <c r="A12" s="67"/>
      <c r="B12" s="70" t="s">
        <v>111</v>
      </c>
      <c r="C12" s="71">
        <v>4</v>
      </c>
      <c r="E12" s="66">
        <v>1</v>
      </c>
      <c r="F12" s="66" t="s">
        <v>127</v>
      </c>
      <c r="G12" s="69">
        <v>1</v>
      </c>
      <c r="H12" s="17"/>
      <c r="I12" s="81" t="s">
        <v>328</v>
      </c>
      <c r="J12" s="82"/>
      <c r="K12" s="83">
        <v>16</v>
      </c>
      <c r="L12" s="19">
        <f>K12/45</f>
        <v>0.35555555555555557</v>
      </c>
      <c r="M12" s="81" t="s">
        <v>328</v>
      </c>
      <c r="N12" s="82"/>
      <c r="O12" s="83">
        <v>18</v>
      </c>
      <c r="P12" s="19">
        <f>O12/45</f>
        <v>0.4</v>
      </c>
      <c r="Q12" s="81" t="s">
        <v>328</v>
      </c>
      <c r="R12" s="82"/>
      <c r="S12" s="83">
        <v>26</v>
      </c>
      <c r="T12" s="18">
        <f>S12/45</f>
        <v>0.57777777777777772</v>
      </c>
      <c r="U12" s="66">
        <v>1</v>
      </c>
      <c r="V12" s="66" t="s">
        <v>111</v>
      </c>
      <c r="W12" s="69">
        <v>8</v>
      </c>
      <c r="X12" s="17"/>
    </row>
    <row r="13" spans="1:24">
      <c r="A13" s="67"/>
      <c r="B13" s="70" t="s">
        <v>114</v>
      </c>
      <c r="C13" s="71">
        <v>2</v>
      </c>
      <c r="E13" s="67"/>
      <c r="F13" s="70" t="s">
        <v>111</v>
      </c>
      <c r="G13" s="71">
        <v>3</v>
      </c>
      <c r="H13" s="17"/>
      <c r="I13" s="66">
        <v>1</v>
      </c>
      <c r="J13" s="66" t="s">
        <v>127</v>
      </c>
      <c r="K13" s="69">
        <v>1</v>
      </c>
      <c r="L13" s="17"/>
      <c r="M13" s="66">
        <v>1</v>
      </c>
      <c r="N13" s="66" t="s">
        <v>108</v>
      </c>
      <c r="O13" s="69">
        <v>1</v>
      </c>
      <c r="P13" s="17"/>
      <c r="Q13" s="66">
        <v>1</v>
      </c>
      <c r="R13" s="66" t="s">
        <v>108</v>
      </c>
      <c r="S13" s="69">
        <v>1</v>
      </c>
      <c r="T13" s="17"/>
      <c r="U13" s="67"/>
      <c r="V13" s="70" t="s">
        <v>114</v>
      </c>
      <c r="W13" s="71">
        <v>2</v>
      </c>
      <c r="X13" s="17"/>
    </row>
    <row r="14" spans="1:24">
      <c r="A14" s="67"/>
      <c r="B14" s="70" t="s">
        <v>117</v>
      </c>
      <c r="C14" s="71">
        <v>1</v>
      </c>
      <c r="E14" s="67"/>
      <c r="F14" s="70" t="s">
        <v>114</v>
      </c>
      <c r="G14" s="71">
        <v>1</v>
      </c>
      <c r="H14" s="17"/>
      <c r="I14" s="67"/>
      <c r="J14" s="70" t="s">
        <v>111</v>
      </c>
      <c r="K14" s="71">
        <v>6</v>
      </c>
      <c r="L14" s="17"/>
      <c r="M14" s="66" t="s">
        <v>329</v>
      </c>
      <c r="N14" s="72"/>
      <c r="O14" s="69">
        <v>1</v>
      </c>
      <c r="P14" s="20">
        <f>O14/45</f>
        <v>2.2222222222222223E-2</v>
      </c>
      <c r="Q14" s="67"/>
      <c r="R14" s="70" t="s">
        <v>127</v>
      </c>
      <c r="S14" s="71">
        <v>1</v>
      </c>
      <c r="T14" s="17"/>
      <c r="U14" s="67"/>
      <c r="V14" s="70" t="s">
        <v>117</v>
      </c>
      <c r="W14" s="71">
        <v>2</v>
      </c>
      <c r="X14" s="17"/>
    </row>
    <row r="15" spans="1:24">
      <c r="A15" s="66" t="s">
        <v>329</v>
      </c>
      <c r="B15" s="72"/>
      <c r="C15" s="69">
        <v>9</v>
      </c>
      <c r="D15" s="20">
        <f>C15/45</f>
        <v>0.2</v>
      </c>
      <c r="E15" s="67"/>
      <c r="F15" s="70" t="s">
        <v>120</v>
      </c>
      <c r="G15" s="71">
        <v>1</v>
      </c>
      <c r="H15" s="17"/>
      <c r="I15" s="67"/>
      <c r="J15" s="70" t="s">
        <v>114</v>
      </c>
      <c r="K15" s="71">
        <v>2</v>
      </c>
      <c r="L15" s="17"/>
      <c r="M15" s="78">
        <v>0</v>
      </c>
      <c r="N15" s="68" t="s">
        <v>187</v>
      </c>
      <c r="O15" s="84">
        <v>3</v>
      </c>
      <c r="P15" s="17"/>
      <c r="Q15" s="67"/>
      <c r="R15" s="70" t="s">
        <v>111</v>
      </c>
      <c r="S15" s="71">
        <v>3</v>
      </c>
      <c r="T15" s="17"/>
      <c r="U15" s="66" t="s">
        <v>329</v>
      </c>
      <c r="V15" s="72"/>
      <c r="W15" s="69">
        <v>12</v>
      </c>
      <c r="X15" s="20">
        <f>W15/45</f>
        <v>0.26666666666666666</v>
      </c>
    </row>
    <row r="16" spans="1:24">
      <c r="A16" s="78">
        <v>0</v>
      </c>
      <c r="B16" s="68" t="s">
        <v>187</v>
      </c>
      <c r="C16" s="84">
        <v>4</v>
      </c>
      <c r="E16" s="66" t="s">
        <v>329</v>
      </c>
      <c r="F16" s="72"/>
      <c r="G16" s="69">
        <v>6</v>
      </c>
      <c r="H16" s="20">
        <f>G16/45</f>
        <v>0.13333333333333333</v>
      </c>
      <c r="I16" s="67"/>
      <c r="J16" s="70" t="s">
        <v>117</v>
      </c>
      <c r="K16" s="71">
        <v>3</v>
      </c>
      <c r="L16" s="17"/>
      <c r="M16" s="79"/>
      <c r="N16" s="70" t="s">
        <v>111</v>
      </c>
      <c r="O16" s="80">
        <v>13</v>
      </c>
      <c r="P16" s="17"/>
      <c r="Q16" s="67"/>
      <c r="R16" s="70" t="s">
        <v>114</v>
      </c>
      <c r="S16" s="71">
        <v>3</v>
      </c>
      <c r="T16" s="17"/>
      <c r="U16" s="78">
        <v>0</v>
      </c>
      <c r="V16" s="68" t="s">
        <v>187</v>
      </c>
      <c r="W16" s="84">
        <v>2</v>
      </c>
      <c r="X16" s="17"/>
    </row>
    <row r="17" spans="1:24">
      <c r="A17" s="79"/>
      <c r="B17" s="70" t="s">
        <v>111</v>
      </c>
      <c r="C17" s="80">
        <v>4</v>
      </c>
      <c r="E17" s="78">
        <v>0</v>
      </c>
      <c r="F17" s="68" t="s">
        <v>187</v>
      </c>
      <c r="G17" s="84">
        <v>4</v>
      </c>
      <c r="H17" s="17"/>
      <c r="I17" s="66" t="s">
        <v>329</v>
      </c>
      <c r="J17" s="72"/>
      <c r="K17" s="69">
        <v>12</v>
      </c>
      <c r="L17" s="20">
        <f>K17/45</f>
        <v>0.26666666666666666</v>
      </c>
      <c r="M17" s="79"/>
      <c r="N17" s="70" t="s">
        <v>114</v>
      </c>
      <c r="O17" s="80">
        <v>2</v>
      </c>
      <c r="P17" s="17"/>
      <c r="Q17" s="67"/>
      <c r="R17" s="70" t="s">
        <v>117</v>
      </c>
      <c r="S17" s="71">
        <v>1</v>
      </c>
      <c r="T17" s="17"/>
      <c r="U17" s="79"/>
      <c r="V17" s="70" t="s">
        <v>108</v>
      </c>
      <c r="W17" s="80">
        <v>1</v>
      </c>
      <c r="X17" s="17"/>
    </row>
    <row r="18" spans="1:24">
      <c r="A18" s="79"/>
      <c r="B18" s="70" t="s">
        <v>114</v>
      </c>
      <c r="C18" s="80">
        <v>1</v>
      </c>
      <c r="E18" s="79"/>
      <c r="F18" s="70" t="s">
        <v>108</v>
      </c>
      <c r="G18" s="80">
        <v>1</v>
      </c>
      <c r="H18" s="17"/>
      <c r="I18" s="78">
        <v>0</v>
      </c>
      <c r="J18" s="68" t="s">
        <v>187</v>
      </c>
      <c r="K18" s="84">
        <v>3</v>
      </c>
      <c r="L18" s="17"/>
      <c r="M18" s="79"/>
      <c r="N18" s="70" t="s">
        <v>117</v>
      </c>
      <c r="O18" s="80">
        <v>3</v>
      </c>
      <c r="P18" s="17"/>
      <c r="Q18" s="67"/>
      <c r="R18" s="70" t="s">
        <v>120</v>
      </c>
      <c r="S18" s="71">
        <v>1</v>
      </c>
      <c r="T18" s="17"/>
      <c r="U18" s="79"/>
      <c r="V18" s="70" t="s">
        <v>127</v>
      </c>
      <c r="W18" s="80">
        <v>2</v>
      </c>
      <c r="X18" s="17"/>
    </row>
    <row r="19" spans="1:24">
      <c r="A19" s="79"/>
      <c r="B19" s="70" t="s">
        <v>117</v>
      </c>
      <c r="C19" s="80">
        <v>2</v>
      </c>
      <c r="E19" s="79"/>
      <c r="F19" s="70" t="s">
        <v>111</v>
      </c>
      <c r="G19" s="80">
        <v>5</v>
      </c>
      <c r="H19" s="17"/>
      <c r="I19" s="79"/>
      <c r="J19" s="70" t="s">
        <v>111</v>
      </c>
      <c r="K19" s="80">
        <v>6</v>
      </c>
      <c r="L19" s="17"/>
      <c r="M19" s="79"/>
      <c r="N19" s="70" t="s">
        <v>120</v>
      </c>
      <c r="O19" s="80">
        <v>1</v>
      </c>
      <c r="P19" s="17"/>
      <c r="Q19" s="66" t="s">
        <v>329</v>
      </c>
      <c r="R19" s="72"/>
      <c r="S19" s="69">
        <v>10</v>
      </c>
      <c r="T19" s="20">
        <f>S19/45</f>
        <v>0.22222222222222221</v>
      </c>
      <c r="U19" s="79"/>
      <c r="V19" s="70" t="s">
        <v>111</v>
      </c>
      <c r="W19" s="80">
        <v>5</v>
      </c>
      <c r="X19" s="17"/>
    </row>
    <row r="20" spans="1:24">
      <c r="A20" s="79"/>
      <c r="B20" s="70" t="s">
        <v>120</v>
      </c>
      <c r="C20" s="80">
        <v>1</v>
      </c>
      <c r="E20" s="79"/>
      <c r="F20" s="70" t="s">
        <v>114</v>
      </c>
      <c r="G20" s="80">
        <v>2</v>
      </c>
      <c r="H20" s="17"/>
      <c r="I20" s="79"/>
      <c r="J20" s="70" t="s">
        <v>114</v>
      </c>
      <c r="K20" s="80">
        <v>2</v>
      </c>
      <c r="L20" s="17"/>
      <c r="M20" s="79"/>
      <c r="N20" s="70" t="s">
        <v>123</v>
      </c>
      <c r="O20" s="80">
        <v>4</v>
      </c>
      <c r="P20" s="17"/>
      <c r="Q20" s="78">
        <v>0</v>
      </c>
      <c r="R20" s="68" t="s">
        <v>187</v>
      </c>
      <c r="S20" s="84">
        <v>2</v>
      </c>
      <c r="T20" s="17"/>
      <c r="U20" s="79"/>
      <c r="V20" s="70" t="s">
        <v>114</v>
      </c>
      <c r="W20" s="80">
        <v>3</v>
      </c>
      <c r="X20" s="17"/>
    </row>
    <row r="21" spans="1:24">
      <c r="A21" s="81" t="s">
        <v>330</v>
      </c>
      <c r="B21" s="82"/>
      <c r="C21" s="83">
        <v>12</v>
      </c>
      <c r="D21" s="21">
        <f>C21/45</f>
        <v>0.26666666666666666</v>
      </c>
      <c r="E21" s="79"/>
      <c r="F21" s="70" t="s">
        <v>117</v>
      </c>
      <c r="G21" s="80">
        <v>1</v>
      </c>
      <c r="H21" s="17"/>
      <c r="I21" s="79"/>
      <c r="J21" s="70" t="s">
        <v>117</v>
      </c>
      <c r="K21" s="80">
        <v>1</v>
      </c>
      <c r="L21" s="17"/>
      <c r="M21" s="81" t="s">
        <v>330</v>
      </c>
      <c r="N21" s="82"/>
      <c r="O21" s="83">
        <v>26</v>
      </c>
      <c r="P21" s="22">
        <f>O21/45</f>
        <v>0.57777777777777772</v>
      </c>
      <c r="Q21" s="79"/>
      <c r="R21" s="70" t="s">
        <v>111</v>
      </c>
      <c r="S21" s="80">
        <v>4</v>
      </c>
      <c r="T21" s="17"/>
      <c r="U21" s="79"/>
      <c r="V21" s="70" t="s">
        <v>117</v>
      </c>
      <c r="W21" s="80">
        <v>3</v>
      </c>
      <c r="X21" s="17"/>
    </row>
    <row r="22" spans="1:24">
      <c r="A22" s="73" t="s">
        <v>331</v>
      </c>
      <c r="B22" s="74"/>
      <c r="C22" s="75">
        <v>45</v>
      </c>
      <c r="E22" s="79"/>
      <c r="F22" s="70" t="s">
        <v>120</v>
      </c>
      <c r="G22" s="80">
        <v>1</v>
      </c>
      <c r="H22" s="17"/>
      <c r="I22" s="79"/>
      <c r="J22" s="70" t="s">
        <v>120</v>
      </c>
      <c r="K22" s="80">
        <v>1</v>
      </c>
      <c r="L22" s="17"/>
      <c r="M22" s="73" t="s">
        <v>331</v>
      </c>
      <c r="N22" s="74"/>
      <c r="O22" s="75">
        <v>45</v>
      </c>
      <c r="P22" s="17"/>
      <c r="Q22" s="79"/>
      <c r="R22" s="70" t="s">
        <v>114</v>
      </c>
      <c r="S22" s="80">
        <v>1</v>
      </c>
      <c r="T22" s="17"/>
      <c r="U22" s="79"/>
      <c r="V22" s="70" t="s">
        <v>120</v>
      </c>
      <c r="W22" s="80">
        <v>2</v>
      </c>
      <c r="X22" s="17"/>
    </row>
    <row r="23" spans="1:24">
      <c r="E23" s="79"/>
      <c r="F23" s="70" t="s">
        <v>123</v>
      </c>
      <c r="G23" s="80">
        <v>2</v>
      </c>
      <c r="H23" s="17"/>
      <c r="I23" s="79"/>
      <c r="J23" s="70" t="s">
        <v>123</v>
      </c>
      <c r="K23" s="80">
        <v>4</v>
      </c>
      <c r="L23" s="17"/>
      <c r="M23" s="17"/>
      <c r="N23" s="17"/>
      <c r="O23" s="17"/>
      <c r="P23" s="17"/>
      <c r="Q23" s="79"/>
      <c r="R23" s="70" t="s">
        <v>120</v>
      </c>
      <c r="S23" s="80">
        <v>1</v>
      </c>
      <c r="T23" s="17"/>
      <c r="U23" s="79"/>
      <c r="V23" s="70" t="s">
        <v>123</v>
      </c>
      <c r="W23" s="80">
        <v>4</v>
      </c>
      <c r="X23" s="17"/>
    </row>
    <row r="24" spans="1:24">
      <c r="E24" s="81" t="s">
        <v>330</v>
      </c>
      <c r="F24" s="82"/>
      <c r="G24" s="83">
        <v>16</v>
      </c>
      <c r="H24" s="21">
        <f>G24/45</f>
        <v>0.35555555555555557</v>
      </c>
      <c r="I24" s="81" t="s">
        <v>330</v>
      </c>
      <c r="J24" s="82"/>
      <c r="K24" s="83">
        <v>17</v>
      </c>
      <c r="L24" s="21">
        <f>K24/45</f>
        <v>0.37777777777777777</v>
      </c>
      <c r="M24" s="17"/>
      <c r="N24" s="17"/>
      <c r="O24" s="17"/>
      <c r="P24" s="17"/>
      <c r="Q24" s="79"/>
      <c r="R24" s="70" t="s">
        <v>123</v>
      </c>
      <c r="S24" s="80">
        <v>1</v>
      </c>
      <c r="T24" s="17"/>
      <c r="U24" s="81" t="s">
        <v>330</v>
      </c>
      <c r="V24" s="82"/>
      <c r="W24" s="83">
        <v>22</v>
      </c>
      <c r="X24" s="21">
        <f>W24/45</f>
        <v>0.48888888888888887</v>
      </c>
    </row>
    <row r="25" spans="1:24">
      <c r="E25" s="73" t="s">
        <v>331</v>
      </c>
      <c r="F25" s="74"/>
      <c r="G25" s="75">
        <v>45</v>
      </c>
      <c r="H25" s="17"/>
      <c r="I25" s="73" t="s">
        <v>331</v>
      </c>
      <c r="J25" s="74"/>
      <c r="K25" s="75">
        <v>45</v>
      </c>
      <c r="L25" s="17"/>
      <c r="M25" s="17"/>
      <c r="N25" s="17"/>
      <c r="O25" s="17"/>
      <c r="P25" s="17"/>
      <c r="Q25" s="81" t="s">
        <v>330</v>
      </c>
      <c r="R25" s="82"/>
      <c r="S25" s="83">
        <v>9</v>
      </c>
      <c r="T25" s="21">
        <f>S25/45</f>
        <v>0.2</v>
      </c>
      <c r="U25" s="73" t="s">
        <v>331</v>
      </c>
      <c r="V25" s="74"/>
      <c r="W25" s="75">
        <v>45</v>
      </c>
      <c r="X25" s="17"/>
    </row>
    <row r="26" spans="1:24">
      <c r="E26" s="17"/>
      <c r="F26" s="17"/>
      <c r="G26" s="17"/>
      <c r="H26" s="17"/>
      <c r="I26" s="17"/>
      <c r="J26" s="17"/>
      <c r="K26" s="17"/>
      <c r="L26" s="17"/>
      <c r="M26" s="17"/>
      <c r="N26" s="17"/>
      <c r="O26" s="17"/>
      <c r="P26" s="17"/>
      <c r="Q26" s="73" t="s">
        <v>331</v>
      </c>
      <c r="R26" s="74"/>
      <c r="S26" s="75">
        <v>45</v>
      </c>
      <c r="T26" s="17"/>
      <c r="U26" s="17"/>
      <c r="V26" s="17"/>
      <c r="W26" s="17"/>
      <c r="X26" s="17"/>
    </row>
    <row r="27" spans="1:24">
      <c r="E27" s="17"/>
      <c r="F27" s="17"/>
      <c r="G27" s="17"/>
      <c r="H27" s="17"/>
      <c r="I27" s="17"/>
      <c r="J27" s="17"/>
      <c r="K27" s="17"/>
      <c r="L27" s="17"/>
      <c r="M27" s="17"/>
      <c r="N27" s="17"/>
      <c r="O27" s="17"/>
      <c r="P27" s="17"/>
      <c r="Q27" s="17"/>
      <c r="R27" s="17"/>
      <c r="S27" s="17"/>
      <c r="T27" s="17"/>
      <c r="U27" s="17"/>
      <c r="V27" s="17"/>
      <c r="W27" s="17"/>
      <c r="X27" s="17"/>
    </row>
    <row r="28" spans="1:24">
      <c r="E28" s="17"/>
      <c r="F28" s="17"/>
      <c r="G28" s="17"/>
      <c r="H28" s="17"/>
      <c r="I28" s="17"/>
      <c r="J28" s="17"/>
      <c r="K28" s="17"/>
      <c r="L28" s="17"/>
      <c r="M28" s="17"/>
      <c r="N28" s="17"/>
      <c r="O28" s="17"/>
      <c r="P28" s="17"/>
      <c r="Q28" s="17"/>
      <c r="R28" s="17"/>
      <c r="S28" s="17"/>
      <c r="T28" s="17"/>
      <c r="U28" s="17"/>
      <c r="V28" s="17"/>
      <c r="W28" s="17"/>
      <c r="X28" s="17"/>
    </row>
    <row r="29" spans="1:24">
      <c r="E29" s="17"/>
      <c r="F29" s="17"/>
      <c r="G29" s="17"/>
      <c r="H29" s="17"/>
      <c r="I29" s="17"/>
      <c r="J29" s="17"/>
      <c r="K29" s="17"/>
      <c r="L29" s="17"/>
      <c r="M29" s="17"/>
      <c r="N29" s="17"/>
      <c r="O29" s="17"/>
      <c r="P29" s="17"/>
      <c r="Q29" s="17"/>
      <c r="R29" s="17"/>
      <c r="S29" s="17"/>
      <c r="T29" s="17"/>
      <c r="U29" s="17"/>
      <c r="V29" s="17"/>
      <c r="W29" s="17"/>
      <c r="X29" s="17"/>
    </row>
    <row r="30" spans="1:24">
      <c r="E30" s="17"/>
      <c r="F30" s="17"/>
      <c r="G30" s="17"/>
      <c r="H30" s="17"/>
      <c r="I30" s="17"/>
      <c r="J30" s="17"/>
      <c r="K30" s="17"/>
      <c r="L30" s="17"/>
      <c r="M30" s="17"/>
      <c r="N30" s="17"/>
      <c r="O30" s="17"/>
      <c r="P30" s="17"/>
      <c r="Q30" s="17"/>
      <c r="R30" s="17"/>
      <c r="S30" s="17"/>
      <c r="T30" s="17"/>
      <c r="U30" s="17"/>
      <c r="V30" s="17"/>
      <c r="W30" s="17"/>
      <c r="X30" s="17"/>
    </row>
    <row r="31" spans="1:24">
      <c r="E31" s="17"/>
      <c r="F31" s="17"/>
      <c r="G31" s="17"/>
      <c r="H31" s="17"/>
      <c r="I31" s="17"/>
      <c r="J31" s="17"/>
      <c r="K31" s="17"/>
      <c r="L31" s="17"/>
      <c r="M31" s="17"/>
      <c r="N31" s="17"/>
      <c r="O31" s="17"/>
      <c r="P31" s="17"/>
      <c r="Q31" s="17"/>
      <c r="R31" s="17"/>
      <c r="S31" s="17"/>
      <c r="T31" s="17"/>
      <c r="U31" s="17"/>
      <c r="V31" s="17"/>
      <c r="W31" s="17"/>
      <c r="X31" s="17"/>
    </row>
    <row r="32" spans="1:24">
      <c r="E32" s="17"/>
      <c r="F32" s="17"/>
      <c r="G32" s="17"/>
      <c r="H32" s="17"/>
      <c r="I32" s="17"/>
      <c r="J32" s="17"/>
      <c r="K32" s="17"/>
      <c r="L32" s="17"/>
      <c r="M32" s="17"/>
      <c r="N32" s="17"/>
      <c r="O32" s="17"/>
      <c r="P32" s="17"/>
      <c r="Q32" s="17"/>
      <c r="R32" s="17"/>
      <c r="S32" s="17"/>
      <c r="T32" s="17"/>
      <c r="U32" s="17"/>
      <c r="V32" s="17"/>
      <c r="W32" s="17"/>
      <c r="X32" s="17"/>
    </row>
    <row r="33" spans="5:24">
      <c r="E33" s="17"/>
      <c r="F33" s="17"/>
      <c r="G33" s="17"/>
      <c r="H33" s="17"/>
      <c r="I33" s="17"/>
      <c r="J33" s="17"/>
      <c r="K33" s="17"/>
      <c r="L33" s="17"/>
      <c r="M33" s="17"/>
      <c r="N33" s="17"/>
      <c r="O33" s="17"/>
      <c r="P33" s="17"/>
      <c r="Q33" s="17"/>
      <c r="R33" s="17"/>
      <c r="S33" s="17"/>
      <c r="T33" s="17"/>
      <c r="U33" s="17"/>
      <c r="V33" s="17"/>
      <c r="W33" s="17"/>
      <c r="X33" s="17"/>
    </row>
    <row r="34" spans="5:24">
      <c r="E34" s="17"/>
      <c r="F34" s="17"/>
      <c r="G34" s="17"/>
      <c r="H34" s="17"/>
      <c r="I34" s="17"/>
      <c r="J34" s="17"/>
      <c r="K34" s="17"/>
      <c r="L34" s="17"/>
      <c r="M34" s="17"/>
      <c r="N34" s="17"/>
      <c r="O34" s="17"/>
      <c r="P34" s="17"/>
      <c r="Q34" s="17"/>
      <c r="R34" s="17"/>
      <c r="S34" s="17"/>
      <c r="T34" s="17"/>
      <c r="U34" s="17"/>
      <c r="V34" s="17"/>
      <c r="W34" s="17"/>
      <c r="X34" s="17"/>
    </row>
    <row r="35" spans="5:24">
      <c r="E35" s="17"/>
      <c r="F35" s="17"/>
      <c r="G35" s="17"/>
      <c r="H35" s="17"/>
      <c r="I35" s="17"/>
      <c r="J35" s="17"/>
      <c r="K35" s="17"/>
      <c r="L35" s="17"/>
      <c r="M35" s="17"/>
      <c r="N35" s="17"/>
      <c r="O35" s="17"/>
      <c r="P35" s="17"/>
      <c r="Q35" s="17"/>
      <c r="R35" s="17"/>
      <c r="S35" s="17"/>
      <c r="T35" s="17"/>
      <c r="U35" s="17"/>
      <c r="V35" s="17"/>
      <c r="W35" s="17"/>
      <c r="X35" s="17"/>
    </row>
    <row r="36" spans="5:24">
      <c r="E36" s="17"/>
      <c r="F36" s="17"/>
      <c r="G36" s="17"/>
      <c r="H36" s="17"/>
      <c r="I36" s="17"/>
      <c r="J36" s="17"/>
      <c r="K36" s="17"/>
      <c r="L36" s="17"/>
      <c r="M36" s="17"/>
      <c r="N36" s="17"/>
      <c r="O36" s="17"/>
      <c r="P36" s="17"/>
      <c r="Q36" s="17"/>
      <c r="R36" s="17"/>
      <c r="S36" s="17"/>
      <c r="T36" s="17"/>
      <c r="U36" s="17"/>
      <c r="V36" s="17"/>
      <c r="W36" s="17"/>
      <c r="X36" s="17"/>
    </row>
    <row r="37" spans="5:24">
      <c r="E37" s="17"/>
      <c r="F37" s="17"/>
      <c r="G37" s="17"/>
      <c r="H37" s="17"/>
      <c r="I37" s="17"/>
      <c r="J37" s="17"/>
      <c r="K37" s="17"/>
      <c r="L37" s="17"/>
      <c r="M37" s="17"/>
      <c r="N37" s="17"/>
      <c r="O37" s="17"/>
      <c r="P37" s="17"/>
      <c r="Q37" s="17"/>
      <c r="R37" s="17"/>
      <c r="S37" s="17"/>
      <c r="T37" s="17"/>
      <c r="U37" s="17"/>
      <c r="V37" s="17"/>
      <c r="W37" s="17"/>
      <c r="X37" s="17"/>
    </row>
    <row r="38" spans="5:24">
      <c r="E38" s="17"/>
      <c r="F38" s="17"/>
      <c r="G38" s="17"/>
      <c r="H38" s="17"/>
      <c r="I38" s="17"/>
      <c r="J38" s="17"/>
      <c r="K38" s="17"/>
      <c r="L38" s="17"/>
      <c r="M38" s="17"/>
      <c r="N38" s="17"/>
      <c r="O38" s="17"/>
      <c r="P38" s="17"/>
      <c r="Q38" s="17"/>
      <c r="R38" s="17"/>
      <c r="S38" s="17"/>
      <c r="T38" s="17"/>
      <c r="U38" s="17"/>
      <c r="V38" s="17"/>
      <c r="W38" s="17"/>
      <c r="X38" s="17"/>
    </row>
    <row r="39" spans="5:24">
      <c r="E39" s="17"/>
      <c r="F39" s="17"/>
      <c r="G39" s="17"/>
      <c r="H39" s="17"/>
      <c r="I39" s="17"/>
      <c r="J39" s="17"/>
      <c r="K39" s="17"/>
      <c r="L39" s="17"/>
      <c r="M39" s="17"/>
      <c r="N39" s="17"/>
      <c r="O39" s="17"/>
      <c r="P39" s="17"/>
      <c r="Q39" s="17"/>
      <c r="R39" s="17"/>
      <c r="S39" s="17"/>
      <c r="U39" s="17"/>
      <c r="V39" s="17"/>
      <c r="W39" s="17"/>
      <c r="X39" s="17"/>
    </row>
    <row r="40" spans="5:24">
      <c r="E40" s="17"/>
      <c r="F40" s="17"/>
      <c r="G40" s="17"/>
      <c r="H40" s="17"/>
      <c r="I40" s="17"/>
      <c r="J40" s="17"/>
      <c r="K40" s="17"/>
      <c r="L40" s="17"/>
      <c r="M40" s="17"/>
      <c r="N40" s="17"/>
      <c r="O40" s="17"/>
      <c r="P40" s="17"/>
      <c r="Q40" s="17"/>
      <c r="R40" s="17"/>
      <c r="S40" s="17"/>
      <c r="U40" s="17"/>
      <c r="V40" s="17"/>
      <c r="W40" s="17"/>
      <c r="X40" s="17"/>
    </row>
    <row r="41" spans="5:24">
      <c r="I41" s="17"/>
      <c r="J41" s="17"/>
      <c r="K41" s="17"/>
      <c r="L41" s="17"/>
      <c r="M41" s="17"/>
      <c r="N41" s="17"/>
      <c r="O41" s="17"/>
      <c r="Q41" s="17"/>
      <c r="R41" s="17"/>
      <c r="S41" s="17"/>
      <c r="U41" s="17"/>
      <c r="V41" s="17"/>
      <c r="W41" s="17"/>
      <c r="X41" s="17"/>
    </row>
    <row r="42" spans="5:24">
      <c r="I42" s="17"/>
      <c r="J42" s="17"/>
      <c r="K42" s="17"/>
      <c r="L42" s="17"/>
      <c r="M42" s="17"/>
      <c r="N42" s="17"/>
      <c r="O42" s="17"/>
      <c r="Q42" s="17"/>
      <c r="R42" s="17"/>
      <c r="S42" s="17"/>
      <c r="U42" s="17"/>
      <c r="V42" s="17"/>
      <c r="W42" s="17"/>
      <c r="X42" s="17"/>
    </row>
    <row r="43" spans="5:24">
      <c r="I43" s="17"/>
      <c r="J43" s="17"/>
      <c r="K43" s="17"/>
      <c r="L43" s="17"/>
      <c r="M43" s="17"/>
      <c r="N43" s="17"/>
      <c r="O43" s="17"/>
      <c r="Q43" s="17"/>
      <c r="R43" s="17"/>
      <c r="S43" s="17"/>
      <c r="U43" s="17"/>
      <c r="V43" s="17"/>
      <c r="W43" s="17"/>
      <c r="X43" s="17"/>
    </row>
    <row r="44" spans="5:24">
      <c r="I44" s="17"/>
      <c r="J44" s="17"/>
      <c r="K44" s="17"/>
      <c r="L44" s="17"/>
      <c r="M44" s="17"/>
      <c r="N44" s="17"/>
      <c r="O44" s="17"/>
      <c r="Q44" s="17"/>
      <c r="R44" s="17"/>
      <c r="S44" s="17"/>
      <c r="U44" s="17"/>
      <c r="V44" s="17"/>
      <c r="W44" s="17"/>
      <c r="X44" s="17"/>
    </row>
    <row r="45" spans="5:24">
      <c r="U45" s="17"/>
      <c r="V45" s="17"/>
      <c r="W45" s="17"/>
      <c r="X45" s="17"/>
    </row>
  </sheetData>
  <phoneticPr fontId="1"/>
  <pageMargins left="0.39370078740157483" right="0.19685039370078741" top="0.39370078740157483" bottom="0.39370078740157483" header="0.31496062992125984" footer="0.19685039370078741"/>
  <pageSetup paperSize="9" scale="81" fitToHeight="0" orientation="landscape" horizontalDpi="1200" verticalDpi="1200" r:id="rId7"/>
  <headerFooter>
    <oddFooter>&amp;C&amp;8&amp;P/&amp;N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5923E-C831-4E33-B9EF-782270FC76D9}">
  <sheetPr>
    <tabColor theme="9" tint="0.59999389629810485"/>
    <outlinePr summaryBelow="0" summaryRight="0"/>
  </sheetPr>
  <dimension ref="A1:P46"/>
  <sheetViews>
    <sheetView zoomScaleNormal="100" workbookViewId="0">
      <pane xSplit="4" ySplit="1" topLeftCell="E45" activePane="bottomRight" state="frozen"/>
      <selection activeCell="L1" sqref="L1"/>
      <selection pane="topRight" activeCell="L1" sqref="L1"/>
      <selection pane="bottomLeft" activeCell="L1" sqref="L1"/>
      <selection pane="bottomRight" activeCell="A47" sqref="A47"/>
    </sheetView>
  </sheetViews>
  <sheetFormatPr defaultColWidth="10.26953125" defaultRowHeight="11.4"/>
  <cols>
    <col min="1" max="1" width="2.36328125" style="28" customWidth="1"/>
    <col min="2" max="2" width="4" style="28" customWidth="1"/>
    <col min="3" max="3" width="7" style="28" customWidth="1"/>
    <col min="4" max="4" width="7.81640625" style="28" customWidth="1"/>
    <col min="5" max="5" width="29.36328125" style="63" customWidth="1"/>
    <col min="6" max="6" width="2.26953125" style="64" customWidth="1"/>
    <col min="7" max="7" width="29.36328125" style="63" customWidth="1"/>
    <col min="8" max="8" width="2.26953125" style="64" customWidth="1"/>
    <col min="9" max="9" width="19.453125" style="63" customWidth="1"/>
    <col min="10" max="10" width="2.26953125" style="64" customWidth="1"/>
    <col min="11" max="11" width="19.453125" style="63" customWidth="1"/>
    <col min="12" max="12" width="2.26953125" style="64" customWidth="1"/>
    <col min="13" max="13" width="19.453125" style="63" customWidth="1"/>
    <col min="14" max="14" width="2.26953125" style="64" customWidth="1"/>
    <col min="15" max="15" width="29.36328125" style="63" customWidth="1"/>
    <col min="16" max="16" width="2.26953125" style="64" customWidth="1"/>
    <col min="17" max="16384" width="10.26953125" style="28"/>
  </cols>
  <sheetData>
    <row r="1" spans="1:16" ht="57.6">
      <c r="A1" s="23" t="s">
        <v>361</v>
      </c>
      <c r="B1" s="24" t="s">
        <v>362</v>
      </c>
      <c r="C1" s="24" t="s">
        <v>316</v>
      </c>
      <c r="D1" s="24" t="s">
        <v>363</v>
      </c>
      <c r="E1" s="25" t="s">
        <v>364</v>
      </c>
      <c r="F1" s="26" t="s">
        <v>365</v>
      </c>
      <c r="G1" s="25" t="s">
        <v>366</v>
      </c>
      <c r="H1" s="26" t="s">
        <v>367</v>
      </c>
      <c r="I1" s="25" t="s">
        <v>368</v>
      </c>
      <c r="J1" s="26" t="s">
        <v>369</v>
      </c>
      <c r="K1" s="25" t="s">
        <v>370</v>
      </c>
      <c r="L1" s="26" t="s">
        <v>371</v>
      </c>
      <c r="M1" s="25" t="s">
        <v>372</v>
      </c>
      <c r="N1" s="26" t="s">
        <v>373</v>
      </c>
      <c r="O1" s="25" t="s">
        <v>332</v>
      </c>
      <c r="P1" s="27" t="s">
        <v>374</v>
      </c>
    </row>
    <row r="2" spans="1:16" ht="22.8">
      <c r="A2" s="29">
        <v>1</v>
      </c>
      <c r="B2" s="30" t="s">
        <v>375</v>
      </c>
      <c r="C2" s="30" t="s">
        <v>114</v>
      </c>
      <c r="D2" s="30" t="s">
        <v>376</v>
      </c>
      <c r="E2" s="31" t="s">
        <v>358</v>
      </c>
      <c r="F2" s="32">
        <v>0</v>
      </c>
      <c r="G2" s="31" t="s">
        <v>377</v>
      </c>
      <c r="H2" s="32">
        <v>0</v>
      </c>
      <c r="I2" s="33" t="s">
        <v>378</v>
      </c>
      <c r="J2" s="34">
        <v>1</v>
      </c>
      <c r="K2" s="31" t="s">
        <v>358</v>
      </c>
      <c r="L2" s="32">
        <v>0</v>
      </c>
      <c r="M2" s="33" t="s">
        <v>379</v>
      </c>
      <c r="N2" s="34">
        <v>2</v>
      </c>
      <c r="O2" s="31"/>
      <c r="P2" s="35">
        <v>0</v>
      </c>
    </row>
    <row r="3" spans="1:16" ht="45.6">
      <c r="A3" s="36">
        <v>2</v>
      </c>
      <c r="B3" s="37" t="s">
        <v>375</v>
      </c>
      <c r="C3" s="37" t="s">
        <v>123</v>
      </c>
      <c r="D3" s="37" t="s">
        <v>380</v>
      </c>
      <c r="E3" s="38" t="s">
        <v>381</v>
      </c>
      <c r="F3" s="39">
        <v>2</v>
      </c>
      <c r="G3" s="38" t="s">
        <v>382</v>
      </c>
      <c r="H3" s="39">
        <v>2</v>
      </c>
      <c r="I3" s="40" t="s">
        <v>383</v>
      </c>
      <c r="J3" s="41">
        <v>0</v>
      </c>
      <c r="K3" s="38" t="s">
        <v>384</v>
      </c>
      <c r="L3" s="39">
        <v>2</v>
      </c>
      <c r="M3" s="38" t="s">
        <v>385</v>
      </c>
      <c r="N3" s="39">
        <v>2</v>
      </c>
      <c r="O3" s="42"/>
      <c r="P3" s="43">
        <v>0</v>
      </c>
    </row>
    <row r="4" spans="1:16" ht="34.200000000000003">
      <c r="A4" s="44">
        <v>3</v>
      </c>
      <c r="B4" s="45" t="s">
        <v>375</v>
      </c>
      <c r="C4" s="45" t="s">
        <v>120</v>
      </c>
      <c r="D4" s="45" t="s">
        <v>386</v>
      </c>
      <c r="E4" s="46" t="s">
        <v>387</v>
      </c>
      <c r="F4" s="47">
        <v>2</v>
      </c>
      <c r="G4" s="46" t="s">
        <v>388</v>
      </c>
      <c r="H4" s="47">
        <v>1</v>
      </c>
      <c r="I4" s="46" t="s">
        <v>389</v>
      </c>
      <c r="J4" s="47">
        <v>2</v>
      </c>
      <c r="K4" s="46" t="s">
        <v>390</v>
      </c>
      <c r="L4" s="47">
        <v>2</v>
      </c>
      <c r="M4" s="46" t="s">
        <v>391</v>
      </c>
      <c r="N4" s="47">
        <v>1</v>
      </c>
      <c r="O4" s="46" t="s">
        <v>341</v>
      </c>
      <c r="P4" s="48">
        <v>2</v>
      </c>
    </row>
    <row r="5" spans="1:16" ht="22.8">
      <c r="A5" s="36">
        <v>4</v>
      </c>
      <c r="B5" s="37" t="s">
        <v>375</v>
      </c>
      <c r="C5" s="37" t="s">
        <v>111</v>
      </c>
      <c r="D5" s="37" t="s">
        <v>392</v>
      </c>
      <c r="E5" s="38" t="s">
        <v>393</v>
      </c>
      <c r="F5" s="39">
        <v>1</v>
      </c>
      <c r="G5" s="38" t="s">
        <v>394</v>
      </c>
      <c r="H5" s="39">
        <v>2</v>
      </c>
      <c r="I5" s="42"/>
      <c r="J5" s="41">
        <v>0</v>
      </c>
      <c r="K5" s="42"/>
      <c r="L5" s="41">
        <v>0</v>
      </c>
      <c r="M5" s="42"/>
      <c r="N5" s="41">
        <v>0</v>
      </c>
      <c r="O5" s="38" t="s">
        <v>348</v>
      </c>
      <c r="P5" s="49">
        <v>1</v>
      </c>
    </row>
    <row r="6" spans="1:16" ht="22.8">
      <c r="A6" s="44">
        <v>5</v>
      </c>
      <c r="B6" s="45" t="s">
        <v>375</v>
      </c>
      <c r="C6" s="45" t="s">
        <v>120</v>
      </c>
      <c r="D6" s="45" t="s">
        <v>395</v>
      </c>
      <c r="E6" s="40" t="s">
        <v>358</v>
      </c>
      <c r="F6" s="41">
        <v>0</v>
      </c>
      <c r="G6" s="40" t="s">
        <v>358</v>
      </c>
      <c r="H6" s="41">
        <v>0</v>
      </c>
      <c r="I6" s="40" t="s">
        <v>358</v>
      </c>
      <c r="J6" s="41">
        <v>0</v>
      </c>
      <c r="K6" s="40" t="s">
        <v>358</v>
      </c>
      <c r="L6" s="41">
        <v>0</v>
      </c>
      <c r="M6" s="40" t="s">
        <v>358</v>
      </c>
      <c r="N6" s="41">
        <v>0</v>
      </c>
      <c r="O6" s="40" t="s">
        <v>359</v>
      </c>
      <c r="P6" s="43">
        <v>0</v>
      </c>
    </row>
    <row r="7" spans="1:16" ht="22.8">
      <c r="A7" s="36">
        <v>6</v>
      </c>
      <c r="B7" s="37" t="s">
        <v>375</v>
      </c>
      <c r="C7" s="37" t="s">
        <v>111</v>
      </c>
      <c r="D7" s="37" t="s">
        <v>396</v>
      </c>
      <c r="E7" s="38" t="s">
        <v>397</v>
      </c>
      <c r="F7" s="39">
        <v>1</v>
      </c>
      <c r="G7" s="40" t="s">
        <v>398</v>
      </c>
      <c r="H7" s="41">
        <v>0</v>
      </c>
      <c r="I7" s="40" t="s">
        <v>398</v>
      </c>
      <c r="J7" s="41">
        <v>0</v>
      </c>
      <c r="K7" s="40" t="s">
        <v>398</v>
      </c>
      <c r="L7" s="41">
        <v>0</v>
      </c>
      <c r="M7" s="38" t="s">
        <v>399</v>
      </c>
      <c r="N7" s="39">
        <v>1</v>
      </c>
      <c r="O7" s="38" t="s">
        <v>343</v>
      </c>
      <c r="P7" s="49">
        <v>1</v>
      </c>
    </row>
    <row r="8" spans="1:16">
      <c r="A8" s="44">
        <v>7</v>
      </c>
      <c r="B8" s="45" t="s">
        <v>375</v>
      </c>
      <c r="C8" s="45" t="s">
        <v>111</v>
      </c>
      <c r="D8" s="45" t="s">
        <v>400</v>
      </c>
      <c r="E8" s="46" t="s">
        <v>401</v>
      </c>
      <c r="F8" s="47">
        <v>1</v>
      </c>
      <c r="G8" s="42"/>
      <c r="H8" s="41">
        <v>0</v>
      </c>
      <c r="I8" s="46" t="s">
        <v>402</v>
      </c>
      <c r="J8" s="47">
        <v>1</v>
      </c>
      <c r="K8" s="42"/>
      <c r="L8" s="41">
        <v>0</v>
      </c>
      <c r="M8" s="42"/>
      <c r="N8" s="41">
        <v>0</v>
      </c>
      <c r="O8" s="42"/>
      <c r="P8" s="43">
        <v>0</v>
      </c>
    </row>
    <row r="9" spans="1:16" ht="45.6">
      <c r="A9" s="36">
        <v>8</v>
      </c>
      <c r="B9" s="37" t="s">
        <v>375</v>
      </c>
      <c r="C9" s="37" t="s">
        <v>111</v>
      </c>
      <c r="D9" s="37" t="s">
        <v>403</v>
      </c>
      <c r="E9" s="38" t="s">
        <v>404</v>
      </c>
      <c r="F9" s="39">
        <v>2</v>
      </c>
      <c r="G9" s="38" t="s">
        <v>405</v>
      </c>
      <c r="H9" s="39">
        <v>2</v>
      </c>
      <c r="I9" s="38" t="s">
        <v>406</v>
      </c>
      <c r="J9" s="39">
        <v>2</v>
      </c>
      <c r="K9" s="50" t="s">
        <v>407</v>
      </c>
      <c r="L9" s="41">
        <v>0</v>
      </c>
      <c r="M9" s="38" t="s">
        <v>408</v>
      </c>
      <c r="N9" s="39">
        <v>2</v>
      </c>
      <c r="O9" s="38" t="s">
        <v>337</v>
      </c>
      <c r="P9" s="49">
        <v>2</v>
      </c>
    </row>
    <row r="10" spans="1:16" ht="34.200000000000003">
      <c r="A10" s="44">
        <v>9</v>
      </c>
      <c r="B10" s="45" t="s">
        <v>375</v>
      </c>
      <c r="C10" s="45" t="s">
        <v>111</v>
      </c>
      <c r="D10" s="45" t="s">
        <v>409</v>
      </c>
      <c r="E10" s="46" t="s">
        <v>410</v>
      </c>
      <c r="F10" s="47">
        <v>2</v>
      </c>
      <c r="G10" s="46" t="s">
        <v>411</v>
      </c>
      <c r="H10" s="47">
        <v>1</v>
      </c>
      <c r="I10" s="46" t="s">
        <v>412</v>
      </c>
      <c r="J10" s="47">
        <v>1</v>
      </c>
      <c r="K10" s="46" t="s">
        <v>413</v>
      </c>
      <c r="L10" s="47">
        <v>2</v>
      </c>
      <c r="M10" s="46" t="s">
        <v>414</v>
      </c>
      <c r="N10" s="47">
        <v>2</v>
      </c>
      <c r="O10" s="42"/>
      <c r="P10" s="43">
        <v>0</v>
      </c>
    </row>
    <row r="11" spans="1:16" ht="102.6">
      <c r="A11" s="36">
        <v>10</v>
      </c>
      <c r="B11" s="37" t="s">
        <v>375</v>
      </c>
      <c r="C11" s="37" t="s">
        <v>111</v>
      </c>
      <c r="D11" s="37" t="s">
        <v>415</v>
      </c>
      <c r="E11" s="40" t="s">
        <v>358</v>
      </c>
      <c r="F11" s="41">
        <v>0</v>
      </c>
      <c r="G11" s="38" t="s">
        <v>416</v>
      </c>
      <c r="H11" s="39">
        <v>2</v>
      </c>
      <c r="I11" s="38" t="s">
        <v>417</v>
      </c>
      <c r="J11" s="39">
        <v>1</v>
      </c>
      <c r="K11" s="50" t="s">
        <v>418</v>
      </c>
      <c r="L11" s="41">
        <v>0</v>
      </c>
      <c r="M11" s="38" t="s">
        <v>419</v>
      </c>
      <c r="N11" s="39">
        <v>1</v>
      </c>
      <c r="O11" s="38" t="s">
        <v>349</v>
      </c>
      <c r="P11" s="49">
        <v>1</v>
      </c>
    </row>
    <row r="12" spans="1:16">
      <c r="A12" s="44">
        <v>11</v>
      </c>
      <c r="B12" s="45" t="s">
        <v>375</v>
      </c>
      <c r="C12" s="45" t="s">
        <v>111</v>
      </c>
      <c r="D12" s="45" t="s">
        <v>420</v>
      </c>
      <c r="E12" s="40" t="s">
        <v>421</v>
      </c>
      <c r="F12" s="41">
        <v>0</v>
      </c>
      <c r="G12" s="40" t="s">
        <v>422</v>
      </c>
      <c r="H12" s="41">
        <v>0</v>
      </c>
      <c r="I12" s="40" t="s">
        <v>423</v>
      </c>
      <c r="J12" s="41">
        <v>0</v>
      </c>
      <c r="K12" s="40" t="s">
        <v>423</v>
      </c>
      <c r="L12" s="41">
        <v>0</v>
      </c>
      <c r="M12" s="46" t="s">
        <v>424</v>
      </c>
      <c r="N12" s="47">
        <v>2</v>
      </c>
      <c r="O12" s="42"/>
      <c r="P12" s="43">
        <v>0</v>
      </c>
    </row>
    <row r="13" spans="1:16" ht="22.8">
      <c r="A13" s="36">
        <v>12</v>
      </c>
      <c r="B13" s="37" t="s">
        <v>375</v>
      </c>
      <c r="C13" s="37" t="s">
        <v>123</v>
      </c>
      <c r="D13" s="37" t="s">
        <v>425</v>
      </c>
      <c r="E13" s="38" t="s">
        <v>426</v>
      </c>
      <c r="F13" s="39">
        <v>2</v>
      </c>
      <c r="G13" s="40" t="s">
        <v>360</v>
      </c>
      <c r="H13" s="41">
        <v>0</v>
      </c>
      <c r="I13" s="40" t="s">
        <v>360</v>
      </c>
      <c r="J13" s="41">
        <v>0</v>
      </c>
      <c r="K13" s="40" t="s">
        <v>360</v>
      </c>
      <c r="L13" s="41">
        <v>0</v>
      </c>
      <c r="M13" s="40" t="s">
        <v>360</v>
      </c>
      <c r="N13" s="41">
        <v>0</v>
      </c>
      <c r="O13" s="40" t="s">
        <v>360</v>
      </c>
      <c r="P13" s="43">
        <v>0</v>
      </c>
    </row>
    <row r="14" spans="1:16" ht="22.8">
      <c r="A14" s="44">
        <v>13</v>
      </c>
      <c r="B14" s="45" t="s">
        <v>375</v>
      </c>
      <c r="C14" s="45" t="s">
        <v>111</v>
      </c>
      <c r="D14" s="45" t="s">
        <v>427</v>
      </c>
      <c r="E14" s="40" t="s">
        <v>358</v>
      </c>
      <c r="F14" s="41">
        <v>0</v>
      </c>
      <c r="G14" s="40" t="s">
        <v>358</v>
      </c>
      <c r="H14" s="41">
        <v>0</v>
      </c>
      <c r="I14" s="40" t="s">
        <v>428</v>
      </c>
      <c r="J14" s="41">
        <v>0</v>
      </c>
      <c r="K14" s="50" t="s">
        <v>429</v>
      </c>
      <c r="L14" s="41">
        <v>0</v>
      </c>
      <c r="M14" s="40" t="s">
        <v>358</v>
      </c>
      <c r="N14" s="41">
        <v>0</v>
      </c>
      <c r="O14" s="46" t="s">
        <v>347</v>
      </c>
      <c r="P14" s="48">
        <v>1</v>
      </c>
    </row>
    <row r="15" spans="1:16" ht="45.6">
      <c r="A15" s="36">
        <v>14</v>
      </c>
      <c r="B15" s="37" t="s">
        <v>375</v>
      </c>
      <c r="C15" s="37" t="s">
        <v>114</v>
      </c>
      <c r="D15" s="37" t="s">
        <v>430</v>
      </c>
      <c r="E15" s="38" t="s">
        <v>431</v>
      </c>
      <c r="F15" s="39">
        <v>2</v>
      </c>
      <c r="G15" s="42"/>
      <c r="H15" s="41">
        <v>0</v>
      </c>
      <c r="I15" s="42"/>
      <c r="J15" s="41">
        <v>0</v>
      </c>
      <c r="K15" s="38" t="s">
        <v>432</v>
      </c>
      <c r="L15" s="39">
        <v>2</v>
      </c>
      <c r="M15" s="38" t="s">
        <v>433</v>
      </c>
      <c r="N15" s="39">
        <v>2</v>
      </c>
      <c r="O15" s="42"/>
      <c r="P15" s="43">
        <v>0</v>
      </c>
    </row>
    <row r="16" spans="1:16" ht="22.8">
      <c r="A16" s="44">
        <v>15</v>
      </c>
      <c r="B16" s="45" t="s">
        <v>375</v>
      </c>
      <c r="C16" s="45" t="s">
        <v>111</v>
      </c>
      <c r="D16" s="45" t="s">
        <v>434</v>
      </c>
      <c r="E16" s="40" t="s">
        <v>358</v>
      </c>
      <c r="F16" s="41">
        <v>0</v>
      </c>
      <c r="G16" s="40" t="s">
        <v>358</v>
      </c>
      <c r="H16" s="41">
        <v>0</v>
      </c>
      <c r="I16" s="40" t="s">
        <v>358</v>
      </c>
      <c r="J16" s="41">
        <v>0</v>
      </c>
      <c r="K16" s="40" t="s">
        <v>358</v>
      </c>
      <c r="L16" s="41">
        <v>0</v>
      </c>
      <c r="M16" s="40" t="s">
        <v>358</v>
      </c>
      <c r="N16" s="41">
        <v>0</v>
      </c>
      <c r="O16" s="46" t="s">
        <v>344</v>
      </c>
      <c r="P16" s="48">
        <v>1</v>
      </c>
    </row>
    <row r="17" spans="1:16" ht="79.8">
      <c r="A17" s="36">
        <v>16</v>
      </c>
      <c r="B17" s="37" t="s">
        <v>375</v>
      </c>
      <c r="C17" s="37" t="s">
        <v>111</v>
      </c>
      <c r="D17" s="37" t="s">
        <v>435</v>
      </c>
      <c r="E17" s="38" t="s">
        <v>436</v>
      </c>
      <c r="F17" s="39">
        <v>1</v>
      </c>
      <c r="G17" s="38" t="s">
        <v>437</v>
      </c>
      <c r="H17" s="39">
        <v>2</v>
      </c>
      <c r="I17" s="38" t="s">
        <v>438</v>
      </c>
      <c r="J17" s="39">
        <v>1</v>
      </c>
      <c r="K17" s="40" t="s">
        <v>423</v>
      </c>
      <c r="L17" s="41">
        <v>0</v>
      </c>
      <c r="M17" s="38" t="s">
        <v>439</v>
      </c>
      <c r="N17" s="39">
        <v>2</v>
      </c>
      <c r="O17" s="38" t="s">
        <v>345</v>
      </c>
      <c r="P17" s="49">
        <v>1</v>
      </c>
    </row>
    <row r="18" spans="1:16" ht="34.200000000000003">
      <c r="A18" s="44">
        <v>17</v>
      </c>
      <c r="B18" s="45" t="s">
        <v>375</v>
      </c>
      <c r="C18" s="45" t="s">
        <v>123</v>
      </c>
      <c r="D18" s="45" t="s">
        <v>440</v>
      </c>
      <c r="E18" s="46" t="s">
        <v>441</v>
      </c>
      <c r="F18" s="47">
        <v>2</v>
      </c>
      <c r="G18" s="42"/>
      <c r="H18" s="41">
        <v>0</v>
      </c>
      <c r="I18" s="42"/>
      <c r="J18" s="41">
        <v>0</v>
      </c>
      <c r="K18" s="42"/>
      <c r="L18" s="41">
        <v>0</v>
      </c>
      <c r="M18" s="46" t="s">
        <v>442</v>
      </c>
      <c r="N18" s="47">
        <v>2</v>
      </c>
      <c r="O18" s="42"/>
      <c r="P18" s="43">
        <v>0</v>
      </c>
    </row>
    <row r="19" spans="1:16" ht="34.200000000000003">
      <c r="A19" s="36">
        <v>18</v>
      </c>
      <c r="B19" s="37" t="s">
        <v>375</v>
      </c>
      <c r="C19" s="37" t="s">
        <v>114</v>
      </c>
      <c r="D19" s="37" t="s">
        <v>443</v>
      </c>
      <c r="E19" s="38" t="s">
        <v>444</v>
      </c>
      <c r="F19" s="39">
        <v>1</v>
      </c>
      <c r="G19" s="38" t="s">
        <v>445</v>
      </c>
      <c r="H19" s="39">
        <v>2</v>
      </c>
      <c r="I19" s="38" t="s">
        <v>446</v>
      </c>
      <c r="J19" s="39">
        <v>2</v>
      </c>
      <c r="K19" s="38" t="s">
        <v>447</v>
      </c>
      <c r="L19" s="39">
        <v>2</v>
      </c>
      <c r="M19" s="38" t="s">
        <v>448</v>
      </c>
      <c r="N19" s="39">
        <v>1</v>
      </c>
      <c r="O19" s="38" t="s">
        <v>351</v>
      </c>
      <c r="P19" s="49">
        <v>1</v>
      </c>
    </row>
    <row r="20" spans="1:16" ht="34.200000000000003">
      <c r="A20" s="44">
        <v>19</v>
      </c>
      <c r="B20" s="45" t="s">
        <v>375</v>
      </c>
      <c r="C20" s="45" t="s">
        <v>114</v>
      </c>
      <c r="D20" s="45" t="s">
        <v>449</v>
      </c>
      <c r="E20" s="46" t="s">
        <v>450</v>
      </c>
      <c r="F20" s="47">
        <v>2</v>
      </c>
      <c r="G20" s="46" t="s">
        <v>451</v>
      </c>
      <c r="H20" s="47">
        <v>2</v>
      </c>
      <c r="I20" s="46" t="s">
        <v>452</v>
      </c>
      <c r="J20" s="47">
        <v>1</v>
      </c>
      <c r="K20" s="46" t="s">
        <v>453</v>
      </c>
      <c r="L20" s="47">
        <v>2</v>
      </c>
      <c r="M20" s="46" t="s">
        <v>454</v>
      </c>
      <c r="N20" s="47">
        <v>1</v>
      </c>
      <c r="O20" s="46" t="s">
        <v>338</v>
      </c>
      <c r="P20" s="48">
        <v>2</v>
      </c>
    </row>
    <row r="21" spans="1:16">
      <c r="A21" s="36">
        <v>20</v>
      </c>
      <c r="B21" s="37" t="s">
        <v>375</v>
      </c>
      <c r="C21" s="37" t="s">
        <v>114</v>
      </c>
      <c r="D21" s="37" t="s">
        <v>455</v>
      </c>
      <c r="E21" s="38" t="s">
        <v>456</v>
      </c>
      <c r="F21" s="39">
        <v>1</v>
      </c>
      <c r="G21" s="38" t="s">
        <v>457</v>
      </c>
      <c r="H21" s="39">
        <v>1</v>
      </c>
      <c r="I21" s="42"/>
      <c r="J21" s="41">
        <v>0</v>
      </c>
      <c r="K21" s="42"/>
      <c r="L21" s="41">
        <v>0</v>
      </c>
      <c r="M21" s="42"/>
      <c r="N21" s="41">
        <v>0</v>
      </c>
      <c r="O21" s="42"/>
      <c r="P21" s="43">
        <v>0</v>
      </c>
    </row>
    <row r="22" spans="1:16" ht="34.200000000000003">
      <c r="A22" s="44">
        <v>21</v>
      </c>
      <c r="B22" s="45" t="s">
        <v>375</v>
      </c>
      <c r="C22" s="45" t="s">
        <v>114</v>
      </c>
      <c r="D22" s="45" t="s">
        <v>458</v>
      </c>
      <c r="E22" s="46" t="s">
        <v>459</v>
      </c>
      <c r="F22" s="47">
        <v>2</v>
      </c>
      <c r="G22" s="46" t="s">
        <v>460</v>
      </c>
      <c r="H22" s="47">
        <v>2</v>
      </c>
      <c r="I22" s="46" t="s">
        <v>461</v>
      </c>
      <c r="J22" s="47">
        <v>2</v>
      </c>
      <c r="K22" s="46" t="s">
        <v>462</v>
      </c>
      <c r="L22" s="47">
        <v>2</v>
      </c>
      <c r="M22" s="46" t="s">
        <v>463</v>
      </c>
      <c r="N22" s="47">
        <v>1</v>
      </c>
      <c r="O22" s="46" t="s">
        <v>352</v>
      </c>
      <c r="P22" s="48">
        <v>1</v>
      </c>
    </row>
    <row r="23" spans="1:16" ht="91.2">
      <c r="A23" s="36">
        <v>22</v>
      </c>
      <c r="B23" s="37" t="s">
        <v>375</v>
      </c>
      <c r="C23" s="37" t="s">
        <v>120</v>
      </c>
      <c r="D23" s="37" t="s">
        <v>464</v>
      </c>
      <c r="E23" s="38" t="s">
        <v>465</v>
      </c>
      <c r="F23" s="39">
        <v>2</v>
      </c>
      <c r="G23" s="38" t="s">
        <v>466</v>
      </c>
      <c r="H23" s="39">
        <v>2</v>
      </c>
      <c r="I23" s="38" t="s">
        <v>467</v>
      </c>
      <c r="J23" s="39">
        <v>2</v>
      </c>
      <c r="K23" s="38" t="s">
        <v>468</v>
      </c>
      <c r="L23" s="39">
        <v>2</v>
      </c>
      <c r="M23" s="38" t="s">
        <v>469</v>
      </c>
      <c r="N23" s="39">
        <v>2</v>
      </c>
      <c r="O23" s="42"/>
      <c r="P23" s="43">
        <v>0</v>
      </c>
    </row>
    <row r="24" spans="1:16" ht="114">
      <c r="A24" s="44">
        <v>23</v>
      </c>
      <c r="B24" s="45" t="s">
        <v>470</v>
      </c>
      <c r="C24" s="45" t="s">
        <v>117</v>
      </c>
      <c r="D24" s="45" t="s">
        <v>471</v>
      </c>
      <c r="E24" s="46" t="s">
        <v>472</v>
      </c>
      <c r="F24" s="47">
        <v>2</v>
      </c>
      <c r="G24" s="46" t="s">
        <v>473</v>
      </c>
      <c r="H24" s="47">
        <v>2</v>
      </c>
      <c r="I24" s="46" t="s">
        <v>474</v>
      </c>
      <c r="J24" s="47">
        <v>2</v>
      </c>
      <c r="K24" s="46" t="s">
        <v>475</v>
      </c>
      <c r="L24" s="47">
        <v>2</v>
      </c>
      <c r="M24" s="46" t="s">
        <v>476</v>
      </c>
      <c r="N24" s="47">
        <v>2</v>
      </c>
      <c r="O24" s="46" t="s">
        <v>477</v>
      </c>
      <c r="P24" s="48">
        <v>2</v>
      </c>
    </row>
    <row r="25" spans="1:16" ht="57">
      <c r="A25" s="36">
        <v>24</v>
      </c>
      <c r="B25" s="37" t="s">
        <v>470</v>
      </c>
      <c r="C25" s="37" t="s">
        <v>111</v>
      </c>
      <c r="D25" s="37" t="s">
        <v>478</v>
      </c>
      <c r="E25" s="38" t="s">
        <v>479</v>
      </c>
      <c r="F25" s="39">
        <v>2</v>
      </c>
      <c r="G25" s="38" t="s">
        <v>480</v>
      </c>
      <c r="H25" s="39">
        <v>2</v>
      </c>
      <c r="I25" s="38" t="s">
        <v>481</v>
      </c>
      <c r="J25" s="39">
        <v>1</v>
      </c>
      <c r="K25" s="42"/>
      <c r="L25" s="41">
        <v>0</v>
      </c>
      <c r="M25" s="38" t="s">
        <v>482</v>
      </c>
      <c r="N25" s="39">
        <v>2</v>
      </c>
      <c r="O25" s="42"/>
      <c r="P25" s="43">
        <v>0</v>
      </c>
    </row>
    <row r="26" spans="1:16" ht="102.6">
      <c r="A26" s="44">
        <v>25</v>
      </c>
      <c r="B26" s="45" t="s">
        <v>470</v>
      </c>
      <c r="C26" s="45" t="s">
        <v>117</v>
      </c>
      <c r="D26" s="45" t="s">
        <v>483</v>
      </c>
      <c r="E26" s="46" t="s">
        <v>484</v>
      </c>
      <c r="F26" s="47">
        <v>2</v>
      </c>
      <c r="G26" s="46" t="s">
        <v>485</v>
      </c>
      <c r="H26" s="47">
        <v>2</v>
      </c>
      <c r="I26" s="46" t="s">
        <v>486</v>
      </c>
      <c r="J26" s="47">
        <v>2</v>
      </c>
      <c r="K26" s="46" t="s">
        <v>487</v>
      </c>
      <c r="L26" s="47">
        <v>2</v>
      </c>
      <c r="M26" s="46" t="s">
        <v>488</v>
      </c>
      <c r="N26" s="47">
        <v>2</v>
      </c>
      <c r="O26" s="46" t="s">
        <v>340</v>
      </c>
      <c r="P26" s="48">
        <v>2</v>
      </c>
    </row>
    <row r="27" spans="1:16" ht="45.6">
      <c r="A27" s="36">
        <v>26</v>
      </c>
      <c r="B27" s="37" t="s">
        <v>470</v>
      </c>
      <c r="C27" s="37" t="s">
        <v>117</v>
      </c>
      <c r="D27" s="37" t="s">
        <v>489</v>
      </c>
      <c r="E27" s="38" t="s">
        <v>490</v>
      </c>
      <c r="F27" s="39">
        <v>2</v>
      </c>
      <c r="G27" s="38" t="s">
        <v>491</v>
      </c>
      <c r="H27" s="39">
        <v>2</v>
      </c>
      <c r="I27" s="38" t="s">
        <v>492</v>
      </c>
      <c r="J27" s="39">
        <v>2</v>
      </c>
      <c r="K27" s="50" t="s">
        <v>493</v>
      </c>
      <c r="L27" s="41">
        <v>0</v>
      </c>
      <c r="M27" s="38" t="s">
        <v>494</v>
      </c>
      <c r="N27" s="39">
        <v>2</v>
      </c>
      <c r="O27" s="38" t="s">
        <v>354</v>
      </c>
      <c r="P27" s="49">
        <v>1</v>
      </c>
    </row>
    <row r="28" spans="1:16" ht="148.19999999999999">
      <c r="A28" s="44">
        <v>27</v>
      </c>
      <c r="B28" s="45" t="s">
        <v>470</v>
      </c>
      <c r="C28" s="45" t="s">
        <v>117</v>
      </c>
      <c r="D28" s="45" t="s">
        <v>495</v>
      </c>
      <c r="E28" s="46" t="s">
        <v>496</v>
      </c>
      <c r="F28" s="47">
        <v>2</v>
      </c>
      <c r="G28" s="46" t="s">
        <v>497</v>
      </c>
      <c r="H28" s="47">
        <v>2</v>
      </c>
      <c r="I28" s="46" t="s">
        <v>498</v>
      </c>
      <c r="J28" s="47">
        <v>2</v>
      </c>
      <c r="K28" s="46" t="s">
        <v>499</v>
      </c>
      <c r="L28" s="47">
        <v>2</v>
      </c>
      <c r="M28" s="46" t="s">
        <v>500</v>
      </c>
      <c r="N28" s="47">
        <v>2</v>
      </c>
      <c r="O28" s="42"/>
      <c r="P28" s="43">
        <v>0</v>
      </c>
    </row>
    <row r="29" spans="1:16" ht="45.6">
      <c r="A29" s="36">
        <v>28</v>
      </c>
      <c r="B29" s="37" t="s">
        <v>470</v>
      </c>
      <c r="C29" s="37" t="s">
        <v>111</v>
      </c>
      <c r="D29" s="37" t="s">
        <v>501</v>
      </c>
      <c r="E29" s="38" t="s">
        <v>502</v>
      </c>
      <c r="F29" s="39">
        <v>2</v>
      </c>
      <c r="G29" s="38" t="s">
        <v>503</v>
      </c>
      <c r="H29" s="39">
        <v>2</v>
      </c>
      <c r="I29" s="40" t="s">
        <v>358</v>
      </c>
      <c r="J29" s="41">
        <v>0</v>
      </c>
      <c r="K29" s="40" t="s">
        <v>358</v>
      </c>
      <c r="L29" s="41">
        <v>0</v>
      </c>
      <c r="M29" s="38" t="s">
        <v>504</v>
      </c>
      <c r="N29" s="39">
        <v>2</v>
      </c>
      <c r="O29" s="38" t="s">
        <v>505</v>
      </c>
      <c r="P29" s="49">
        <v>1</v>
      </c>
    </row>
    <row r="30" spans="1:16" ht="22.8">
      <c r="A30" s="44">
        <v>29</v>
      </c>
      <c r="B30" s="45" t="s">
        <v>470</v>
      </c>
      <c r="C30" s="45" t="s">
        <v>117</v>
      </c>
      <c r="D30" s="45" t="s">
        <v>506</v>
      </c>
      <c r="E30" s="40" t="s">
        <v>507</v>
      </c>
      <c r="F30" s="41">
        <v>0</v>
      </c>
      <c r="G30" s="46" t="s">
        <v>508</v>
      </c>
      <c r="H30" s="47">
        <v>2</v>
      </c>
      <c r="I30" s="46" t="s">
        <v>509</v>
      </c>
      <c r="J30" s="47">
        <v>1</v>
      </c>
      <c r="K30" s="46" t="s">
        <v>510</v>
      </c>
      <c r="L30" s="47">
        <v>2</v>
      </c>
      <c r="M30" s="46" t="s">
        <v>511</v>
      </c>
      <c r="N30" s="47">
        <v>2</v>
      </c>
      <c r="O30" s="46" t="s">
        <v>339</v>
      </c>
      <c r="P30" s="48">
        <v>2</v>
      </c>
    </row>
    <row r="31" spans="1:16" ht="68.400000000000006">
      <c r="A31" s="36">
        <v>30</v>
      </c>
      <c r="B31" s="37" t="s">
        <v>470</v>
      </c>
      <c r="C31" s="37" t="s">
        <v>117</v>
      </c>
      <c r="D31" s="37" t="s">
        <v>512</v>
      </c>
      <c r="E31" s="38" t="s">
        <v>513</v>
      </c>
      <c r="F31" s="39">
        <v>2</v>
      </c>
      <c r="G31" s="38" t="s">
        <v>514</v>
      </c>
      <c r="H31" s="39">
        <v>2</v>
      </c>
      <c r="I31" s="38" t="s">
        <v>515</v>
      </c>
      <c r="J31" s="39">
        <v>1</v>
      </c>
      <c r="K31" s="51" t="s">
        <v>516</v>
      </c>
      <c r="L31" s="41">
        <v>0</v>
      </c>
      <c r="M31" s="38" t="s">
        <v>517</v>
      </c>
      <c r="N31" s="39">
        <v>1</v>
      </c>
      <c r="O31" s="38" t="s">
        <v>353</v>
      </c>
      <c r="P31" s="49">
        <v>1</v>
      </c>
    </row>
    <row r="32" spans="1:16">
      <c r="A32" s="44">
        <v>31</v>
      </c>
      <c r="B32" s="45" t="s">
        <v>470</v>
      </c>
      <c r="C32" s="45" t="s">
        <v>518</v>
      </c>
      <c r="D32" s="45" t="s">
        <v>519</v>
      </c>
      <c r="E32" s="46" t="s">
        <v>520</v>
      </c>
      <c r="F32" s="47">
        <v>1</v>
      </c>
      <c r="G32" s="46" t="s">
        <v>388</v>
      </c>
      <c r="H32" s="47">
        <v>1</v>
      </c>
      <c r="I32" s="46" t="s">
        <v>521</v>
      </c>
      <c r="J32" s="47">
        <v>1</v>
      </c>
      <c r="K32" s="46" t="s">
        <v>522</v>
      </c>
      <c r="L32" s="47">
        <v>2</v>
      </c>
      <c r="M32" s="46" t="s">
        <v>523</v>
      </c>
      <c r="N32" s="47">
        <v>2</v>
      </c>
      <c r="O32" s="40" t="s">
        <v>356</v>
      </c>
      <c r="P32" s="43">
        <v>0</v>
      </c>
    </row>
    <row r="33" spans="1:16" ht="45.6">
      <c r="A33" s="36">
        <v>32</v>
      </c>
      <c r="B33" s="37" t="s">
        <v>470</v>
      </c>
      <c r="C33" s="37" t="s">
        <v>518</v>
      </c>
      <c r="D33" s="37" t="s">
        <v>524</v>
      </c>
      <c r="E33" s="38" t="s">
        <v>525</v>
      </c>
      <c r="F33" s="39">
        <v>1</v>
      </c>
      <c r="G33" s="38" t="s">
        <v>526</v>
      </c>
      <c r="H33" s="39">
        <v>2</v>
      </c>
      <c r="I33" s="38" t="s">
        <v>527</v>
      </c>
      <c r="J33" s="39">
        <v>2</v>
      </c>
      <c r="K33" s="38" t="s">
        <v>528</v>
      </c>
      <c r="L33" s="39">
        <v>2</v>
      </c>
      <c r="M33" s="38" t="s">
        <v>529</v>
      </c>
      <c r="N33" s="39">
        <v>1</v>
      </c>
      <c r="O33" s="42"/>
      <c r="P33" s="43">
        <v>0</v>
      </c>
    </row>
    <row r="34" spans="1:16" ht="22.8">
      <c r="A34" s="44">
        <v>33</v>
      </c>
      <c r="B34" s="45" t="s">
        <v>470</v>
      </c>
      <c r="C34" s="45" t="s">
        <v>123</v>
      </c>
      <c r="D34" s="45" t="s">
        <v>530</v>
      </c>
      <c r="E34" s="46" t="s">
        <v>531</v>
      </c>
      <c r="F34" s="47">
        <v>2</v>
      </c>
      <c r="G34" s="46" t="s">
        <v>532</v>
      </c>
      <c r="H34" s="47">
        <v>2</v>
      </c>
      <c r="I34" s="42"/>
      <c r="J34" s="41">
        <v>0</v>
      </c>
      <c r="K34" s="50" t="s">
        <v>533</v>
      </c>
      <c r="L34" s="41">
        <v>0</v>
      </c>
      <c r="M34" s="46" t="s">
        <v>534</v>
      </c>
      <c r="N34" s="47">
        <v>2</v>
      </c>
      <c r="O34" s="42"/>
      <c r="P34" s="43">
        <v>0</v>
      </c>
    </row>
    <row r="35" spans="1:16" ht="57">
      <c r="A35" s="36">
        <v>34</v>
      </c>
      <c r="B35" s="37" t="s">
        <v>470</v>
      </c>
      <c r="C35" s="37" t="s">
        <v>108</v>
      </c>
      <c r="D35" s="37" t="s">
        <v>535</v>
      </c>
      <c r="E35" s="38" t="s">
        <v>536</v>
      </c>
      <c r="F35" s="39">
        <v>2</v>
      </c>
      <c r="G35" s="38" t="s">
        <v>537</v>
      </c>
      <c r="H35" s="39">
        <v>2</v>
      </c>
      <c r="I35" s="38" t="s">
        <v>538</v>
      </c>
      <c r="J35" s="39">
        <v>2</v>
      </c>
      <c r="K35" s="38" t="s">
        <v>539</v>
      </c>
      <c r="L35" s="39">
        <v>2</v>
      </c>
      <c r="M35" s="38" t="s">
        <v>540</v>
      </c>
      <c r="N35" s="39">
        <v>2</v>
      </c>
      <c r="O35" s="40" t="s">
        <v>355</v>
      </c>
      <c r="P35" s="43">
        <v>0</v>
      </c>
    </row>
    <row r="36" spans="1:16" ht="57">
      <c r="A36" s="44">
        <v>35</v>
      </c>
      <c r="B36" s="45" t="s">
        <v>470</v>
      </c>
      <c r="C36" s="45" t="s">
        <v>108</v>
      </c>
      <c r="D36" s="45" t="s">
        <v>541</v>
      </c>
      <c r="E36" s="46" t="s">
        <v>542</v>
      </c>
      <c r="F36" s="47">
        <v>2</v>
      </c>
      <c r="G36" s="46" t="s">
        <v>543</v>
      </c>
      <c r="H36" s="47">
        <v>2</v>
      </c>
      <c r="I36" s="46" t="s">
        <v>544</v>
      </c>
      <c r="J36" s="47">
        <v>2</v>
      </c>
      <c r="K36" s="46" t="s">
        <v>545</v>
      </c>
      <c r="L36" s="47">
        <v>2</v>
      </c>
      <c r="M36" s="46" t="s">
        <v>546</v>
      </c>
      <c r="N36" s="47">
        <v>1</v>
      </c>
      <c r="O36" s="46" t="s">
        <v>335</v>
      </c>
      <c r="P36" s="48">
        <v>2</v>
      </c>
    </row>
    <row r="37" spans="1:16" ht="102.6">
      <c r="A37" s="36">
        <v>36</v>
      </c>
      <c r="B37" s="37" t="s">
        <v>470</v>
      </c>
      <c r="C37" s="37" t="s">
        <v>108</v>
      </c>
      <c r="D37" s="37" t="s">
        <v>547</v>
      </c>
      <c r="E37" s="38" t="s">
        <v>548</v>
      </c>
      <c r="F37" s="39">
        <v>2</v>
      </c>
      <c r="G37" s="40" t="s">
        <v>360</v>
      </c>
      <c r="H37" s="41">
        <v>0</v>
      </c>
      <c r="I37" s="38" t="s">
        <v>549</v>
      </c>
      <c r="J37" s="39">
        <v>2</v>
      </c>
      <c r="K37" s="38" t="s">
        <v>550</v>
      </c>
      <c r="L37" s="39">
        <v>1</v>
      </c>
      <c r="M37" s="38" t="s">
        <v>551</v>
      </c>
      <c r="N37" s="39">
        <v>2</v>
      </c>
      <c r="O37" s="38" t="s">
        <v>336</v>
      </c>
      <c r="P37" s="49">
        <v>2</v>
      </c>
    </row>
    <row r="38" spans="1:16" ht="22.8">
      <c r="A38" s="44">
        <v>37</v>
      </c>
      <c r="B38" s="45" t="s">
        <v>470</v>
      </c>
      <c r="C38" s="45" t="s">
        <v>117</v>
      </c>
      <c r="D38" s="45" t="s">
        <v>552</v>
      </c>
      <c r="E38" s="40" t="s">
        <v>358</v>
      </c>
      <c r="F38" s="41">
        <v>0</v>
      </c>
      <c r="G38" s="40" t="s">
        <v>358</v>
      </c>
      <c r="H38" s="41">
        <v>0</v>
      </c>
      <c r="I38" s="46" t="s">
        <v>553</v>
      </c>
      <c r="J38" s="47">
        <v>1</v>
      </c>
      <c r="K38" s="40" t="s">
        <v>358</v>
      </c>
      <c r="L38" s="41">
        <v>0</v>
      </c>
      <c r="M38" s="46" t="s">
        <v>554</v>
      </c>
      <c r="N38" s="47">
        <v>2</v>
      </c>
      <c r="O38" s="40" t="s">
        <v>358</v>
      </c>
      <c r="P38" s="43">
        <v>0</v>
      </c>
    </row>
    <row r="39" spans="1:16" ht="22.8">
      <c r="A39" s="36">
        <v>38</v>
      </c>
      <c r="B39" s="37" t="s">
        <v>470</v>
      </c>
      <c r="C39" s="37" t="s">
        <v>111</v>
      </c>
      <c r="D39" s="37" t="s">
        <v>555</v>
      </c>
      <c r="E39" s="38" t="s">
        <v>556</v>
      </c>
      <c r="F39" s="39">
        <v>2</v>
      </c>
      <c r="G39" s="38" t="s">
        <v>557</v>
      </c>
      <c r="H39" s="39">
        <v>1</v>
      </c>
      <c r="I39" s="38" t="s">
        <v>558</v>
      </c>
      <c r="J39" s="39">
        <v>2</v>
      </c>
      <c r="K39" s="40" t="s">
        <v>423</v>
      </c>
      <c r="L39" s="41">
        <v>0</v>
      </c>
      <c r="M39" s="38" t="s">
        <v>559</v>
      </c>
      <c r="N39" s="39">
        <v>2</v>
      </c>
      <c r="O39" s="40" t="s">
        <v>357</v>
      </c>
      <c r="P39" s="43">
        <v>0</v>
      </c>
    </row>
    <row r="40" spans="1:16" ht="45.6">
      <c r="A40" s="44">
        <v>39</v>
      </c>
      <c r="B40" s="45" t="s">
        <v>470</v>
      </c>
      <c r="C40" s="45" t="s">
        <v>111</v>
      </c>
      <c r="D40" s="45" t="s">
        <v>560</v>
      </c>
      <c r="E40" s="46" t="s">
        <v>561</v>
      </c>
      <c r="F40" s="47">
        <v>2</v>
      </c>
      <c r="G40" s="46" t="s">
        <v>562</v>
      </c>
      <c r="H40" s="47">
        <v>1</v>
      </c>
      <c r="I40" s="46" t="s">
        <v>563</v>
      </c>
      <c r="J40" s="47">
        <v>1</v>
      </c>
      <c r="K40" s="50" t="s">
        <v>564</v>
      </c>
      <c r="L40" s="41">
        <v>0</v>
      </c>
      <c r="M40" s="46" t="s">
        <v>565</v>
      </c>
      <c r="N40" s="47">
        <v>1</v>
      </c>
      <c r="O40" s="46" t="s">
        <v>346</v>
      </c>
      <c r="P40" s="48">
        <v>1</v>
      </c>
    </row>
    <row r="41" spans="1:16">
      <c r="A41" s="36">
        <v>40</v>
      </c>
      <c r="B41" s="37" t="s">
        <v>470</v>
      </c>
      <c r="C41" s="37" t="s">
        <v>117</v>
      </c>
      <c r="D41" s="37" t="s">
        <v>566</v>
      </c>
      <c r="E41" s="38" t="s">
        <v>567</v>
      </c>
      <c r="F41" s="39">
        <v>1</v>
      </c>
      <c r="G41" s="38" t="s">
        <v>445</v>
      </c>
      <c r="H41" s="39">
        <v>2</v>
      </c>
      <c r="I41" s="42"/>
      <c r="J41" s="41">
        <v>0</v>
      </c>
      <c r="K41" s="38" t="s">
        <v>390</v>
      </c>
      <c r="L41" s="39">
        <v>2</v>
      </c>
      <c r="M41" s="38" t="s">
        <v>228</v>
      </c>
      <c r="N41" s="39">
        <v>2</v>
      </c>
      <c r="O41" s="42"/>
      <c r="P41" s="43">
        <v>0</v>
      </c>
    </row>
    <row r="42" spans="1:16" ht="262.2">
      <c r="A42" s="44">
        <v>41</v>
      </c>
      <c r="B42" s="45" t="s">
        <v>470</v>
      </c>
      <c r="C42" s="45" t="s">
        <v>123</v>
      </c>
      <c r="D42" s="45" t="s">
        <v>568</v>
      </c>
      <c r="E42" s="46" t="s">
        <v>569</v>
      </c>
      <c r="F42" s="47">
        <v>2</v>
      </c>
      <c r="G42" s="46" t="s">
        <v>570</v>
      </c>
      <c r="H42" s="47">
        <v>2</v>
      </c>
      <c r="I42" s="52" t="s">
        <v>571</v>
      </c>
      <c r="J42" s="47">
        <v>2</v>
      </c>
      <c r="K42" s="53"/>
      <c r="L42" s="41">
        <v>0</v>
      </c>
      <c r="M42" s="46" t="s">
        <v>572</v>
      </c>
      <c r="N42" s="47">
        <v>2</v>
      </c>
      <c r="O42" s="52" t="s">
        <v>342</v>
      </c>
      <c r="P42" s="48">
        <v>2</v>
      </c>
    </row>
    <row r="43" spans="1:16" ht="79.8">
      <c r="A43" s="36">
        <v>42</v>
      </c>
      <c r="B43" s="37" t="s">
        <v>573</v>
      </c>
      <c r="C43" s="37" t="s">
        <v>574</v>
      </c>
      <c r="D43" s="37" t="s">
        <v>575</v>
      </c>
      <c r="E43" s="53"/>
      <c r="F43" s="41">
        <v>0</v>
      </c>
      <c r="G43" s="53"/>
      <c r="H43" s="41">
        <v>0</v>
      </c>
      <c r="I43" s="42"/>
      <c r="J43" s="41">
        <v>0</v>
      </c>
      <c r="K43" s="53"/>
      <c r="L43" s="41">
        <v>0</v>
      </c>
      <c r="M43" s="53"/>
      <c r="N43" s="41">
        <v>0</v>
      </c>
      <c r="O43" s="54" t="s">
        <v>334</v>
      </c>
      <c r="P43" s="49">
        <v>2</v>
      </c>
    </row>
    <row r="44" spans="1:16" ht="262.2">
      <c r="A44" s="44">
        <v>43</v>
      </c>
      <c r="B44" s="45" t="s">
        <v>573</v>
      </c>
      <c r="C44" s="45" t="s">
        <v>574</v>
      </c>
      <c r="D44" s="45" t="s">
        <v>576</v>
      </c>
      <c r="E44" s="53"/>
      <c r="F44" s="41">
        <v>0</v>
      </c>
      <c r="G44" s="53"/>
      <c r="H44" s="41">
        <v>0</v>
      </c>
      <c r="I44" s="42"/>
      <c r="J44" s="41">
        <v>0</v>
      </c>
      <c r="K44" s="46" t="s">
        <v>577</v>
      </c>
      <c r="L44" s="47">
        <v>2</v>
      </c>
      <c r="M44" s="46" t="s">
        <v>578</v>
      </c>
      <c r="N44" s="47">
        <v>2</v>
      </c>
      <c r="O44" s="52" t="s">
        <v>333</v>
      </c>
      <c r="P44" s="48">
        <v>2</v>
      </c>
    </row>
    <row r="45" spans="1:16" ht="57">
      <c r="A45" s="36">
        <v>44</v>
      </c>
      <c r="B45" s="37" t="s">
        <v>573</v>
      </c>
      <c r="C45" s="37" t="s">
        <v>574</v>
      </c>
      <c r="D45" s="37" t="s">
        <v>579</v>
      </c>
      <c r="E45" s="53"/>
      <c r="F45" s="41">
        <v>0</v>
      </c>
      <c r="G45" s="53"/>
      <c r="H45" s="41">
        <v>0</v>
      </c>
      <c r="I45" s="42"/>
      <c r="J45" s="41">
        <v>0</v>
      </c>
      <c r="K45" s="53"/>
      <c r="L45" s="41">
        <v>0</v>
      </c>
      <c r="M45" s="38" t="s">
        <v>580</v>
      </c>
      <c r="N45" s="39">
        <v>2</v>
      </c>
      <c r="O45" s="42"/>
      <c r="P45" s="43">
        <v>0</v>
      </c>
    </row>
    <row r="46" spans="1:16" ht="114">
      <c r="A46" s="55">
        <v>45</v>
      </c>
      <c r="B46" s="56" t="s">
        <v>573</v>
      </c>
      <c r="C46" s="56" t="s">
        <v>574</v>
      </c>
      <c r="D46" s="56" t="s">
        <v>581</v>
      </c>
      <c r="E46" s="57"/>
      <c r="F46" s="58">
        <v>0</v>
      </c>
      <c r="G46" s="57"/>
      <c r="H46" s="58">
        <v>0</v>
      </c>
      <c r="I46" s="59" t="s">
        <v>582</v>
      </c>
      <c r="J46" s="60">
        <v>2</v>
      </c>
      <c r="K46" s="61"/>
      <c r="L46" s="58">
        <v>0</v>
      </c>
      <c r="M46" s="57"/>
      <c r="N46" s="58">
        <v>0</v>
      </c>
      <c r="O46" s="57"/>
      <c r="P46" s="62">
        <v>0</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4436-8741-4A23-ADCE-5DB3AFF68CBD}">
  <sheetPr>
    <tabColor theme="9" tint="0.59999389629810485"/>
  </sheetPr>
  <dimension ref="A1:E35"/>
  <sheetViews>
    <sheetView workbookViewId="0">
      <pane ySplit="2" topLeftCell="A3" activePane="bottomLeft" state="frozen"/>
      <selection pane="bottomLeft" activeCell="F1" sqref="F1"/>
    </sheetView>
  </sheetViews>
  <sheetFormatPr defaultRowHeight="12.6"/>
  <cols>
    <col min="1" max="1" width="9.36328125" style="5" bestFit="1" customWidth="1"/>
    <col min="2" max="2" width="81.26953125" style="4" customWidth="1"/>
    <col min="3" max="4" width="7.1796875" style="5" customWidth="1"/>
    <col min="5" max="5" width="9.6328125" style="5" customWidth="1"/>
    <col min="6" max="16384" width="8.7265625" style="6"/>
  </cols>
  <sheetData>
    <row r="1" spans="1:5">
      <c r="A1" s="3">
        <v>45838</v>
      </c>
    </row>
    <row r="2" spans="1:5" s="9" customFormat="1">
      <c r="A2" s="7" t="s">
        <v>14</v>
      </c>
      <c r="B2" s="8" t="s">
        <v>15</v>
      </c>
      <c r="C2" s="7" t="s">
        <v>16</v>
      </c>
      <c r="D2" s="7" t="s">
        <v>17</v>
      </c>
      <c r="E2" s="7" t="s">
        <v>18</v>
      </c>
    </row>
    <row r="3" spans="1:5">
      <c r="A3" s="5" t="s">
        <v>19</v>
      </c>
      <c r="B3" s="4" t="s">
        <v>20</v>
      </c>
      <c r="C3" s="5" t="s">
        <v>21</v>
      </c>
      <c r="D3" s="5" t="s">
        <v>22</v>
      </c>
      <c r="E3" s="5" t="s">
        <v>23</v>
      </c>
    </row>
    <row r="4" spans="1:5">
      <c r="A4" s="5" t="s">
        <v>19</v>
      </c>
      <c r="B4" s="4" t="s">
        <v>24</v>
      </c>
      <c r="C4" s="5" t="s">
        <v>21</v>
      </c>
      <c r="D4" s="5" t="s">
        <v>22</v>
      </c>
      <c r="E4" s="5" t="s">
        <v>23</v>
      </c>
    </row>
    <row r="5" spans="1:5">
      <c r="A5" s="5" t="s">
        <v>19</v>
      </c>
      <c r="B5" s="4" t="s">
        <v>25</v>
      </c>
      <c r="C5" s="5" t="s">
        <v>21</v>
      </c>
      <c r="D5" s="5" t="s">
        <v>22</v>
      </c>
      <c r="E5" s="5" t="s">
        <v>26</v>
      </c>
    </row>
    <row r="6" spans="1:5">
      <c r="A6" s="5" t="s">
        <v>19</v>
      </c>
      <c r="B6" s="4" t="s">
        <v>27</v>
      </c>
      <c r="C6" s="5" t="s">
        <v>21</v>
      </c>
      <c r="D6" s="5" t="s">
        <v>22</v>
      </c>
      <c r="E6" s="5" t="s">
        <v>26</v>
      </c>
    </row>
    <row r="7" spans="1:5" ht="37.799999999999997">
      <c r="A7" s="5" t="s">
        <v>19</v>
      </c>
      <c r="B7" s="4" t="s">
        <v>28</v>
      </c>
      <c r="C7" s="5" t="s">
        <v>21</v>
      </c>
      <c r="D7" s="5" t="s">
        <v>22</v>
      </c>
      <c r="E7" s="5" t="s">
        <v>29</v>
      </c>
    </row>
    <row r="8" spans="1:5">
      <c r="A8" s="5" t="s">
        <v>30</v>
      </c>
      <c r="B8" s="4" t="s">
        <v>31</v>
      </c>
      <c r="C8" s="5" t="s">
        <v>21</v>
      </c>
      <c r="D8" s="5" t="s">
        <v>22</v>
      </c>
      <c r="E8" s="5" t="s">
        <v>23</v>
      </c>
    </row>
    <row r="9" spans="1:5">
      <c r="A9" s="5" t="s">
        <v>30</v>
      </c>
      <c r="B9" s="4" t="s">
        <v>32</v>
      </c>
      <c r="C9" s="5" t="s">
        <v>21</v>
      </c>
      <c r="D9" s="5" t="s">
        <v>22</v>
      </c>
      <c r="E9" s="5" t="s">
        <v>26</v>
      </c>
    </row>
    <row r="10" spans="1:5">
      <c r="A10" s="5" t="s">
        <v>30</v>
      </c>
      <c r="B10" s="4" t="s">
        <v>33</v>
      </c>
      <c r="C10" s="5" t="s">
        <v>21</v>
      </c>
      <c r="D10" s="5" t="s">
        <v>22</v>
      </c>
      <c r="E10" s="5" t="s">
        <v>29</v>
      </c>
    </row>
    <row r="11" spans="1:5">
      <c r="A11" s="5" t="s">
        <v>34</v>
      </c>
      <c r="B11" s="4" t="s">
        <v>35</v>
      </c>
      <c r="C11" s="5" t="s">
        <v>21</v>
      </c>
      <c r="D11" s="5" t="s">
        <v>22</v>
      </c>
      <c r="E11" s="5" t="s">
        <v>23</v>
      </c>
    </row>
    <row r="12" spans="1:5">
      <c r="A12" s="5" t="s">
        <v>34</v>
      </c>
      <c r="B12" s="4" t="s">
        <v>36</v>
      </c>
      <c r="C12" s="5" t="s">
        <v>21</v>
      </c>
      <c r="D12" s="5" t="s">
        <v>22</v>
      </c>
      <c r="E12" s="5" t="s">
        <v>26</v>
      </c>
    </row>
    <row r="13" spans="1:5">
      <c r="A13" s="5" t="s">
        <v>34</v>
      </c>
      <c r="B13" s="4" t="s">
        <v>37</v>
      </c>
      <c r="C13" s="5" t="s">
        <v>21</v>
      </c>
      <c r="D13" s="5" t="s">
        <v>22</v>
      </c>
      <c r="E13" s="5" t="s">
        <v>26</v>
      </c>
    </row>
    <row r="14" spans="1:5" ht="25.2">
      <c r="A14" s="5" t="s">
        <v>34</v>
      </c>
      <c r="B14" s="4" t="s">
        <v>38</v>
      </c>
      <c r="C14" s="5" t="s">
        <v>21</v>
      </c>
      <c r="D14" s="5" t="s">
        <v>22</v>
      </c>
      <c r="E14" s="5" t="s">
        <v>29</v>
      </c>
    </row>
    <row r="15" spans="1:5">
      <c r="A15" s="5" t="s">
        <v>30</v>
      </c>
      <c r="B15" s="4" t="s">
        <v>39</v>
      </c>
      <c r="C15" s="5" t="s">
        <v>40</v>
      </c>
      <c r="D15" s="5" t="s">
        <v>41</v>
      </c>
      <c r="E15" s="5" t="s">
        <v>42</v>
      </c>
    </row>
    <row r="16" spans="1:5">
      <c r="A16" s="5" t="s">
        <v>30</v>
      </c>
      <c r="B16" s="4" t="s">
        <v>43</v>
      </c>
      <c r="C16" s="5" t="s">
        <v>40</v>
      </c>
      <c r="D16" s="5" t="s">
        <v>41</v>
      </c>
      <c r="E16" s="5" t="s">
        <v>42</v>
      </c>
    </row>
    <row r="17" spans="1:5">
      <c r="A17" s="5" t="s">
        <v>30</v>
      </c>
      <c r="B17" s="4" t="s">
        <v>44</v>
      </c>
      <c r="C17" s="5" t="s">
        <v>40</v>
      </c>
      <c r="D17" s="5" t="s">
        <v>41</v>
      </c>
      <c r="E17" s="5" t="s">
        <v>42</v>
      </c>
    </row>
    <row r="18" spans="1:5">
      <c r="A18" s="5" t="s">
        <v>30</v>
      </c>
      <c r="B18" s="4" t="s">
        <v>45</v>
      </c>
      <c r="C18" s="5" t="s">
        <v>40</v>
      </c>
      <c r="D18" s="5" t="s">
        <v>41</v>
      </c>
      <c r="E18" s="5" t="s">
        <v>42</v>
      </c>
    </row>
    <row r="19" spans="1:5">
      <c r="A19" s="5" t="s">
        <v>30</v>
      </c>
      <c r="B19" s="4" t="s">
        <v>46</v>
      </c>
      <c r="C19" s="5" t="s">
        <v>40</v>
      </c>
      <c r="D19" s="5" t="s">
        <v>47</v>
      </c>
      <c r="E19" s="5" t="s">
        <v>48</v>
      </c>
    </row>
    <row r="20" spans="1:5" ht="25.2">
      <c r="A20" s="5" t="s">
        <v>30</v>
      </c>
      <c r="B20" s="4" t="s">
        <v>49</v>
      </c>
      <c r="C20" s="5" t="s">
        <v>40</v>
      </c>
      <c r="D20" s="5" t="s">
        <v>47</v>
      </c>
      <c r="E20" s="5" t="s">
        <v>48</v>
      </c>
    </row>
    <row r="21" spans="1:5">
      <c r="A21" s="5" t="s">
        <v>50</v>
      </c>
      <c r="B21" s="4" t="s">
        <v>51</v>
      </c>
      <c r="C21" s="5" t="s">
        <v>40</v>
      </c>
      <c r="D21" s="5" t="s">
        <v>47</v>
      </c>
      <c r="E21" s="5" t="s">
        <v>48</v>
      </c>
    </row>
    <row r="22" spans="1:5" ht="25.2">
      <c r="A22" s="5" t="s">
        <v>50</v>
      </c>
      <c r="B22" s="4" t="s">
        <v>52</v>
      </c>
      <c r="C22" s="5" t="s">
        <v>40</v>
      </c>
      <c r="D22" s="5" t="s">
        <v>47</v>
      </c>
      <c r="E22" s="5" t="s">
        <v>48</v>
      </c>
    </row>
    <row r="23" spans="1:5">
      <c r="A23" s="5" t="s">
        <v>50</v>
      </c>
      <c r="B23" s="4" t="s">
        <v>53</v>
      </c>
      <c r="C23" s="5" t="s">
        <v>40</v>
      </c>
      <c r="D23" s="5" t="s">
        <v>47</v>
      </c>
      <c r="E23" s="5" t="s">
        <v>48</v>
      </c>
    </row>
    <row r="24" spans="1:5">
      <c r="A24" s="5" t="s">
        <v>50</v>
      </c>
      <c r="B24" s="4" t="s">
        <v>54</v>
      </c>
      <c r="C24" s="5" t="s">
        <v>40</v>
      </c>
      <c r="D24" s="5" t="s">
        <v>47</v>
      </c>
      <c r="E24" s="5" t="s">
        <v>48</v>
      </c>
    </row>
    <row r="25" spans="1:5">
      <c r="A25" s="5" t="s">
        <v>50</v>
      </c>
      <c r="B25" s="4" t="s">
        <v>55</v>
      </c>
      <c r="C25" s="5" t="s">
        <v>40</v>
      </c>
      <c r="D25" s="5" t="s">
        <v>47</v>
      </c>
      <c r="E25" s="5" t="s">
        <v>48</v>
      </c>
    </row>
    <row r="26" spans="1:5">
      <c r="A26" s="5" t="s">
        <v>50</v>
      </c>
      <c r="B26" s="4" t="s">
        <v>56</v>
      </c>
      <c r="C26" s="5" t="s">
        <v>40</v>
      </c>
      <c r="D26" s="5" t="s">
        <v>47</v>
      </c>
      <c r="E26" s="5" t="s">
        <v>48</v>
      </c>
    </row>
    <row r="27" spans="1:5">
      <c r="A27" s="5" t="s">
        <v>50</v>
      </c>
      <c r="B27" s="4" t="s">
        <v>57</v>
      </c>
      <c r="C27" s="5" t="s">
        <v>40</v>
      </c>
      <c r="D27" s="5" t="s">
        <v>47</v>
      </c>
      <c r="E27" s="5" t="s">
        <v>48</v>
      </c>
    </row>
    <row r="28" spans="1:5">
      <c r="A28" s="5" t="s">
        <v>50</v>
      </c>
      <c r="B28" s="4" t="s">
        <v>58</v>
      </c>
      <c r="C28" s="5" t="s">
        <v>40</v>
      </c>
      <c r="D28" s="5" t="s">
        <v>47</v>
      </c>
      <c r="E28" s="5" t="s">
        <v>48</v>
      </c>
    </row>
    <row r="29" spans="1:5">
      <c r="A29" s="5" t="s">
        <v>50</v>
      </c>
      <c r="B29" s="4" t="s">
        <v>59</v>
      </c>
      <c r="C29" s="5" t="s">
        <v>40</v>
      </c>
      <c r="D29" s="5" t="s">
        <v>47</v>
      </c>
      <c r="E29" s="5" t="s">
        <v>48</v>
      </c>
    </row>
    <row r="30" spans="1:5">
      <c r="A30" s="5" t="s">
        <v>60</v>
      </c>
      <c r="B30" s="4" t="s">
        <v>61</v>
      </c>
      <c r="C30" s="5" t="s">
        <v>40</v>
      </c>
      <c r="D30" s="5" t="s">
        <v>47</v>
      </c>
      <c r="E30" s="5" t="s">
        <v>48</v>
      </c>
    </row>
    <row r="31" spans="1:5">
      <c r="A31" s="5" t="s">
        <v>34</v>
      </c>
      <c r="B31" s="4" t="s">
        <v>62</v>
      </c>
      <c r="C31" s="5" t="s">
        <v>40</v>
      </c>
      <c r="D31" s="5" t="s">
        <v>47</v>
      </c>
      <c r="E31" s="5" t="s">
        <v>48</v>
      </c>
    </row>
    <row r="32" spans="1:5" ht="25.2">
      <c r="A32" s="5" t="s">
        <v>60</v>
      </c>
      <c r="B32" s="4" t="s">
        <v>63</v>
      </c>
      <c r="C32" s="5" t="s">
        <v>40</v>
      </c>
      <c r="D32" s="5" t="s">
        <v>47</v>
      </c>
      <c r="E32" s="5" t="s">
        <v>64</v>
      </c>
    </row>
    <row r="33" spans="1:5">
      <c r="A33" s="5" t="s">
        <v>30</v>
      </c>
      <c r="B33" s="4" t="s">
        <v>65</v>
      </c>
      <c r="C33" s="5" t="s">
        <v>40</v>
      </c>
      <c r="D33" s="5" t="s">
        <v>47</v>
      </c>
      <c r="E33" s="5" t="s">
        <v>66</v>
      </c>
    </row>
    <row r="34" spans="1:5">
      <c r="A34" s="5" t="s">
        <v>30</v>
      </c>
      <c r="B34" s="4" t="s">
        <v>67</v>
      </c>
      <c r="C34" s="5" t="s">
        <v>40</v>
      </c>
      <c r="D34" s="5" t="s">
        <v>47</v>
      </c>
      <c r="E34" s="5" t="s">
        <v>66</v>
      </c>
    </row>
    <row r="35" spans="1:5">
      <c r="A35" s="5" t="s">
        <v>30</v>
      </c>
      <c r="B35" s="4" t="s">
        <v>68</v>
      </c>
      <c r="C35" s="5" t="s">
        <v>40</v>
      </c>
      <c r="D35" s="5" t="s">
        <v>47</v>
      </c>
      <c r="E35" s="5" t="s">
        <v>66</v>
      </c>
    </row>
  </sheetData>
  <autoFilter ref="A2:E35" xr:uid="{00000000-0009-0000-0000-000000000000}"/>
  <phoneticPr fontId="1"/>
  <pageMargins left="0.39370078740157483" right="0.19685039370078741" top="0.39370078740157483" bottom="0.31496062992125984" header="0.31496062992125984" footer="0.15748031496062992"/>
  <pageSetup paperSize="9"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6E9074C7-2274-48FE-874D-34C4CD755617}">
          <x14:formula1>
            <xm:f>L!$C$4:$C$10</xm:f>
          </x14:formula1>
          <xm:sqref>A3:A1048576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FB36E-60F2-4A9C-A72A-DB4932D869F8}">
  <sheetPr>
    <tabColor theme="9" tint="0.59999389629810485"/>
  </sheetPr>
  <dimension ref="A2:B146"/>
  <sheetViews>
    <sheetView workbookViewId="0"/>
  </sheetViews>
  <sheetFormatPr defaultRowHeight="12.6"/>
  <cols>
    <col min="1" max="1" width="11" style="103" bestFit="1" customWidth="1"/>
    <col min="2" max="16384" width="8.7265625" style="103"/>
  </cols>
  <sheetData>
    <row r="2" spans="1:2">
      <c r="A2" s="103" t="s">
        <v>755</v>
      </c>
      <c r="B2" s="103" t="s">
        <v>756</v>
      </c>
    </row>
    <row r="3" spans="1:2">
      <c r="B3" s="104" t="s">
        <v>757</v>
      </c>
    </row>
    <row r="4" spans="1:2">
      <c r="B4" s="103" t="s">
        <v>758</v>
      </c>
    </row>
    <row r="6" spans="1:2">
      <c r="A6" s="103" t="s">
        <v>759</v>
      </c>
      <c r="B6" s="104" t="s">
        <v>760</v>
      </c>
    </row>
    <row r="7" spans="1:2">
      <c r="B7" s="103" t="s">
        <v>761</v>
      </c>
    </row>
    <row r="8" spans="1:2">
      <c r="B8" s="103" t="s">
        <v>762</v>
      </c>
    </row>
    <row r="9" spans="1:2">
      <c r="B9" s="103" t="s">
        <v>763</v>
      </c>
    </row>
    <row r="11" spans="1:2">
      <c r="A11" s="103" t="s">
        <v>764</v>
      </c>
      <c r="B11" s="103" t="s">
        <v>765</v>
      </c>
    </row>
    <row r="12" spans="1:2">
      <c r="B12" s="103" t="s">
        <v>766</v>
      </c>
    </row>
    <row r="14" spans="1:2">
      <c r="A14" s="103" t="s">
        <v>767</v>
      </c>
      <c r="B14" s="103" t="s">
        <v>768</v>
      </c>
    </row>
    <row r="15" spans="1:2">
      <c r="B15" s="103" t="s">
        <v>769</v>
      </c>
    </row>
    <row r="16" spans="1:2">
      <c r="B16" s="103" t="s">
        <v>770</v>
      </c>
    </row>
    <row r="17" spans="1:2">
      <c r="B17" s="103" t="s">
        <v>771</v>
      </c>
    </row>
    <row r="18" spans="1:2">
      <c r="B18" s="103" t="s">
        <v>772</v>
      </c>
    </row>
    <row r="19" spans="1:2">
      <c r="B19" s="103" t="s">
        <v>773</v>
      </c>
    </row>
    <row r="21" spans="1:2">
      <c r="A21" s="103" t="s">
        <v>774</v>
      </c>
      <c r="B21" s="103" t="s">
        <v>775</v>
      </c>
    </row>
    <row r="22" spans="1:2">
      <c r="B22" s="103" t="s">
        <v>776</v>
      </c>
    </row>
    <row r="23" spans="1:2">
      <c r="B23" s="103" t="s">
        <v>777</v>
      </c>
    </row>
    <row r="25" spans="1:2">
      <c r="A25" s="103" t="s">
        <v>778</v>
      </c>
      <c r="B25" s="104" t="s">
        <v>779</v>
      </c>
    </row>
    <row r="26" spans="1:2">
      <c r="B26" s="103" t="s">
        <v>780</v>
      </c>
    </row>
    <row r="27" spans="1:2">
      <c r="B27" s="104" t="s">
        <v>781</v>
      </c>
    </row>
    <row r="28" spans="1:2">
      <c r="B28" s="103" t="s">
        <v>782</v>
      </c>
    </row>
    <row r="29" spans="1:2">
      <c r="B29" s="103" t="s">
        <v>783</v>
      </c>
    </row>
    <row r="30" spans="1:2">
      <c r="B30" s="103" t="s">
        <v>784</v>
      </c>
    </row>
    <row r="31" spans="1:2">
      <c r="B31" s="103" t="s">
        <v>785</v>
      </c>
    </row>
    <row r="32" spans="1:2">
      <c r="B32" s="104" t="s">
        <v>786</v>
      </c>
    </row>
    <row r="33" spans="1:2">
      <c r="B33" s="104" t="s">
        <v>787</v>
      </c>
    </row>
    <row r="35" spans="1:2">
      <c r="A35" s="103" t="s">
        <v>788</v>
      </c>
      <c r="B35" s="104" t="s">
        <v>789</v>
      </c>
    </row>
    <row r="36" spans="1:2">
      <c r="B36" s="103" t="s">
        <v>772</v>
      </c>
    </row>
    <row r="37" spans="1:2">
      <c r="B37" s="103" t="s">
        <v>790</v>
      </c>
    </row>
    <row r="38" spans="1:2">
      <c r="B38" s="103" t="s">
        <v>791</v>
      </c>
    </row>
    <row r="39" spans="1:2">
      <c r="B39" s="104" t="s">
        <v>792</v>
      </c>
    </row>
    <row r="41" spans="1:2">
      <c r="A41" s="103" t="s">
        <v>793</v>
      </c>
      <c r="B41" s="103" t="s">
        <v>794</v>
      </c>
    </row>
    <row r="42" spans="1:2">
      <c r="B42" s="103" t="s">
        <v>795</v>
      </c>
    </row>
    <row r="43" spans="1:2">
      <c r="B43" s="103" t="s">
        <v>796</v>
      </c>
    </row>
    <row r="45" spans="1:2">
      <c r="A45" s="103" t="s">
        <v>797</v>
      </c>
      <c r="B45" s="103" t="s">
        <v>798</v>
      </c>
    </row>
    <row r="46" spans="1:2">
      <c r="B46" s="105" t="s">
        <v>799</v>
      </c>
    </row>
    <row r="47" spans="1:2">
      <c r="B47" s="105" t="s">
        <v>800</v>
      </c>
    </row>
    <row r="48" spans="1:2">
      <c r="B48" s="103" t="s">
        <v>801</v>
      </c>
    </row>
    <row r="49" spans="1:2">
      <c r="B49" s="103" t="s">
        <v>802</v>
      </c>
    </row>
    <row r="50" spans="1:2">
      <c r="B50" s="104" t="s">
        <v>803</v>
      </c>
    </row>
    <row r="51" spans="1:2">
      <c r="B51" s="104" t="s">
        <v>804</v>
      </c>
    </row>
    <row r="52" spans="1:2">
      <c r="B52" s="104" t="s">
        <v>805</v>
      </c>
    </row>
    <row r="54" spans="1:2">
      <c r="A54" s="103" t="s">
        <v>806</v>
      </c>
      <c r="B54" s="103" t="s">
        <v>807</v>
      </c>
    </row>
    <row r="55" spans="1:2">
      <c r="B55" s="103" t="s">
        <v>808</v>
      </c>
    </row>
    <row r="56" spans="1:2">
      <c r="B56" s="104" t="s">
        <v>809</v>
      </c>
    </row>
    <row r="57" spans="1:2">
      <c r="B57" s="104" t="s">
        <v>810</v>
      </c>
    </row>
    <row r="58" spans="1:2">
      <c r="B58" s="104" t="s">
        <v>811</v>
      </c>
    </row>
    <row r="59" spans="1:2">
      <c r="B59" s="104" t="s">
        <v>812</v>
      </c>
    </row>
    <row r="61" spans="1:2">
      <c r="A61" s="103" t="s">
        <v>813</v>
      </c>
      <c r="B61" s="103" t="s">
        <v>814</v>
      </c>
    </row>
    <row r="62" spans="1:2">
      <c r="B62" s="106" t="s">
        <v>815</v>
      </c>
    </row>
    <row r="63" spans="1:2">
      <c r="B63" s="103" t="s">
        <v>816</v>
      </c>
    </row>
    <row r="65" spans="1:2">
      <c r="A65" s="103" t="s">
        <v>817</v>
      </c>
      <c r="B65" s="103" t="s">
        <v>818</v>
      </c>
    </row>
    <row r="66" spans="1:2">
      <c r="B66" s="105" t="s">
        <v>819</v>
      </c>
    </row>
    <row r="67" spans="1:2">
      <c r="B67" s="105" t="s">
        <v>820</v>
      </c>
    </row>
    <row r="70" spans="1:2">
      <c r="A70" s="103" t="s">
        <v>821</v>
      </c>
      <c r="B70" s="103" t="s">
        <v>822</v>
      </c>
    </row>
    <row r="71" spans="1:2">
      <c r="B71" s="103" t="s">
        <v>823</v>
      </c>
    </row>
    <row r="72" spans="1:2">
      <c r="B72" s="103" t="s">
        <v>824</v>
      </c>
    </row>
    <row r="73" spans="1:2">
      <c r="B73" s="103" t="s">
        <v>825</v>
      </c>
    </row>
    <row r="74" spans="1:2">
      <c r="B74" s="103" t="s">
        <v>826</v>
      </c>
    </row>
    <row r="77" spans="1:2">
      <c r="A77" s="103" t="s">
        <v>827</v>
      </c>
      <c r="B77" s="103" t="s">
        <v>828</v>
      </c>
    </row>
    <row r="78" spans="1:2">
      <c r="B78" s="103" t="s">
        <v>829</v>
      </c>
    </row>
    <row r="79" spans="1:2">
      <c r="B79" s="103" t="s">
        <v>830</v>
      </c>
    </row>
    <row r="80" spans="1:2">
      <c r="B80" s="103" t="s">
        <v>831</v>
      </c>
    </row>
    <row r="81" spans="1:2">
      <c r="B81" s="103" t="s">
        <v>832</v>
      </c>
    </row>
    <row r="82" spans="1:2">
      <c r="B82" s="103" t="s">
        <v>833</v>
      </c>
    </row>
    <row r="83" spans="1:2">
      <c r="B83" s="103" t="s">
        <v>834</v>
      </c>
    </row>
    <row r="84" spans="1:2">
      <c r="B84" s="103" t="s">
        <v>835</v>
      </c>
    </row>
    <row r="85" spans="1:2">
      <c r="B85" s="103" t="s">
        <v>836</v>
      </c>
    </row>
    <row r="87" spans="1:2">
      <c r="A87" s="103" t="s">
        <v>837</v>
      </c>
      <c r="B87" s="103" t="s">
        <v>838</v>
      </c>
    </row>
    <row r="88" spans="1:2">
      <c r="B88" s="103" t="s">
        <v>839</v>
      </c>
    </row>
    <row r="91" spans="1:2">
      <c r="A91" s="103" t="s">
        <v>840</v>
      </c>
      <c r="B91" s="103" t="s">
        <v>841</v>
      </c>
    </row>
    <row r="92" spans="1:2">
      <c r="B92" s="103" t="s">
        <v>842</v>
      </c>
    </row>
    <row r="93" spans="1:2">
      <c r="B93" s="103" t="s">
        <v>843</v>
      </c>
    </row>
    <row r="94" spans="1:2">
      <c r="B94" s="104" t="s">
        <v>844</v>
      </c>
    </row>
    <row r="95" spans="1:2">
      <c r="B95" s="104" t="s">
        <v>845</v>
      </c>
    </row>
    <row r="96" spans="1:2">
      <c r="B96" s="104" t="s">
        <v>846</v>
      </c>
    </row>
    <row r="97" spans="1:2">
      <c r="A97" s="103" t="s">
        <v>386</v>
      </c>
      <c r="B97" s="103" t="s">
        <v>847</v>
      </c>
    </row>
    <row r="98" spans="1:2">
      <c r="B98" s="103" t="s">
        <v>848</v>
      </c>
    </row>
    <row r="99" spans="1:2">
      <c r="B99" s="103" t="s">
        <v>849</v>
      </c>
    </row>
    <row r="100" spans="1:2">
      <c r="A100" s="103" t="s">
        <v>850</v>
      </c>
      <c r="B100" s="103" t="s">
        <v>851</v>
      </c>
    </row>
    <row r="103" spans="1:2">
      <c r="A103" s="103" t="s">
        <v>852</v>
      </c>
      <c r="B103" s="103" t="s">
        <v>853</v>
      </c>
    </row>
    <row r="104" spans="1:2">
      <c r="B104" s="103" t="s">
        <v>854</v>
      </c>
    </row>
    <row r="105" spans="1:2">
      <c r="B105" s="103" t="s">
        <v>855</v>
      </c>
    </row>
    <row r="106" spans="1:2">
      <c r="B106" s="103" t="s">
        <v>856</v>
      </c>
    </row>
    <row r="107" spans="1:2">
      <c r="B107" s="104" t="s">
        <v>857</v>
      </c>
    </row>
    <row r="109" spans="1:2">
      <c r="A109" s="103" t="s">
        <v>858</v>
      </c>
      <c r="B109" s="103" t="s">
        <v>859</v>
      </c>
    </row>
    <row r="110" spans="1:2">
      <c r="B110" s="103" t="s">
        <v>860</v>
      </c>
    </row>
    <row r="111" spans="1:2">
      <c r="B111" s="103" t="s">
        <v>861</v>
      </c>
    </row>
    <row r="112" spans="1:2">
      <c r="B112" s="103" t="s">
        <v>862</v>
      </c>
    </row>
    <row r="114" spans="1:2">
      <c r="A114" s="103" t="s">
        <v>863</v>
      </c>
      <c r="B114" s="103" t="s">
        <v>864</v>
      </c>
    </row>
    <row r="115" spans="1:2">
      <c r="B115" s="103" t="s">
        <v>865</v>
      </c>
    </row>
    <row r="116" spans="1:2">
      <c r="B116" s="103" t="s">
        <v>866</v>
      </c>
    </row>
    <row r="117" spans="1:2">
      <c r="B117" s="103" t="s">
        <v>867</v>
      </c>
    </row>
    <row r="118" spans="1:2">
      <c r="B118" s="103" t="s">
        <v>868</v>
      </c>
    </row>
    <row r="119" spans="1:2">
      <c r="B119" s="103" t="s">
        <v>869</v>
      </c>
    </row>
    <row r="121" spans="1:2">
      <c r="A121" s="103" t="s">
        <v>870</v>
      </c>
      <c r="B121" s="103" t="s">
        <v>871</v>
      </c>
    </row>
    <row r="122" spans="1:2">
      <c r="B122" s="103" t="s">
        <v>872</v>
      </c>
    </row>
    <row r="123" spans="1:2">
      <c r="B123" s="103" t="s">
        <v>873</v>
      </c>
    </row>
    <row r="124" spans="1:2">
      <c r="B124" s="103" t="s">
        <v>874</v>
      </c>
    </row>
    <row r="125" spans="1:2">
      <c r="B125" s="104" t="s">
        <v>875</v>
      </c>
    </row>
    <row r="127" spans="1:2">
      <c r="A127" s="103" t="s">
        <v>876</v>
      </c>
      <c r="B127" s="103" t="s">
        <v>877</v>
      </c>
    </row>
    <row r="128" spans="1:2">
      <c r="B128" s="103" t="s">
        <v>878</v>
      </c>
    </row>
    <row r="130" spans="1:2">
      <c r="A130" s="103" t="s">
        <v>879</v>
      </c>
      <c r="B130" s="103" t="s">
        <v>880</v>
      </c>
    </row>
    <row r="131" spans="1:2">
      <c r="B131" s="103" t="s">
        <v>881</v>
      </c>
    </row>
    <row r="132" spans="1:2">
      <c r="B132" s="103" t="s">
        <v>882</v>
      </c>
    </row>
    <row r="133" spans="1:2">
      <c r="B133" s="103" t="s">
        <v>883</v>
      </c>
    </row>
    <row r="134" spans="1:2">
      <c r="B134" s="103" t="s">
        <v>884</v>
      </c>
    </row>
    <row r="135" spans="1:2">
      <c r="B135" s="104" t="s">
        <v>885</v>
      </c>
    </row>
    <row r="137" spans="1:2">
      <c r="A137" s="103" t="s">
        <v>886</v>
      </c>
      <c r="B137" s="103" t="s">
        <v>887</v>
      </c>
    </row>
    <row r="138" spans="1:2">
      <c r="B138" s="103" t="s">
        <v>888</v>
      </c>
    </row>
    <row r="139" spans="1:2">
      <c r="B139" s="103" t="s">
        <v>889</v>
      </c>
    </row>
    <row r="140" spans="1:2">
      <c r="B140" s="103" t="s">
        <v>890</v>
      </c>
    </row>
    <row r="142" spans="1:2">
      <c r="A142" s="103" t="s">
        <v>891</v>
      </c>
      <c r="B142" s="103" t="s">
        <v>892</v>
      </c>
    </row>
    <row r="143" spans="1:2">
      <c r="B143" s="103" t="s">
        <v>893</v>
      </c>
    </row>
    <row r="144" spans="1:2">
      <c r="B144" s="103" t="s">
        <v>894</v>
      </c>
    </row>
    <row r="145" spans="2:2">
      <c r="B145" s="103" t="s">
        <v>895</v>
      </c>
    </row>
    <row r="146" spans="2:2">
      <c r="B146" s="103" t="s">
        <v>896</v>
      </c>
    </row>
  </sheetData>
  <phoneticPr fontId="1"/>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2CAD-D24E-4C93-92F2-43B95E2DFA6D}">
  <sheetPr filterMode="1">
    <tabColor rgb="FFFFFF00"/>
  </sheetPr>
  <dimension ref="A2:N98"/>
  <sheetViews>
    <sheetView workbookViewId="0">
      <pane ySplit="2" topLeftCell="A3" activePane="bottomLeft" state="frozen"/>
      <selection pane="bottomLeft"/>
    </sheetView>
  </sheetViews>
  <sheetFormatPr defaultRowHeight="11.4" outlineLevelCol="1"/>
  <cols>
    <col min="1" max="1" width="12.36328125" style="2" customWidth="1"/>
    <col min="2" max="2" width="8.7265625" style="2"/>
    <col min="3" max="4" width="7" style="111" bestFit="1" customWidth="1"/>
    <col min="5" max="5" width="8.08984375" style="111" bestFit="1" customWidth="1"/>
    <col min="6" max="6" width="4.08984375" style="111" customWidth="1" outlineLevel="1"/>
    <col min="7" max="7" width="8.08984375" style="111" customWidth="1" outlineLevel="1"/>
    <col min="8" max="8" width="4.6328125" style="111" customWidth="1"/>
    <col min="9" max="9" width="4.7265625" style="111" bestFit="1" customWidth="1"/>
    <col min="10" max="10" width="8.90625" style="2" bestFit="1" customWidth="1" collapsed="1"/>
    <col min="11" max="12" width="8.90625" style="2" customWidth="1"/>
    <col min="13" max="13" width="4.7265625" style="111" bestFit="1" customWidth="1"/>
    <col min="14" max="14" width="4.6328125" style="229" customWidth="1"/>
    <col min="15" max="16384" width="8.7265625" style="229"/>
  </cols>
  <sheetData>
    <row r="2" spans="1:14" s="230" customFormat="1" ht="9.6">
      <c r="A2" s="226" t="s">
        <v>1017</v>
      </c>
      <c r="B2" s="227" t="s">
        <v>1018</v>
      </c>
      <c r="C2" s="227" t="s">
        <v>1019</v>
      </c>
      <c r="D2" s="227" t="s">
        <v>1020</v>
      </c>
      <c r="E2" s="227" t="s">
        <v>1021</v>
      </c>
      <c r="F2" s="227" t="s">
        <v>1022</v>
      </c>
      <c r="G2" s="227" t="s">
        <v>1023</v>
      </c>
      <c r="H2" s="227" t="s">
        <v>1648</v>
      </c>
      <c r="I2" s="227" t="s">
        <v>1957</v>
      </c>
      <c r="J2" s="228" t="s">
        <v>1658</v>
      </c>
      <c r="K2" s="228" t="s">
        <v>1072</v>
      </c>
      <c r="L2" s="228" t="s">
        <v>1073</v>
      </c>
      <c r="M2" s="231" t="s">
        <v>1126</v>
      </c>
      <c r="N2" s="225" t="s">
        <v>1128</v>
      </c>
    </row>
    <row r="3" spans="1:14">
      <c r="A3" s="2" t="s">
        <v>1130</v>
      </c>
      <c r="B3" s="111" t="s">
        <v>926</v>
      </c>
      <c r="C3" s="111" t="s">
        <v>1131</v>
      </c>
      <c r="D3" s="111" t="s">
        <v>926</v>
      </c>
      <c r="E3" s="111" t="s">
        <v>926</v>
      </c>
      <c r="F3" s="111" t="s">
        <v>1664</v>
      </c>
      <c r="G3" s="111" t="s">
        <v>1665</v>
      </c>
      <c r="H3" s="111" t="s">
        <v>1666</v>
      </c>
      <c r="I3" s="111" t="s">
        <v>1148</v>
      </c>
      <c r="J3" s="111" t="s">
        <v>1667</v>
      </c>
      <c r="K3" s="111" t="s">
        <v>926</v>
      </c>
      <c r="L3" s="111" t="s">
        <v>926</v>
      </c>
      <c r="M3" s="111" t="s">
        <v>1148</v>
      </c>
      <c r="N3" s="111">
        <v>1</v>
      </c>
    </row>
    <row r="4" spans="1:14">
      <c r="A4" s="2" t="s">
        <v>1149</v>
      </c>
      <c r="B4" s="111" t="s">
        <v>926</v>
      </c>
      <c r="C4" s="111" t="s">
        <v>1131</v>
      </c>
      <c r="D4" s="111" t="s">
        <v>926</v>
      </c>
      <c r="E4" s="111" t="s">
        <v>926</v>
      </c>
      <c r="F4" s="111" t="s">
        <v>1668</v>
      </c>
      <c r="G4" s="111" t="s">
        <v>1669</v>
      </c>
      <c r="H4" s="111" t="s">
        <v>1666</v>
      </c>
      <c r="I4" s="111" t="s">
        <v>1148</v>
      </c>
      <c r="J4" s="111" t="s">
        <v>1211</v>
      </c>
      <c r="K4" s="111" t="s">
        <v>470</v>
      </c>
      <c r="L4" s="111" t="s">
        <v>1670</v>
      </c>
      <c r="M4" s="111" t="s">
        <v>1148</v>
      </c>
      <c r="N4" s="111">
        <v>1</v>
      </c>
    </row>
    <row r="5" spans="1:14">
      <c r="A5" s="2" t="s">
        <v>1156</v>
      </c>
      <c r="B5" s="111" t="s">
        <v>926</v>
      </c>
      <c r="C5" s="111" t="s">
        <v>1131</v>
      </c>
      <c r="D5" s="111" t="s">
        <v>926</v>
      </c>
      <c r="E5" s="111" t="s">
        <v>926</v>
      </c>
      <c r="F5" s="111" t="s">
        <v>1671</v>
      </c>
      <c r="G5" s="111" t="s">
        <v>1672</v>
      </c>
      <c r="H5" s="111" t="s">
        <v>1666</v>
      </c>
      <c r="I5" s="111" t="s">
        <v>1148</v>
      </c>
      <c r="J5" s="111" t="s">
        <v>1157</v>
      </c>
      <c r="K5" s="111" t="s">
        <v>470</v>
      </c>
      <c r="L5" s="111" t="s">
        <v>1673</v>
      </c>
      <c r="M5" s="111" t="s">
        <v>1148</v>
      </c>
      <c r="N5" s="111">
        <v>1</v>
      </c>
    </row>
    <row r="6" spans="1:14">
      <c r="A6" s="2" t="s">
        <v>1159</v>
      </c>
      <c r="B6" s="111" t="s">
        <v>926</v>
      </c>
      <c r="C6" s="111" t="s">
        <v>1160</v>
      </c>
      <c r="D6" s="111" t="s">
        <v>1161</v>
      </c>
      <c r="E6" s="111" t="s">
        <v>926</v>
      </c>
      <c r="F6" s="111" t="s">
        <v>1681</v>
      </c>
      <c r="G6" s="111" t="s">
        <v>1682</v>
      </c>
      <c r="H6" s="111" t="s">
        <v>1666</v>
      </c>
      <c r="I6" s="111" t="s">
        <v>1269</v>
      </c>
      <c r="J6" s="111" t="s">
        <v>1192</v>
      </c>
      <c r="K6" s="111" t="s">
        <v>1683</v>
      </c>
      <c r="L6" s="111" t="s">
        <v>1684</v>
      </c>
      <c r="M6" s="170" t="s">
        <v>1646</v>
      </c>
      <c r="N6" s="111">
        <v>1</v>
      </c>
    </row>
    <row r="7" spans="1:14">
      <c r="A7" s="2" t="s">
        <v>1176</v>
      </c>
      <c r="B7" s="111" t="s">
        <v>926</v>
      </c>
      <c r="C7" s="111" t="s">
        <v>1160</v>
      </c>
      <c r="D7" s="111" t="s">
        <v>1161</v>
      </c>
      <c r="E7" s="111" t="s">
        <v>926</v>
      </c>
      <c r="F7" s="111" t="s">
        <v>1685</v>
      </c>
      <c r="G7" s="111" t="s">
        <v>1686</v>
      </c>
      <c r="H7" s="111" t="s">
        <v>1666</v>
      </c>
      <c r="I7" s="111" t="s">
        <v>1269</v>
      </c>
      <c r="J7" s="111" t="s">
        <v>1192</v>
      </c>
      <c r="K7" s="111" t="s">
        <v>1683</v>
      </c>
      <c r="L7" s="111" t="s">
        <v>1684</v>
      </c>
      <c r="M7" s="170" t="s">
        <v>1646</v>
      </c>
      <c r="N7" s="111">
        <v>1</v>
      </c>
    </row>
    <row r="8" spans="1:14">
      <c r="A8" s="2" t="s">
        <v>1188</v>
      </c>
      <c r="B8" s="111" t="s">
        <v>926</v>
      </c>
      <c r="C8" s="111" t="s">
        <v>1160</v>
      </c>
      <c r="D8" s="111" t="s">
        <v>1161</v>
      </c>
      <c r="E8" s="111" t="s">
        <v>926</v>
      </c>
      <c r="F8" s="111" t="s">
        <v>1687</v>
      </c>
      <c r="G8" s="111" t="s">
        <v>1688</v>
      </c>
      <c r="H8" s="111" t="s">
        <v>1666</v>
      </c>
      <c r="I8" s="111" t="s">
        <v>1269</v>
      </c>
      <c r="J8" s="111" t="s">
        <v>1192</v>
      </c>
      <c r="K8" s="111" t="s">
        <v>1683</v>
      </c>
      <c r="L8" s="111" t="s">
        <v>1684</v>
      </c>
      <c r="M8" s="170" t="s">
        <v>1646</v>
      </c>
      <c r="N8" s="111">
        <v>1</v>
      </c>
    </row>
    <row r="9" spans="1:14">
      <c r="A9" s="2" t="s">
        <v>1190</v>
      </c>
      <c r="B9" s="111" t="s">
        <v>926</v>
      </c>
      <c r="C9" s="111" t="s">
        <v>1160</v>
      </c>
      <c r="D9" s="111" t="s">
        <v>1161</v>
      </c>
      <c r="E9" s="111" t="s">
        <v>926</v>
      </c>
      <c r="F9" s="111" t="s">
        <v>1692</v>
      </c>
      <c r="G9" s="111" t="s">
        <v>1693</v>
      </c>
      <c r="H9" s="111" t="s">
        <v>1666</v>
      </c>
      <c r="I9" s="111" t="s">
        <v>1269</v>
      </c>
      <c r="J9" s="111" t="s">
        <v>1192</v>
      </c>
      <c r="K9" s="111" t="s">
        <v>1683</v>
      </c>
      <c r="L9" s="111" t="s">
        <v>1684</v>
      </c>
      <c r="M9" s="170" t="s">
        <v>1646</v>
      </c>
      <c r="N9" s="111">
        <v>1</v>
      </c>
    </row>
    <row r="10" spans="1:14">
      <c r="A10" s="2" t="s">
        <v>1191</v>
      </c>
      <c r="B10" s="111" t="s">
        <v>926</v>
      </c>
      <c r="C10" s="111" t="s">
        <v>1160</v>
      </c>
      <c r="D10" s="111" t="s">
        <v>1161</v>
      </c>
      <c r="E10" s="111" t="s">
        <v>926</v>
      </c>
      <c r="F10" s="111" t="s">
        <v>1695</v>
      </c>
      <c r="G10" s="111" t="s">
        <v>1696</v>
      </c>
      <c r="H10" s="111" t="s">
        <v>1666</v>
      </c>
      <c r="I10" s="111" t="s">
        <v>1269</v>
      </c>
      <c r="J10" s="170" t="s">
        <v>1192</v>
      </c>
      <c r="K10" s="111" t="s">
        <v>1683</v>
      </c>
      <c r="L10" s="111" t="s">
        <v>1684</v>
      </c>
      <c r="M10" s="170" t="s">
        <v>1646</v>
      </c>
      <c r="N10" s="111">
        <v>1</v>
      </c>
    </row>
    <row r="11" spans="1:14">
      <c r="A11" s="2" t="s">
        <v>1193</v>
      </c>
      <c r="B11" s="111" t="s">
        <v>926</v>
      </c>
      <c r="C11" s="111" t="s">
        <v>1160</v>
      </c>
      <c r="D11" s="111" t="s">
        <v>1161</v>
      </c>
      <c r="E11" s="111" t="s">
        <v>926</v>
      </c>
      <c r="F11" s="111" t="s">
        <v>1698</v>
      </c>
      <c r="G11" s="111" t="s">
        <v>1699</v>
      </c>
      <c r="H11" s="111" t="s">
        <v>1666</v>
      </c>
      <c r="I11" s="111" t="s">
        <v>1269</v>
      </c>
      <c r="J11" s="170" t="s">
        <v>1192</v>
      </c>
      <c r="K11" s="111" t="s">
        <v>1683</v>
      </c>
      <c r="L11" s="111" t="s">
        <v>1684</v>
      </c>
      <c r="M11" s="170" t="s">
        <v>1646</v>
      </c>
      <c r="N11" s="111">
        <v>1</v>
      </c>
    </row>
    <row r="12" spans="1:14">
      <c r="A12" s="2" t="s">
        <v>1199</v>
      </c>
      <c r="B12" s="111" t="s">
        <v>926</v>
      </c>
      <c r="C12" s="111" t="s">
        <v>1160</v>
      </c>
      <c r="D12" s="111" t="s">
        <v>1161</v>
      </c>
      <c r="E12" s="111" t="s">
        <v>926</v>
      </c>
      <c r="F12" s="111" t="s">
        <v>1700</v>
      </c>
      <c r="G12" s="111" t="s">
        <v>1701</v>
      </c>
      <c r="H12" s="111" t="s">
        <v>1666</v>
      </c>
      <c r="I12" s="111" t="s">
        <v>1269</v>
      </c>
      <c r="J12" s="111" t="s">
        <v>1200</v>
      </c>
      <c r="K12" s="111" t="s">
        <v>1683</v>
      </c>
      <c r="L12" s="111" t="s">
        <v>1702</v>
      </c>
      <c r="M12" s="170" t="s">
        <v>1646</v>
      </c>
      <c r="N12" s="111">
        <v>1</v>
      </c>
    </row>
    <row r="13" spans="1:14">
      <c r="A13" s="2" t="s">
        <v>1201</v>
      </c>
      <c r="B13" s="111" t="s">
        <v>926</v>
      </c>
      <c r="C13" s="111" t="s">
        <v>1202</v>
      </c>
      <c r="D13" s="111" t="s">
        <v>1203</v>
      </c>
      <c r="E13" s="111" t="s">
        <v>926</v>
      </c>
      <c r="F13" s="111" t="s">
        <v>1704</v>
      </c>
      <c r="G13" s="111" t="s">
        <v>1705</v>
      </c>
      <c r="H13" s="111" t="s">
        <v>1666</v>
      </c>
      <c r="I13" s="111" t="s">
        <v>1269</v>
      </c>
      <c r="J13" s="170" t="s">
        <v>1192</v>
      </c>
      <c r="K13" s="111" t="s">
        <v>1683</v>
      </c>
      <c r="L13" s="111" t="s">
        <v>1684</v>
      </c>
      <c r="M13" s="170" t="s">
        <v>1646</v>
      </c>
      <c r="N13" s="111">
        <v>1</v>
      </c>
    </row>
    <row r="14" spans="1:14">
      <c r="A14" s="2" t="s">
        <v>1206</v>
      </c>
      <c r="B14" s="111" t="s">
        <v>926</v>
      </c>
      <c r="C14" s="111" t="s">
        <v>1202</v>
      </c>
      <c r="D14" s="111" t="s">
        <v>1203</v>
      </c>
      <c r="E14" s="111" t="s">
        <v>926</v>
      </c>
      <c r="F14" s="111" t="s">
        <v>1706</v>
      </c>
      <c r="G14" s="111" t="s">
        <v>1707</v>
      </c>
      <c r="H14" s="111" t="s">
        <v>1666</v>
      </c>
      <c r="I14" s="111" t="s">
        <v>1269</v>
      </c>
      <c r="J14" s="111" t="s">
        <v>1211</v>
      </c>
      <c r="K14" s="111" t="s">
        <v>470</v>
      </c>
      <c r="L14" s="111" t="s">
        <v>1670</v>
      </c>
      <c r="M14" s="173" t="s">
        <v>1148</v>
      </c>
      <c r="N14" s="111">
        <v>1</v>
      </c>
    </row>
    <row r="15" spans="1:14">
      <c r="A15" s="2" t="s">
        <v>1210</v>
      </c>
      <c r="B15" s="111" t="s">
        <v>926</v>
      </c>
      <c r="C15" s="111" t="s">
        <v>1202</v>
      </c>
      <c r="D15" s="111" t="s">
        <v>1203</v>
      </c>
      <c r="E15" s="111" t="s">
        <v>926</v>
      </c>
      <c r="F15" s="111" t="s">
        <v>1713</v>
      </c>
      <c r="G15" s="111" t="s">
        <v>1714</v>
      </c>
      <c r="H15" s="111" t="s">
        <v>1666</v>
      </c>
      <c r="I15" s="111" t="s">
        <v>1269</v>
      </c>
      <c r="J15" s="170" t="s">
        <v>1211</v>
      </c>
      <c r="K15" s="111" t="s">
        <v>470</v>
      </c>
      <c r="L15" s="111" t="s">
        <v>1670</v>
      </c>
      <c r="M15" s="173" t="s">
        <v>1148</v>
      </c>
      <c r="N15" s="111">
        <v>1</v>
      </c>
    </row>
    <row r="16" spans="1:14">
      <c r="A16" s="2" t="s">
        <v>1213</v>
      </c>
      <c r="B16" s="111" t="s">
        <v>926</v>
      </c>
      <c r="C16" s="111" t="s">
        <v>1214</v>
      </c>
      <c r="D16" s="111" t="s">
        <v>1215</v>
      </c>
      <c r="E16" s="111" t="s">
        <v>1216</v>
      </c>
      <c r="F16" s="111" t="s">
        <v>1722</v>
      </c>
      <c r="G16" s="111" t="s">
        <v>1723</v>
      </c>
      <c r="H16" s="111" t="s">
        <v>1666</v>
      </c>
      <c r="I16" s="111" t="s">
        <v>1148</v>
      </c>
      <c r="J16" s="111" t="s">
        <v>1211</v>
      </c>
      <c r="K16" s="111" t="s">
        <v>470</v>
      </c>
      <c r="L16" s="111" t="s">
        <v>1670</v>
      </c>
      <c r="M16" s="111" t="s">
        <v>1148</v>
      </c>
      <c r="N16" s="111">
        <v>1</v>
      </c>
    </row>
    <row r="17" spans="1:14">
      <c r="A17" s="2" t="s">
        <v>1227</v>
      </c>
      <c r="B17" s="111" t="s">
        <v>926</v>
      </c>
      <c r="C17" s="111" t="s">
        <v>1214</v>
      </c>
      <c r="D17" s="111" t="s">
        <v>1215</v>
      </c>
      <c r="E17" s="111" t="s">
        <v>1216</v>
      </c>
      <c r="F17" s="111" t="s">
        <v>1724</v>
      </c>
      <c r="G17" s="111" t="s">
        <v>1725</v>
      </c>
      <c r="H17" s="111" t="s">
        <v>1666</v>
      </c>
      <c r="I17" s="111" t="s">
        <v>1148</v>
      </c>
      <c r="J17" s="170" t="s">
        <v>1211</v>
      </c>
      <c r="K17" s="111" t="s">
        <v>470</v>
      </c>
      <c r="L17" s="111" t="s">
        <v>1670</v>
      </c>
      <c r="M17" s="111" t="s">
        <v>1148</v>
      </c>
      <c r="N17" s="111">
        <v>1</v>
      </c>
    </row>
    <row r="18" spans="1:14">
      <c r="A18" s="2" t="s">
        <v>1237</v>
      </c>
      <c r="B18" s="111" t="s">
        <v>926</v>
      </c>
      <c r="C18" s="111" t="s">
        <v>1214</v>
      </c>
      <c r="D18" s="111" t="s">
        <v>1215</v>
      </c>
      <c r="E18" s="111" t="s">
        <v>1216</v>
      </c>
      <c r="F18" s="111" t="s">
        <v>1726</v>
      </c>
      <c r="G18" s="111" t="s">
        <v>1727</v>
      </c>
      <c r="H18" s="111" t="s">
        <v>1666</v>
      </c>
      <c r="I18" s="111" t="s">
        <v>1148</v>
      </c>
      <c r="J18" s="111" t="s">
        <v>1211</v>
      </c>
      <c r="K18" s="111" t="s">
        <v>470</v>
      </c>
      <c r="L18" s="111" t="s">
        <v>1670</v>
      </c>
      <c r="M18" s="111" t="s">
        <v>1148</v>
      </c>
      <c r="N18" s="111">
        <v>1</v>
      </c>
    </row>
    <row r="19" spans="1:14">
      <c r="A19" s="2" t="s">
        <v>1244</v>
      </c>
      <c r="B19" s="111" t="s">
        <v>926</v>
      </c>
      <c r="C19" s="111" t="s">
        <v>1214</v>
      </c>
      <c r="D19" s="111" t="s">
        <v>1215</v>
      </c>
      <c r="E19" s="111" t="s">
        <v>1216</v>
      </c>
      <c r="F19" s="111" t="s">
        <v>1729</v>
      </c>
      <c r="G19" s="111" t="s">
        <v>1730</v>
      </c>
      <c r="H19" s="111" t="s">
        <v>1666</v>
      </c>
      <c r="I19" s="111" t="s">
        <v>1148</v>
      </c>
      <c r="J19" s="170" t="s">
        <v>1211</v>
      </c>
      <c r="K19" s="111" t="s">
        <v>470</v>
      </c>
      <c r="L19" s="111" t="s">
        <v>1670</v>
      </c>
      <c r="M19" s="111" t="s">
        <v>1148</v>
      </c>
      <c r="N19" s="111">
        <v>1</v>
      </c>
    </row>
    <row r="20" spans="1:14">
      <c r="A20" s="2" t="s">
        <v>1250</v>
      </c>
      <c r="B20" s="111" t="s">
        <v>926</v>
      </c>
      <c r="C20" s="111" t="s">
        <v>1214</v>
      </c>
      <c r="D20" s="111" t="s">
        <v>1215</v>
      </c>
      <c r="E20" s="111" t="s">
        <v>1251</v>
      </c>
      <c r="F20" s="111" t="s">
        <v>1733</v>
      </c>
      <c r="G20" s="111" t="s">
        <v>1734</v>
      </c>
      <c r="H20" s="111" t="s">
        <v>1666</v>
      </c>
      <c r="I20" s="111" t="s">
        <v>1148</v>
      </c>
      <c r="J20" s="111" t="s">
        <v>1211</v>
      </c>
      <c r="K20" s="111" t="s">
        <v>470</v>
      </c>
      <c r="L20" s="111" t="s">
        <v>1670</v>
      </c>
      <c r="M20" s="111" t="s">
        <v>1148</v>
      </c>
      <c r="N20" s="111">
        <v>1</v>
      </c>
    </row>
    <row r="21" spans="1:14">
      <c r="A21" s="2" t="s">
        <v>1254</v>
      </c>
      <c r="B21" s="111" t="s">
        <v>926</v>
      </c>
      <c r="C21" s="111" t="s">
        <v>1214</v>
      </c>
      <c r="D21" s="111" t="s">
        <v>1215</v>
      </c>
      <c r="E21" s="111" t="s">
        <v>1251</v>
      </c>
      <c r="F21" s="111" t="s">
        <v>1740</v>
      </c>
      <c r="G21" s="111" t="s">
        <v>1741</v>
      </c>
      <c r="H21" s="111" t="s">
        <v>1666</v>
      </c>
      <c r="I21" s="111" t="s">
        <v>1148</v>
      </c>
      <c r="J21" s="111" t="s">
        <v>1211</v>
      </c>
      <c r="K21" s="111" t="s">
        <v>470</v>
      </c>
      <c r="L21" s="111" t="s">
        <v>1670</v>
      </c>
      <c r="M21" s="111" t="s">
        <v>1148</v>
      </c>
      <c r="N21" s="111">
        <v>1</v>
      </c>
    </row>
    <row r="22" spans="1:14">
      <c r="A22" s="2" t="s">
        <v>1261</v>
      </c>
      <c r="B22" s="111" t="s">
        <v>926</v>
      </c>
      <c r="C22" s="111" t="s">
        <v>1214</v>
      </c>
      <c r="D22" s="111" t="s">
        <v>1215</v>
      </c>
      <c r="E22" s="111" t="s">
        <v>1262</v>
      </c>
      <c r="F22" s="111" t="s">
        <v>1743</v>
      </c>
      <c r="G22" s="111" t="s">
        <v>1744</v>
      </c>
      <c r="H22" s="111" t="s">
        <v>1396</v>
      </c>
      <c r="I22" s="111" t="s">
        <v>1269</v>
      </c>
      <c r="J22" s="111" t="s">
        <v>1263</v>
      </c>
      <c r="K22" s="111" t="s">
        <v>1745</v>
      </c>
      <c r="L22" s="111" t="s">
        <v>1746</v>
      </c>
      <c r="M22" s="173" t="s">
        <v>1148</v>
      </c>
      <c r="N22" s="111">
        <v>1</v>
      </c>
    </row>
    <row r="23" spans="1:14">
      <c r="A23" s="2" t="s">
        <v>1270</v>
      </c>
      <c r="B23" s="111" t="s">
        <v>1271</v>
      </c>
      <c r="C23" s="111" t="s">
        <v>1214</v>
      </c>
      <c r="D23" s="111" t="s">
        <v>1215</v>
      </c>
      <c r="E23" s="111" t="s">
        <v>1262</v>
      </c>
      <c r="F23" s="111" t="s">
        <v>1750</v>
      </c>
      <c r="G23" s="111" t="s">
        <v>1751</v>
      </c>
      <c r="H23" s="111" t="s">
        <v>1396</v>
      </c>
      <c r="I23" s="111" t="s">
        <v>1269</v>
      </c>
      <c r="J23" s="111" t="s">
        <v>1555</v>
      </c>
      <c r="K23" s="111" t="s">
        <v>1752</v>
      </c>
      <c r="L23" s="111" t="s">
        <v>1753</v>
      </c>
      <c r="M23" s="173" t="s">
        <v>1148</v>
      </c>
      <c r="N23" s="111">
        <v>1</v>
      </c>
    </row>
    <row r="24" spans="1:14">
      <c r="A24" s="2" t="s">
        <v>1278</v>
      </c>
      <c r="B24" s="111" t="s">
        <v>926</v>
      </c>
      <c r="C24" s="111" t="s">
        <v>1214</v>
      </c>
      <c r="D24" s="111" t="s">
        <v>1215</v>
      </c>
      <c r="E24" s="111" t="s">
        <v>1262</v>
      </c>
      <c r="F24" s="111" t="s">
        <v>1755</v>
      </c>
      <c r="G24" s="111" t="s">
        <v>1756</v>
      </c>
      <c r="H24" s="111" t="s">
        <v>1396</v>
      </c>
      <c r="I24" s="111" t="s">
        <v>1269</v>
      </c>
      <c r="J24" s="170" t="s">
        <v>1211</v>
      </c>
      <c r="K24" s="111" t="s">
        <v>470</v>
      </c>
      <c r="L24" s="111" t="s">
        <v>1670</v>
      </c>
      <c r="M24" s="173" t="s">
        <v>1148</v>
      </c>
      <c r="N24" s="111">
        <v>1</v>
      </c>
    </row>
    <row r="25" spans="1:14" hidden="1">
      <c r="A25" s="2" t="s">
        <v>1285</v>
      </c>
      <c r="B25" s="111" t="s">
        <v>1286</v>
      </c>
      <c r="C25" s="111" t="s">
        <v>1214</v>
      </c>
      <c r="D25" s="111" t="s">
        <v>1215</v>
      </c>
      <c r="E25" s="111" t="s">
        <v>1216</v>
      </c>
      <c r="F25" s="111" t="s">
        <v>1615</v>
      </c>
      <c r="G25" s="111" t="s">
        <v>1615</v>
      </c>
      <c r="H25" s="111" t="s">
        <v>1615</v>
      </c>
      <c r="I25" s="111" t="s">
        <v>926</v>
      </c>
      <c r="J25" s="111" t="s">
        <v>1304</v>
      </c>
      <c r="K25" s="111" t="s">
        <v>470</v>
      </c>
      <c r="L25" s="111" t="s">
        <v>1670</v>
      </c>
      <c r="M25" s="111" t="s">
        <v>926</v>
      </c>
      <c r="N25" s="111" t="s">
        <v>926</v>
      </c>
    </row>
    <row r="26" spans="1:14" hidden="1">
      <c r="A26" s="2" t="s">
        <v>1288</v>
      </c>
      <c r="B26" s="111" t="s">
        <v>1289</v>
      </c>
      <c r="C26" s="111" t="s">
        <v>1290</v>
      </c>
      <c r="D26" s="111" t="s">
        <v>1291</v>
      </c>
      <c r="E26" s="111" t="s">
        <v>926</v>
      </c>
      <c r="F26" s="111" t="s">
        <v>1615</v>
      </c>
      <c r="G26" s="111" t="s">
        <v>1615</v>
      </c>
      <c r="H26" s="111" t="s">
        <v>1615</v>
      </c>
      <c r="I26" s="111" t="s">
        <v>926</v>
      </c>
      <c r="J26" s="111" t="s">
        <v>1304</v>
      </c>
      <c r="K26" s="111" t="s">
        <v>470</v>
      </c>
      <c r="L26" s="111" t="s">
        <v>1670</v>
      </c>
      <c r="M26" s="111" t="s">
        <v>926</v>
      </c>
      <c r="N26" s="111" t="s">
        <v>926</v>
      </c>
    </row>
    <row r="27" spans="1:14" hidden="1">
      <c r="A27" s="2" t="s">
        <v>1303</v>
      </c>
      <c r="B27" s="111" t="s">
        <v>926</v>
      </c>
      <c r="C27" s="111" t="s">
        <v>1214</v>
      </c>
      <c r="D27" s="111" t="s">
        <v>1215</v>
      </c>
      <c r="E27" s="111" t="s">
        <v>1216</v>
      </c>
      <c r="F27" s="111" t="s">
        <v>1615</v>
      </c>
      <c r="G27" s="111" t="s">
        <v>1615</v>
      </c>
      <c r="H27" s="111" t="s">
        <v>1615</v>
      </c>
      <c r="I27" s="111" t="s">
        <v>926</v>
      </c>
      <c r="J27" s="111" t="s">
        <v>1304</v>
      </c>
      <c r="K27" s="111" t="s">
        <v>470</v>
      </c>
      <c r="L27" s="111" t="s">
        <v>1670</v>
      </c>
      <c r="M27" s="111" t="s">
        <v>926</v>
      </c>
      <c r="N27" s="111" t="s">
        <v>926</v>
      </c>
    </row>
    <row r="28" spans="1:14" hidden="1">
      <c r="A28" s="2" t="s">
        <v>1314</v>
      </c>
      <c r="B28" s="111" t="s">
        <v>1315</v>
      </c>
      <c r="C28" s="111" t="s">
        <v>1214</v>
      </c>
      <c r="D28" s="111" t="s">
        <v>1215</v>
      </c>
      <c r="E28" s="111" t="s">
        <v>1262</v>
      </c>
      <c r="F28" s="111" t="s">
        <v>1615</v>
      </c>
      <c r="G28" s="111" t="s">
        <v>1615</v>
      </c>
      <c r="H28" s="111" t="s">
        <v>1615</v>
      </c>
      <c r="I28" s="111" t="s">
        <v>926</v>
      </c>
      <c r="J28" s="111" t="s">
        <v>1555</v>
      </c>
      <c r="K28" s="111" t="s">
        <v>1752</v>
      </c>
      <c r="L28" s="111" t="s">
        <v>1753</v>
      </c>
      <c r="M28" s="111" t="s">
        <v>926</v>
      </c>
      <c r="N28" s="111" t="s">
        <v>926</v>
      </c>
    </row>
    <row r="29" spans="1:14">
      <c r="A29" s="2" t="s">
        <v>1317</v>
      </c>
      <c r="B29" s="111" t="s">
        <v>926</v>
      </c>
      <c r="C29" s="111" t="s">
        <v>1214</v>
      </c>
      <c r="D29" s="111" t="s">
        <v>926</v>
      </c>
      <c r="E29" s="111" t="s">
        <v>926</v>
      </c>
      <c r="F29" s="111" t="s">
        <v>1770</v>
      </c>
      <c r="G29" s="111" t="s">
        <v>1771</v>
      </c>
      <c r="H29" s="111" t="s">
        <v>1666</v>
      </c>
      <c r="I29" s="111" t="s">
        <v>1148</v>
      </c>
      <c r="J29" s="111" t="s">
        <v>1318</v>
      </c>
      <c r="K29" s="111" t="s">
        <v>1683</v>
      </c>
      <c r="L29" s="111" t="s">
        <v>1772</v>
      </c>
      <c r="M29" s="111" t="s">
        <v>1148</v>
      </c>
      <c r="N29" s="111">
        <v>1</v>
      </c>
    </row>
    <row r="30" spans="1:14">
      <c r="A30" s="2" t="s">
        <v>1325</v>
      </c>
      <c r="B30" s="111" t="s">
        <v>926</v>
      </c>
      <c r="C30" s="111" t="s">
        <v>1214</v>
      </c>
      <c r="D30" s="111" t="s">
        <v>1326</v>
      </c>
      <c r="E30" s="111" t="s">
        <v>1327</v>
      </c>
      <c r="F30" s="111" t="s">
        <v>1774</v>
      </c>
      <c r="G30" s="111" t="s">
        <v>1775</v>
      </c>
      <c r="H30" s="111" t="s">
        <v>1666</v>
      </c>
      <c r="I30" s="111" t="s">
        <v>1269</v>
      </c>
      <c r="J30" s="111" t="s">
        <v>1328</v>
      </c>
      <c r="K30" s="111" t="s">
        <v>1683</v>
      </c>
      <c r="L30" s="111" t="s">
        <v>1772</v>
      </c>
      <c r="M30" s="170" t="s">
        <v>1646</v>
      </c>
      <c r="N30" s="111">
        <v>1</v>
      </c>
    </row>
    <row r="31" spans="1:14" hidden="1">
      <c r="A31" s="181" t="s">
        <v>1333</v>
      </c>
      <c r="B31" s="111" t="s">
        <v>1334</v>
      </c>
      <c r="C31" s="111" t="s">
        <v>1214</v>
      </c>
      <c r="D31" s="111" t="s">
        <v>1326</v>
      </c>
      <c r="E31" s="111" t="s">
        <v>1327</v>
      </c>
      <c r="F31" s="111" t="s">
        <v>1777</v>
      </c>
      <c r="G31" s="111" t="s">
        <v>1778</v>
      </c>
      <c r="H31" s="111" t="s">
        <v>1396</v>
      </c>
      <c r="I31" s="111" t="s">
        <v>1269</v>
      </c>
      <c r="J31" s="182" t="s">
        <v>1335</v>
      </c>
      <c r="K31" s="111" t="s">
        <v>1745</v>
      </c>
      <c r="L31" s="111" t="s">
        <v>1779</v>
      </c>
      <c r="M31" s="111" t="s">
        <v>926</v>
      </c>
      <c r="N31" s="184" t="s">
        <v>926</v>
      </c>
    </row>
    <row r="32" spans="1:14">
      <c r="A32" s="2" t="s">
        <v>1343</v>
      </c>
      <c r="B32" s="111" t="s">
        <v>1334</v>
      </c>
      <c r="C32" s="111" t="s">
        <v>1214</v>
      </c>
      <c r="D32" s="111" t="s">
        <v>1326</v>
      </c>
      <c r="E32" s="111" t="s">
        <v>1327</v>
      </c>
      <c r="F32" s="111" t="s">
        <v>1780</v>
      </c>
      <c r="G32" s="111" t="s">
        <v>1781</v>
      </c>
      <c r="H32" s="111" t="s">
        <v>1396</v>
      </c>
      <c r="I32" s="111" t="s">
        <v>1269</v>
      </c>
      <c r="J32" s="111" t="s">
        <v>1335</v>
      </c>
      <c r="K32" s="111" t="s">
        <v>1745</v>
      </c>
      <c r="L32" s="111" t="s">
        <v>1779</v>
      </c>
      <c r="M32" s="111" t="s">
        <v>1269</v>
      </c>
      <c r="N32" s="111">
        <v>1</v>
      </c>
    </row>
    <row r="33" spans="1:14">
      <c r="A33" s="2" t="s">
        <v>1344</v>
      </c>
      <c r="B33" s="111" t="s">
        <v>1345</v>
      </c>
      <c r="C33" s="111" t="s">
        <v>1214</v>
      </c>
      <c r="D33" s="111" t="s">
        <v>1326</v>
      </c>
      <c r="E33" s="111" t="s">
        <v>1327</v>
      </c>
      <c r="F33" s="111" t="s">
        <v>1782</v>
      </c>
      <c r="G33" s="111" t="s">
        <v>1783</v>
      </c>
      <c r="H33" s="111" t="s">
        <v>1396</v>
      </c>
      <c r="I33" s="111" t="s">
        <v>1269</v>
      </c>
      <c r="J33" s="111" t="s">
        <v>1335</v>
      </c>
      <c r="K33" s="111" t="s">
        <v>1745</v>
      </c>
      <c r="L33" s="111" t="s">
        <v>1779</v>
      </c>
      <c r="M33" s="111" t="s">
        <v>1269</v>
      </c>
      <c r="N33" s="111">
        <v>1</v>
      </c>
    </row>
    <row r="34" spans="1:14">
      <c r="A34" s="2" t="s">
        <v>1347</v>
      </c>
      <c r="B34" s="111" t="s">
        <v>926</v>
      </c>
      <c r="C34" s="111" t="s">
        <v>1214</v>
      </c>
      <c r="D34" s="111" t="s">
        <v>1326</v>
      </c>
      <c r="E34" s="111" t="s">
        <v>1348</v>
      </c>
      <c r="F34" s="111" t="s">
        <v>1784</v>
      </c>
      <c r="G34" s="111" t="s">
        <v>1785</v>
      </c>
      <c r="H34" s="111" t="s">
        <v>1666</v>
      </c>
      <c r="I34" s="111" t="s">
        <v>1269</v>
      </c>
      <c r="J34" s="182" t="s">
        <v>1318</v>
      </c>
      <c r="K34" s="111" t="s">
        <v>1683</v>
      </c>
      <c r="L34" s="111" t="s">
        <v>1772</v>
      </c>
      <c r="M34" s="170" t="s">
        <v>1646</v>
      </c>
      <c r="N34" s="111">
        <v>1</v>
      </c>
    </row>
    <row r="35" spans="1:14">
      <c r="A35" s="2" t="s">
        <v>1359</v>
      </c>
      <c r="B35" s="111" t="s">
        <v>926</v>
      </c>
      <c r="C35" s="111" t="s">
        <v>1214</v>
      </c>
      <c r="D35" s="111" t="s">
        <v>1326</v>
      </c>
      <c r="E35" s="111" t="s">
        <v>1348</v>
      </c>
      <c r="F35" s="111" t="s">
        <v>1786</v>
      </c>
      <c r="G35" s="111" t="s">
        <v>1787</v>
      </c>
      <c r="H35" s="111" t="s">
        <v>1666</v>
      </c>
      <c r="I35" s="111" t="s">
        <v>1269</v>
      </c>
      <c r="J35" s="111" t="s">
        <v>1360</v>
      </c>
      <c r="K35" s="111" t="s">
        <v>1745</v>
      </c>
      <c r="L35" s="111" t="s">
        <v>1788</v>
      </c>
      <c r="M35" s="170" t="s">
        <v>1646</v>
      </c>
      <c r="N35" s="111">
        <v>1</v>
      </c>
    </row>
    <row r="36" spans="1:14">
      <c r="A36" s="2" t="s">
        <v>1367</v>
      </c>
      <c r="B36" s="111" t="s">
        <v>1368</v>
      </c>
      <c r="C36" s="111" t="s">
        <v>1214</v>
      </c>
      <c r="D36" s="111" t="s">
        <v>1326</v>
      </c>
      <c r="E36" s="111" t="s">
        <v>1348</v>
      </c>
      <c r="F36" s="111" t="s">
        <v>1789</v>
      </c>
      <c r="G36" s="111" t="s">
        <v>1790</v>
      </c>
      <c r="H36" s="111" t="s">
        <v>1396</v>
      </c>
      <c r="I36" s="111" t="s">
        <v>1269</v>
      </c>
      <c r="J36" s="111" t="s">
        <v>1369</v>
      </c>
      <c r="K36" s="111" t="s">
        <v>1745</v>
      </c>
      <c r="L36" s="111" t="s">
        <v>1791</v>
      </c>
      <c r="M36" s="111" t="s">
        <v>1269</v>
      </c>
      <c r="N36" s="111">
        <v>1</v>
      </c>
    </row>
    <row r="37" spans="1:14">
      <c r="A37" s="2" t="s">
        <v>1376</v>
      </c>
      <c r="B37" s="111" t="s">
        <v>1377</v>
      </c>
      <c r="C37" s="111" t="s">
        <v>1214</v>
      </c>
      <c r="D37" s="111" t="s">
        <v>1326</v>
      </c>
      <c r="E37" s="111" t="s">
        <v>1348</v>
      </c>
      <c r="F37" s="111" t="s">
        <v>1792</v>
      </c>
      <c r="G37" s="111" t="s">
        <v>1793</v>
      </c>
      <c r="H37" s="111" t="s">
        <v>1396</v>
      </c>
      <c r="I37" s="111" t="s">
        <v>1269</v>
      </c>
      <c r="J37" s="111" t="s">
        <v>1545</v>
      </c>
      <c r="K37" s="111" t="s">
        <v>1683</v>
      </c>
      <c r="L37" s="111" t="s">
        <v>1794</v>
      </c>
      <c r="M37" s="111" t="s">
        <v>1269</v>
      </c>
      <c r="N37" s="111">
        <v>1</v>
      </c>
    </row>
    <row r="38" spans="1:14">
      <c r="A38" s="2" t="s">
        <v>1385</v>
      </c>
      <c r="B38" s="111" t="s">
        <v>1368</v>
      </c>
      <c r="C38" s="111" t="s">
        <v>1214</v>
      </c>
      <c r="D38" s="111" t="s">
        <v>1326</v>
      </c>
      <c r="E38" s="111" t="s">
        <v>1348</v>
      </c>
      <c r="F38" s="111" t="s">
        <v>1795</v>
      </c>
      <c r="G38" s="111" t="s">
        <v>1796</v>
      </c>
      <c r="H38" s="111" t="s">
        <v>1396</v>
      </c>
      <c r="I38" s="111" t="s">
        <v>1269</v>
      </c>
      <c r="J38" s="111" t="s">
        <v>1369</v>
      </c>
      <c r="K38" s="111" t="s">
        <v>1745</v>
      </c>
      <c r="L38" s="111" t="s">
        <v>1791</v>
      </c>
      <c r="M38" s="111" t="s">
        <v>1269</v>
      </c>
      <c r="N38" s="111">
        <v>1</v>
      </c>
    </row>
    <row r="39" spans="1:14">
      <c r="A39" s="2" t="s">
        <v>1387</v>
      </c>
      <c r="B39" s="111" t="s">
        <v>926</v>
      </c>
      <c r="C39" s="111" t="s">
        <v>1214</v>
      </c>
      <c r="D39" s="111" t="s">
        <v>1326</v>
      </c>
      <c r="E39" s="219" t="s">
        <v>1419</v>
      </c>
      <c r="F39" s="111" t="s">
        <v>1797</v>
      </c>
      <c r="G39" s="111" t="s">
        <v>1798</v>
      </c>
      <c r="H39" s="111" t="s">
        <v>1396</v>
      </c>
      <c r="I39" s="111" t="s">
        <v>1269</v>
      </c>
      <c r="J39" s="111" t="s">
        <v>1388</v>
      </c>
      <c r="K39" s="111" t="s">
        <v>1683</v>
      </c>
      <c r="L39" s="111" t="s">
        <v>1799</v>
      </c>
      <c r="M39" s="111" t="s">
        <v>1269</v>
      </c>
      <c r="N39" s="111">
        <v>1</v>
      </c>
    </row>
    <row r="40" spans="1:14">
      <c r="A40" s="2" t="s">
        <v>1392</v>
      </c>
      <c r="B40" s="111" t="s">
        <v>926</v>
      </c>
      <c r="C40" s="111" t="s">
        <v>1214</v>
      </c>
      <c r="D40" s="111" t="s">
        <v>1326</v>
      </c>
      <c r="E40" s="111" t="s">
        <v>1393</v>
      </c>
      <c r="F40" s="111" t="s">
        <v>1394</v>
      </c>
      <c r="G40" s="111" t="s">
        <v>1395</v>
      </c>
      <c r="H40" s="111" t="s">
        <v>1396</v>
      </c>
      <c r="I40" s="111" t="s">
        <v>1269</v>
      </c>
      <c r="J40" s="182" t="s">
        <v>1263</v>
      </c>
      <c r="K40" s="111" t="s">
        <v>1745</v>
      </c>
      <c r="L40" s="111" t="s">
        <v>1746</v>
      </c>
      <c r="M40" s="170" t="s">
        <v>1646</v>
      </c>
      <c r="N40" s="111">
        <v>1</v>
      </c>
    </row>
    <row r="41" spans="1:14" hidden="1">
      <c r="A41" s="186" t="s">
        <v>1403</v>
      </c>
      <c r="B41" s="172" t="s">
        <v>1801</v>
      </c>
      <c r="C41" s="111" t="s">
        <v>1214</v>
      </c>
      <c r="D41" s="111" t="s">
        <v>1326</v>
      </c>
      <c r="E41" s="111" t="s">
        <v>926</v>
      </c>
      <c r="G41" s="111" t="s">
        <v>1615</v>
      </c>
      <c r="H41" s="111" t="s">
        <v>1615</v>
      </c>
      <c r="I41" s="111" t="s">
        <v>926</v>
      </c>
      <c r="J41" s="111" t="s">
        <v>1404</v>
      </c>
      <c r="K41" s="111" t="s">
        <v>1745</v>
      </c>
      <c r="L41" s="111" t="s">
        <v>1791</v>
      </c>
      <c r="M41" s="111" t="s">
        <v>926</v>
      </c>
      <c r="N41" s="111" t="s">
        <v>926</v>
      </c>
    </row>
    <row r="42" spans="1:14">
      <c r="A42" s="2" t="s">
        <v>1406</v>
      </c>
      <c r="B42" s="111" t="s">
        <v>926</v>
      </c>
      <c r="C42" s="111" t="s">
        <v>1214</v>
      </c>
      <c r="D42" s="111" t="s">
        <v>1326</v>
      </c>
      <c r="E42" s="111" t="s">
        <v>1393</v>
      </c>
      <c r="F42" s="111" t="s">
        <v>1407</v>
      </c>
      <c r="G42" s="111" t="s">
        <v>1408</v>
      </c>
      <c r="H42" s="111" t="s">
        <v>1396</v>
      </c>
      <c r="I42" s="111" t="s">
        <v>1269</v>
      </c>
      <c r="J42" s="170" t="s">
        <v>1263</v>
      </c>
      <c r="K42" s="111" t="s">
        <v>1745</v>
      </c>
      <c r="L42" s="111" t="s">
        <v>1746</v>
      </c>
      <c r="M42" s="170" t="s">
        <v>1646</v>
      </c>
      <c r="N42" s="111">
        <v>1</v>
      </c>
    </row>
    <row r="43" spans="1:14">
      <c r="A43" s="2" t="s">
        <v>1418</v>
      </c>
      <c r="B43" s="111" t="s">
        <v>926</v>
      </c>
      <c r="C43" s="111" t="s">
        <v>1214</v>
      </c>
      <c r="D43" s="111" t="s">
        <v>1326</v>
      </c>
      <c r="E43" s="111" t="s">
        <v>1419</v>
      </c>
      <c r="F43" s="111" t="s">
        <v>1803</v>
      </c>
      <c r="G43" s="111" t="s">
        <v>1804</v>
      </c>
      <c r="H43" s="111" t="s">
        <v>1666</v>
      </c>
      <c r="I43" s="111" t="s">
        <v>1269</v>
      </c>
      <c r="J43" s="111" t="s">
        <v>1211</v>
      </c>
      <c r="K43" s="111" t="s">
        <v>470</v>
      </c>
      <c r="L43" s="111" t="s">
        <v>1670</v>
      </c>
      <c r="M43" s="111" t="s">
        <v>1269</v>
      </c>
      <c r="N43" s="111">
        <v>1</v>
      </c>
    </row>
    <row r="44" spans="1:14">
      <c r="A44" s="2" t="s">
        <v>1427</v>
      </c>
      <c r="B44" s="111" t="s">
        <v>926</v>
      </c>
      <c r="C44" s="111" t="s">
        <v>1214</v>
      </c>
      <c r="D44" s="111" t="s">
        <v>1326</v>
      </c>
      <c r="E44" s="111" t="s">
        <v>1428</v>
      </c>
      <c r="F44" s="111" t="s">
        <v>1806</v>
      </c>
      <c r="G44" s="111" t="s">
        <v>1807</v>
      </c>
      <c r="H44" s="111" t="s">
        <v>1396</v>
      </c>
      <c r="I44" s="111" t="s">
        <v>1269</v>
      </c>
      <c r="J44" s="111" t="s">
        <v>1211</v>
      </c>
      <c r="K44" s="111" t="s">
        <v>470</v>
      </c>
      <c r="L44" s="111" t="s">
        <v>1670</v>
      </c>
      <c r="M44" s="111" t="s">
        <v>1269</v>
      </c>
      <c r="N44" s="111">
        <v>1</v>
      </c>
    </row>
    <row r="45" spans="1:14">
      <c r="A45" s="2" t="s">
        <v>1434</v>
      </c>
      <c r="B45" s="111" t="s">
        <v>926</v>
      </c>
      <c r="C45" s="111" t="s">
        <v>1214</v>
      </c>
      <c r="D45" s="111" t="s">
        <v>1326</v>
      </c>
      <c r="E45" s="111" t="s">
        <v>1428</v>
      </c>
      <c r="F45" s="111" t="s">
        <v>1808</v>
      </c>
      <c r="G45" s="111" t="s">
        <v>1809</v>
      </c>
      <c r="H45" s="111" t="s">
        <v>1396</v>
      </c>
      <c r="I45" s="111" t="s">
        <v>1269</v>
      </c>
      <c r="J45" s="111" t="s">
        <v>1211</v>
      </c>
      <c r="K45" s="111" t="s">
        <v>470</v>
      </c>
      <c r="L45" s="111" t="s">
        <v>1670</v>
      </c>
      <c r="M45" s="111" t="s">
        <v>1269</v>
      </c>
      <c r="N45" s="111">
        <v>1</v>
      </c>
    </row>
    <row r="46" spans="1:14">
      <c r="A46" s="2" t="s">
        <v>1437</v>
      </c>
      <c r="B46" s="111" t="s">
        <v>926</v>
      </c>
      <c r="C46" s="111" t="s">
        <v>1214</v>
      </c>
      <c r="D46" s="111" t="s">
        <v>1326</v>
      </c>
      <c r="E46" s="111" t="s">
        <v>1327</v>
      </c>
      <c r="F46" s="111" t="s">
        <v>1811</v>
      </c>
      <c r="G46" s="111" t="s">
        <v>1812</v>
      </c>
      <c r="H46" s="111" t="s">
        <v>1396</v>
      </c>
      <c r="I46" s="111" t="s">
        <v>1269</v>
      </c>
      <c r="J46" s="111" t="s">
        <v>1211</v>
      </c>
      <c r="K46" s="111" t="s">
        <v>470</v>
      </c>
      <c r="L46" s="111" t="s">
        <v>1670</v>
      </c>
      <c r="M46" s="111" t="s">
        <v>1269</v>
      </c>
      <c r="N46" s="111">
        <v>1</v>
      </c>
    </row>
    <row r="47" spans="1:14" hidden="1">
      <c r="A47" s="181" t="s">
        <v>1442</v>
      </c>
      <c r="B47" s="111" t="s">
        <v>926</v>
      </c>
      <c r="C47" s="111" t="s">
        <v>1214</v>
      </c>
      <c r="D47" s="111" t="s">
        <v>1326</v>
      </c>
      <c r="E47" s="111" t="s">
        <v>1419</v>
      </c>
      <c r="F47" s="111" t="s">
        <v>1814</v>
      </c>
      <c r="G47" s="111" t="s">
        <v>1815</v>
      </c>
      <c r="H47" s="111" t="s">
        <v>1396</v>
      </c>
      <c r="I47" s="111" t="s">
        <v>1269</v>
      </c>
      <c r="J47" s="170" t="s">
        <v>1211</v>
      </c>
      <c r="K47" s="111" t="s">
        <v>470</v>
      </c>
      <c r="L47" s="111" t="s">
        <v>1670</v>
      </c>
      <c r="M47" s="111" t="s">
        <v>1269</v>
      </c>
      <c r="N47" s="184" t="s">
        <v>926</v>
      </c>
    </row>
    <row r="48" spans="1:14" hidden="1">
      <c r="A48" s="2" t="s">
        <v>1446</v>
      </c>
      <c r="B48" s="111" t="s">
        <v>1447</v>
      </c>
      <c r="C48" s="111" t="s">
        <v>1214</v>
      </c>
      <c r="D48" s="111" t="s">
        <v>1326</v>
      </c>
      <c r="E48" s="111" t="s">
        <v>1419</v>
      </c>
      <c r="F48" s="111" t="s">
        <v>1615</v>
      </c>
      <c r="G48" s="111" t="s">
        <v>1615</v>
      </c>
      <c r="H48" s="111" t="s">
        <v>1615</v>
      </c>
      <c r="I48" s="111" t="s">
        <v>926</v>
      </c>
      <c r="J48" s="111" t="s">
        <v>1817</v>
      </c>
      <c r="K48" s="111" t="s">
        <v>470</v>
      </c>
      <c r="L48" s="111" t="s">
        <v>1818</v>
      </c>
      <c r="M48" s="111" t="s">
        <v>926</v>
      </c>
      <c r="N48" s="111" t="s">
        <v>926</v>
      </c>
    </row>
    <row r="49" spans="1:14">
      <c r="A49" s="2" t="s">
        <v>1454</v>
      </c>
      <c r="B49" s="111" t="s">
        <v>926</v>
      </c>
      <c r="C49" s="111" t="s">
        <v>1455</v>
      </c>
      <c r="D49" s="111" t="s">
        <v>1456</v>
      </c>
      <c r="E49" s="111" t="s">
        <v>926</v>
      </c>
      <c r="F49" s="111" t="s">
        <v>1820</v>
      </c>
      <c r="G49" s="111" t="s">
        <v>1821</v>
      </c>
      <c r="H49" s="111" t="s">
        <v>1666</v>
      </c>
      <c r="I49" s="111" t="s">
        <v>1269</v>
      </c>
      <c r="J49" s="111" t="s">
        <v>1192</v>
      </c>
      <c r="K49" s="111" t="s">
        <v>1683</v>
      </c>
      <c r="L49" s="111" t="s">
        <v>1684</v>
      </c>
      <c r="M49" s="111" t="s">
        <v>1269</v>
      </c>
      <c r="N49" s="111">
        <v>1</v>
      </c>
    </row>
    <row r="50" spans="1:14">
      <c r="A50" s="2" t="s">
        <v>1463</v>
      </c>
      <c r="B50" s="111" t="s">
        <v>926</v>
      </c>
      <c r="C50" s="111" t="s">
        <v>1455</v>
      </c>
      <c r="D50" s="111" t="s">
        <v>1456</v>
      </c>
      <c r="E50" s="111" t="s">
        <v>926</v>
      </c>
      <c r="F50" s="111" t="s">
        <v>1823</v>
      </c>
      <c r="G50" s="111" t="s">
        <v>1824</v>
      </c>
      <c r="H50" s="111" t="s">
        <v>1666</v>
      </c>
      <c r="I50" s="111" t="s">
        <v>1269</v>
      </c>
      <c r="J50" s="170" t="s">
        <v>1192</v>
      </c>
      <c r="K50" s="111" t="s">
        <v>1683</v>
      </c>
      <c r="L50" s="111" t="s">
        <v>1684</v>
      </c>
      <c r="M50" s="111" t="s">
        <v>1269</v>
      </c>
      <c r="N50" s="111">
        <v>1</v>
      </c>
    </row>
    <row r="51" spans="1:14" hidden="1">
      <c r="A51" s="181" t="s">
        <v>1465</v>
      </c>
      <c r="B51" s="111" t="s">
        <v>926</v>
      </c>
      <c r="C51" s="111" t="s">
        <v>1455</v>
      </c>
      <c r="D51" s="111" t="s">
        <v>1456</v>
      </c>
      <c r="E51" s="111" t="s">
        <v>926</v>
      </c>
      <c r="F51" s="111" t="s">
        <v>1826</v>
      </c>
      <c r="G51" s="111" t="s">
        <v>1827</v>
      </c>
      <c r="H51" s="111" t="s">
        <v>1666</v>
      </c>
      <c r="I51" s="111" t="s">
        <v>1269</v>
      </c>
      <c r="J51" s="170" t="s">
        <v>1192</v>
      </c>
      <c r="K51" s="111" t="s">
        <v>1683</v>
      </c>
      <c r="L51" s="111" t="s">
        <v>1684</v>
      </c>
      <c r="M51" s="111" t="s">
        <v>1269</v>
      </c>
      <c r="N51" s="184" t="s">
        <v>926</v>
      </c>
    </row>
    <row r="52" spans="1:14">
      <c r="A52" s="2" t="s">
        <v>1469</v>
      </c>
      <c r="B52" s="111" t="s">
        <v>926</v>
      </c>
      <c r="C52" s="111" t="s">
        <v>1470</v>
      </c>
      <c r="D52" s="111" t="s">
        <v>1471</v>
      </c>
      <c r="E52" s="111" t="s">
        <v>926</v>
      </c>
      <c r="F52" s="111" t="s">
        <v>1830</v>
      </c>
      <c r="G52" s="111" t="s">
        <v>1831</v>
      </c>
      <c r="H52" s="111" t="s">
        <v>1666</v>
      </c>
      <c r="I52" s="111" t="s">
        <v>1148</v>
      </c>
      <c r="J52" s="170" t="s">
        <v>1211</v>
      </c>
      <c r="K52" s="111" t="s">
        <v>470</v>
      </c>
      <c r="L52" s="111" t="s">
        <v>1670</v>
      </c>
      <c r="M52" s="111" t="s">
        <v>1148</v>
      </c>
      <c r="N52" s="111">
        <v>1</v>
      </c>
    </row>
    <row r="53" spans="1:14">
      <c r="A53" s="2" t="s">
        <v>1475</v>
      </c>
      <c r="B53" s="111" t="s">
        <v>926</v>
      </c>
      <c r="C53" s="111" t="s">
        <v>1470</v>
      </c>
      <c r="D53" s="111" t="s">
        <v>1471</v>
      </c>
      <c r="E53" s="111" t="s">
        <v>926</v>
      </c>
      <c r="F53" s="111" t="s">
        <v>1837</v>
      </c>
      <c r="G53" s="111" t="s">
        <v>1838</v>
      </c>
      <c r="H53" s="111" t="s">
        <v>1666</v>
      </c>
      <c r="I53" s="111" t="s">
        <v>1148</v>
      </c>
      <c r="J53" s="170" t="s">
        <v>1211</v>
      </c>
      <c r="K53" s="111" t="s">
        <v>470</v>
      </c>
      <c r="L53" s="111" t="s">
        <v>1670</v>
      </c>
      <c r="M53" s="111" t="s">
        <v>1148</v>
      </c>
      <c r="N53" s="111">
        <v>1</v>
      </c>
    </row>
    <row r="54" spans="1:14">
      <c r="A54" s="2" t="s">
        <v>1481</v>
      </c>
      <c r="B54" s="111" t="s">
        <v>926</v>
      </c>
      <c r="C54" s="111" t="s">
        <v>1470</v>
      </c>
      <c r="D54" s="111" t="s">
        <v>1471</v>
      </c>
      <c r="E54" s="111" t="s">
        <v>926</v>
      </c>
      <c r="F54" s="111" t="s">
        <v>1843</v>
      </c>
      <c r="G54" s="111" t="s">
        <v>1844</v>
      </c>
      <c r="H54" s="111" t="s">
        <v>1666</v>
      </c>
      <c r="I54" s="111" t="s">
        <v>1148</v>
      </c>
      <c r="J54" s="170" t="s">
        <v>1211</v>
      </c>
      <c r="K54" s="111" t="s">
        <v>470</v>
      </c>
      <c r="L54" s="111" t="s">
        <v>1670</v>
      </c>
      <c r="M54" s="111" t="s">
        <v>1148</v>
      </c>
      <c r="N54" s="111">
        <v>1</v>
      </c>
    </row>
    <row r="55" spans="1:14" hidden="1">
      <c r="A55" s="191" t="s">
        <v>1486</v>
      </c>
      <c r="B55" s="111" t="s">
        <v>926</v>
      </c>
      <c r="C55" s="111" t="s">
        <v>1470</v>
      </c>
      <c r="D55" s="111" t="s">
        <v>1471</v>
      </c>
      <c r="E55" s="111" t="s">
        <v>926</v>
      </c>
      <c r="F55" s="111" t="s">
        <v>1615</v>
      </c>
      <c r="G55" s="111" t="s">
        <v>1615</v>
      </c>
      <c r="H55" s="111" t="s">
        <v>1615</v>
      </c>
      <c r="I55" s="111" t="s">
        <v>1148</v>
      </c>
      <c r="J55" s="170" t="s">
        <v>1211</v>
      </c>
      <c r="K55" s="111" t="s">
        <v>470</v>
      </c>
      <c r="L55" s="111" t="s">
        <v>1670</v>
      </c>
      <c r="M55" s="111" t="s">
        <v>1148</v>
      </c>
      <c r="N55" s="111" t="s">
        <v>1958</v>
      </c>
    </row>
    <row r="56" spans="1:14" hidden="1">
      <c r="A56" s="186" t="s">
        <v>1492</v>
      </c>
      <c r="B56" s="111" t="s">
        <v>926</v>
      </c>
      <c r="C56" s="111" t="s">
        <v>1470</v>
      </c>
      <c r="D56" s="111" t="s">
        <v>1471</v>
      </c>
      <c r="E56" s="111" t="s">
        <v>926</v>
      </c>
      <c r="F56" s="111" t="s">
        <v>1615</v>
      </c>
      <c r="G56" s="111" t="s">
        <v>1615</v>
      </c>
      <c r="H56" s="111" t="s">
        <v>1615</v>
      </c>
      <c r="I56" s="111" t="s">
        <v>926</v>
      </c>
      <c r="J56" s="170" t="s">
        <v>1211</v>
      </c>
      <c r="K56" s="111" t="s">
        <v>470</v>
      </c>
      <c r="L56" s="111" t="s">
        <v>1670</v>
      </c>
      <c r="M56" s="111" t="s">
        <v>926</v>
      </c>
      <c r="N56" s="111" t="s">
        <v>926</v>
      </c>
    </row>
    <row r="57" spans="1:14" hidden="1">
      <c r="A57" s="186" t="s">
        <v>1497</v>
      </c>
      <c r="B57" s="111" t="s">
        <v>926</v>
      </c>
      <c r="C57" s="111" t="s">
        <v>1470</v>
      </c>
      <c r="D57" s="111" t="s">
        <v>1471</v>
      </c>
      <c r="E57" s="111" t="s">
        <v>926</v>
      </c>
      <c r="F57" s="111" t="s">
        <v>1615</v>
      </c>
      <c r="G57" s="111" t="s">
        <v>1615</v>
      </c>
      <c r="H57" s="111" t="s">
        <v>1615</v>
      </c>
      <c r="I57" s="111" t="s">
        <v>926</v>
      </c>
      <c r="J57" s="170" t="s">
        <v>1211</v>
      </c>
      <c r="K57" s="111" t="s">
        <v>470</v>
      </c>
      <c r="L57" s="111" t="s">
        <v>1670</v>
      </c>
      <c r="M57" s="111" t="s">
        <v>926</v>
      </c>
      <c r="N57" s="111" t="s">
        <v>926</v>
      </c>
    </row>
    <row r="58" spans="1:14" hidden="1">
      <c r="A58" s="186" t="s">
        <v>1499</v>
      </c>
      <c r="B58" s="111" t="s">
        <v>926</v>
      </c>
      <c r="C58" s="111" t="s">
        <v>1470</v>
      </c>
      <c r="D58" s="111" t="s">
        <v>1471</v>
      </c>
      <c r="E58" s="111" t="s">
        <v>926</v>
      </c>
      <c r="F58" s="111" t="s">
        <v>1615</v>
      </c>
      <c r="G58" s="111" t="s">
        <v>1615</v>
      </c>
      <c r="H58" s="111" t="s">
        <v>1615</v>
      </c>
      <c r="I58" s="111" t="s">
        <v>926</v>
      </c>
      <c r="J58" s="170" t="s">
        <v>1211</v>
      </c>
      <c r="K58" s="111" t="s">
        <v>470</v>
      </c>
      <c r="L58" s="111" t="s">
        <v>1670</v>
      </c>
      <c r="M58" s="111" t="s">
        <v>926</v>
      </c>
      <c r="N58" s="111" t="s">
        <v>926</v>
      </c>
    </row>
    <row r="59" spans="1:14">
      <c r="A59" s="2" t="s">
        <v>1502</v>
      </c>
      <c r="B59" s="111" t="s">
        <v>926</v>
      </c>
      <c r="C59" s="111" t="s">
        <v>1290</v>
      </c>
      <c r="D59" s="111" t="s">
        <v>1291</v>
      </c>
      <c r="E59" s="111" t="s">
        <v>926</v>
      </c>
      <c r="F59" s="111" t="s">
        <v>1857</v>
      </c>
      <c r="G59" s="111" t="s">
        <v>1858</v>
      </c>
      <c r="H59" s="111" t="s">
        <v>1666</v>
      </c>
      <c r="I59" s="111" t="s">
        <v>1269</v>
      </c>
      <c r="J59" s="170" t="s">
        <v>1211</v>
      </c>
      <c r="K59" s="111" t="s">
        <v>470</v>
      </c>
      <c r="L59" s="111" t="s">
        <v>1670</v>
      </c>
      <c r="M59" s="111" t="s">
        <v>1269</v>
      </c>
      <c r="N59" s="111">
        <v>1</v>
      </c>
    </row>
    <row r="60" spans="1:14" hidden="1">
      <c r="A60" s="195" t="s">
        <v>1507</v>
      </c>
      <c r="B60" s="196" t="s">
        <v>926</v>
      </c>
      <c r="C60" s="196" t="s">
        <v>1290</v>
      </c>
      <c r="D60" s="196" t="s">
        <v>1291</v>
      </c>
      <c r="E60" s="196" t="s">
        <v>926</v>
      </c>
      <c r="F60" s="196" t="s">
        <v>1615</v>
      </c>
      <c r="G60" s="196" t="s">
        <v>1615</v>
      </c>
      <c r="H60" s="197" t="s">
        <v>1615</v>
      </c>
      <c r="I60" s="196" t="s">
        <v>1269</v>
      </c>
      <c r="J60" s="196" t="s">
        <v>1211</v>
      </c>
      <c r="K60" s="196" t="s">
        <v>470</v>
      </c>
      <c r="L60" s="196" t="s">
        <v>1670</v>
      </c>
      <c r="M60" s="196" t="s">
        <v>1269</v>
      </c>
      <c r="N60" s="196" t="s">
        <v>926</v>
      </c>
    </row>
    <row r="61" spans="1:14" hidden="1">
      <c r="A61" s="195" t="s">
        <v>1513</v>
      </c>
      <c r="B61" s="196" t="s">
        <v>926</v>
      </c>
      <c r="C61" s="196" t="s">
        <v>1290</v>
      </c>
      <c r="D61" s="196" t="s">
        <v>1291</v>
      </c>
      <c r="E61" s="196" t="s">
        <v>926</v>
      </c>
      <c r="F61" s="196" t="s">
        <v>1615</v>
      </c>
      <c r="G61" s="196" t="s">
        <v>1615</v>
      </c>
      <c r="H61" s="197" t="s">
        <v>1615</v>
      </c>
      <c r="I61" s="196" t="s">
        <v>1269</v>
      </c>
      <c r="J61" s="196" t="s">
        <v>1211</v>
      </c>
      <c r="K61" s="196" t="s">
        <v>470</v>
      </c>
      <c r="L61" s="196" t="s">
        <v>1670</v>
      </c>
      <c r="M61" s="196" t="s">
        <v>1269</v>
      </c>
      <c r="N61" s="196" t="s">
        <v>926</v>
      </c>
    </row>
    <row r="62" spans="1:14">
      <c r="A62" s="2" t="s">
        <v>1520</v>
      </c>
      <c r="B62" s="111" t="s">
        <v>926</v>
      </c>
      <c r="C62" s="111" t="s">
        <v>1290</v>
      </c>
      <c r="D62" s="111" t="s">
        <v>926</v>
      </c>
      <c r="E62" s="111" t="s">
        <v>926</v>
      </c>
      <c r="F62" s="111" t="s">
        <v>1859</v>
      </c>
      <c r="G62" s="111" t="s">
        <v>1860</v>
      </c>
      <c r="H62" s="111" t="s">
        <v>1666</v>
      </c>
      <c r="I62" s="111" t="s">
        <v>1148</v>
      </c>
      <c r="J62" s="111" t="s">
        <v>1523</v>
      </c>
      <c r="K62" s="111" t="s">
        <v>1861</v>
      </c>
      <c r="L62" s="111" t="s">
        <v>926</v>
      </c>
      <c r="M62" s="111" t="s">
        <v>1148</v>
      </c>
      <c r="N62" s="111">
        <v>1</v>
      </c>
    </row>
    <row r="63" spans="1:14">
      <c r="A63" s="2" t="s">
        <v>1521</v>
      </c>
      <c r="B63" s="111" t="s">
        <v>926</v>
      </c>
      <c r="C63" s="111" t="s">
        <v>1290</v>
      </c>
      <c r="D63" s="111" t="s">
        <v>1522</v>
      </c>
      <c r="E63" s="111" t="s">
        <v>926</v>
      </c>
      <c r="F63" s="111" t="s">
        <v>1868</v>
      </c>
      <c r="G63" s="111" t="s">
        <v>1869</v>
      </c>
      <c r="H63" s="111" t="s">
        <v>1396</v>
      </c>
      <c r="I63" s="111" t="s">
        <v>1269</v>
      </c>
      <c r="J63" s="111" t="s">
        <v>1523</v>
      </c>
      <c r="K63" s="111" t="s">
        <v>1861</v>
      </c>
      <c r="L63" s="111" t="s">
        <v>926</v>
      </c>
      <c r="M63" s="111" t="s">
        <v>1269</v>
      </c>
      <c r="N63" s="111">
        <v>1</v>
      </c>
    </row>
    <row r="64" spans="1:14" hidden="1">
      <c r="A64" s="2" t="s">
        <v>1524</v>
      </c>
      <c r="B64" s="111" t="s">
        <v>926</v>
      </c>
      <c r="C64" s="111" t="s">
        <v>1290</v>
      </c>
      <c r="D64" s="111" t="s">
        <v>1522</v>
      </c>
      <c r="E64" s="111" t="s">
        <v>926</v>
      </c>
      <c r="F64" s="111" t="s">
        <v>1876</v>
      </c>
      <c r="G64" s="111" t="s">
        <v>1877</v>
      </c>
      <c r="H64" s="111" t="s">
        <v>1666</v>
      </c>
      <c r="I64" s="111" t="s">
        <v>1269</v>
      </c>
      <c r="J64" s="111" t="s">
        <v>1523</v>
      </c>
      <c r="K64" s="111" t="s">
        <v>1861</v>
      </c>
      <c r="L64" s="111" t="s">
        <v>926</v>
      </c>
      <c r="M64" s="111" t="s">
        <v>1269</v>
      </c>
      <c r="N64" s="111" t="s">
        <v>1958</v>
      </c>
    </row>
    <row r="65" spans="1:14" hidden="1">
      <c r="A65" s="181" t="s">
        <v>1525</v>
      </c>
      <c r="B65" s="111" t="s">
        <v>926</v>
      </c>
      <c r="C65" s="111" t="s">
        <v>1290</v>
      </c>
      <c r="D65" s="111" t="s">
        <v>1522</v>
      </c>
      <c r="E65" s="111" t="s">
        <v>926</v>
      </c>
      <c r="F65" s="111" t="s">
        <v>1885</v>
      </c>
      <c r="G65" s="111" t="s">
        <v>1886</v>
      </c>
      <c r="H65" s="111" t="s">
        <v>1666</v>
      </c>
      <c r="I65" s="111" t="s">
        <v>1269</v>
      </c>
      <c r="J65" s="111" t="s">
        <v>1523</v>
      </c>
      <c r="K65" s="111" t="s">
        <v>1861</v>
      </c>
      <c r="L65" s="111" t="s">
        <v>926</v>
      </c>
      <c r="M65" s="111" t="s">
        <v>1269</v>
      </c>
      <c r="N65" s="184" t="s">
        <v>926</v>
      </c>
    </row>
    <row r="66" spans="1:14" hidden="1">
      <c r="A66" s="181" t="s">
        <v>1526</v>
      </c>
      <c r="B66" s="111" t="s">
        <v>926</v>
      </c>
      <c r="C66" s="111" t="s">
        <v>1290</v>
      </c>
      <c r="D66" s="111" t="s">
        <v>1522</v>
      </c>
      <c r="E66" s="111" t="s">
        <v>926</v>
      </c>
      <c r="F66" s="111" t="s">
        <v>1891</v>
      </c>
      <c r="G66" s="111" t="s">
        <v>1892</v>
      </c>
      <c r="H66" s="111" t="s">
        <v>1666</v>
      </c>
      <c r="I66" s="204" t="s">
        <v>1148</v>
      </c>
      <c r="J66" s="111" t="s">
        <v>1523</v>
      </c>
      <c r="K66" s="111" t="s">
        <v>1861</v>
      </c>
      <c r="L66" s="111" t="s">
        <v>926</v>
      </c>
      <c r="M66" s="111" t="s">
        <v>1148</v>
      </c>
      <c r="N66" s="184" t="s">
        <v>926</v>
      </c>
    </row>
    <row r="67" spans="1:14">
      <c r="A67" s="2" t="s">
        <v>1528</v>
      </c>
      <c r="B67" s="111" t="s">
        <v>926</v>
      </c>
      <c r="C67" s="111" t="s">
        <v>1290</v>
      </c>
      <c r="D67" s="111" t="s">
        <v>1522</v>
      </c>
      <c r="E67" s="111" t="s">
        <v>926</v>
      </c>
      <c r="F67" s="111" t="s">
        <v>1897</v>
      </c>
      <c r="G67" s="111" t="s">
        <v>1898</v>
      </c>
      <c r="H67" s="111" t="s">
        <v>1666</v>
      </c>
      <c r="I67" s="111" t="s">
        <v>1148</v>
      </c>
      <c r="J67" s="111" t="s">
        <v>1523</v>
      </c>
      <c r="K67" s="111" t="s">
        <v>1861</v>
      </c>
      <c r="L67" s="111" t="s">
        <v>926</v>
      </c>
      <c r="M67" s="111" t="s">
        <v>1148</v>
      </c>
      <c r="N67" s="111">
        <v>1</v>
      </c>
    </row>
    <row r="68" spans="1:14" hidden="1">
      <c r="A68" s="2" t="s">
        <v>1899</v>
      </c>
      <c r="B68" s="111" t="s">
        <v>1538</v>
      </c>
      <c r="C68" s="111" t="s">
        <v>1214</v>
      </c>
      <c r="D68" s="111" t="s">
        <v>1326</v>
      </c>
      <c r="E68" s="111" t="s">
        <v>1327</v>
      </c>
      <c r="F68" s="111" t="s">
        <v>1615</v>
      </c>
      <c r="G68" s="111" t="s">
        <v>1615</v>
      </c>
      <c r="H68" s="111" t="s">
        <v>1615</v>
      </c>
      <c r="I68" s="111" t="s">
        <v>926</v>
      </c>
      <c r="J68" s="170" t="s">
        <v>1335</v>
      </c>
      <c r="K68" s="111" t="s">
        <v>1745</v>
      </c>
      <c r="L68" s="111" t="s">
        <v>1779</v>
      </c>
      <c r="M68" s="111" t="s">
        <v>926</v>
      </c>
      <c r="N68" s="111" t="s">
        <v>926</v>
      </c>
    </row>
    <row r="69" spans="1:14" hidden="1">
      <c r="A69" s="2" t="s">
        <v>1905</v>
      </c>
      <c r="B69" s="111" t="s">
        <v>1538</v>
      </c>
      <c r="C69" s="111" t="s">
        <v>1214</v>
      </c>
      <c r="D69" s="111" t="s">
        <v>1326</v>
      </c>
      <c r="E69" s="111" t="s">
        <v>1327</v>
      </c>
      <c r="F69" s="111" t="s">
        <v>1615</v>
      </c>
      <c r="G69" s="111" t="s">
        <v>1615</v>
      </c>
      <c r="H69" s="111" t="s">
        <v>1615</v>
      </c>
      <c r="I69" s="111" t="s">
        <v>926</v>
      </c>
      <c r="J69" s="170" t="s">
        <v>1335</v>
      </c>
      <c r="K69" s="111" t="s">
        <v>1745</v>
      </c>
      <c r="L69" s="111" t="s">
        <v>1779</v>
      </c>
      <c r="M69" s="111" t="s">
        <v>926</v>
      </c>
      <c r="N69" s="111" t="s">
        <v>926</v>
      </c>
    </row>
    <row r="70" spans="1:14" hidden="1">
      <c r="A70" s="2" t="s">
        <v>1911</v>
      </c>
      <c r="B70" s="111" t="s">
        <v>1538</v>
      </c>
      <c r="C70" s="111" t="s">
        <v>1214</v>
      </c>
      <c r="D70" s="111" t="s">
        <v>1326</v>
      </c>
      <c r="E70" s="111" t="s">
        <v>1327</v>
      </c>
      <c r="F70" s="111" t="s">
        <v>1615</v>
      </c>
      <c r="G70" s="111" t="s">
        <v>1615</v>
      </c>
      <c r="H70" s="111" t="s">
        <v>1615</v>
      </c>
      <c r="I70" s="111" t="s">
        <v>926</v>
      </c>
      <c r="J70" s="170" t="s">
        <v>1335</v>
      </c>
      <c r="K70" s="111" t="s">
        <v>1745</v>
      </c>
      <c r="L70" s="111" t="s">
        <v>1779</v>
      </c>
      <c r="M70" s="111" t="s">
        <v>926</v>
      </c>
      <c r="N70" s="111" t="s">
        <v>926</v>
      </c>
    </row>
    <row r="71" spans="1:14" hidden="1">
      <c r="A71" s="2" t="s">
        <v>1334</v>
      </c>
      <c r="B71" s="111" t="s">
        <v>1538</v>
      </c>
      <c r="C71" s="111" t="s">
        <v>1214</v>
      </c>
      <c r="D71" s="111" t="s">
        <v>1326</v>
      </c>
      <c r="E71" s="111" t="s">
        <v>1327</v>
      </c>
      <c r="F71" s="111" t="s">
        <v>1615</v>
      </c>
      <c r="G71" s="111" t="s">
        <v>1615</v>
      </c>
      <c r="H71" s="111" t="s">
        <v>1615</v>
      </c>
      <c r="I71" s="111" t="s">
        <v>926</v>
      </c>
      <c r="J71" s="170" t="s">
        <v>1335</v>
      </c>
      <c r="K71" s="111" t="s">
        <v>1745</v>
      </c>
      <c r="L71" s="111" t="s">
        <v>1779</v>
      </c>
      <c r="M71" s="111" t="s">
        <v>926</v>
      </c>
      <c r="N71" s="111" t="s">
        <v>926</v>
      </c>
    </row>
    <row r="72" spans="1:14" hidden="1">
      <c r="A72" s="2" t="s">
        <v>1345</v>
      </c>
      <c r="B72" s="111" t="s">
        <v>1538</v>
      </c>
      <c r="C72" s="111" t="s">
        <v>1214</v>
      </c>
      <c r="D72" s="111" t="s">
        <v>1326</v>
      </c>
      <c r="E72" s="111" t="s">
        <v>1327</v>
      </c>
      <c r="F72" s="111" t="s">
        <v>1615</v>
      </c>
      <c r="G72" s="111" t="s">
        <v>1615</v>
      </c>
      <c r="H72" s="111" t="s">
        <v>1615</v>
      </c>
      <c r="I72" s="111" t="s">
        <v>926</v>
      </c>
      <c r="J72" s="170" t="s">
        <v>1335</v>
      </c>
      <c r="K72" s="111" t="s">
        <v>1745</v>
      </c>
      <c r="L72" s="111" t="s">
        <v>1779</v>
      </c>
      <c r="M72" s="111" t="s">
        <v>926</v>
      </c>
      <c r="N72" s="111" t="s">
        <v>926</v>
      </c>
    </row>
    <row r="73" spans="1:14" hidden="1">
      <c r="A73" s="2" t="s">
        <v>1286</v>
      </c>
      <c r="B73" s="111" t="s">
        <v>1541</v>
      </c>
      <c r="C73" s="111" t="s">
        <v>1214</v>
      </c>
      <c r="D73" s="111" t="s">
        <v>1326</v>
      </c>
      <c r="E73" s="111" t="s">
        <v>1327</v>
      </c>
      <c r="F73" s="111" t="s">
        <v>1615</v>
      </c>
      <c r="G73" s="111" t="s">
        <v>1615</v>
      </c>
      <c r="H73" s="111" t="s">
        <v>1615</v>
      </c>
      <c r="I73" s="111" t="s">
        <v>926</v>
      </c>
      <c r="J73" s="111" t="s">
        <v>1304</v>
      </c>
      <c r="K73" s="111" t="s">
        <v>470</v>
      </c>
      <c r="L73" s="111" t="s">
        <v>1670</v>
      </c>
      <c r="M73" s="111" t="s">
        <v>926</v>
      </c>
      <c r="N73" s="111" t="s">
        <v>926</v>
      </c>
    </row>
    <row r="74" spans="1:14" hidden="1">
      <c r="A74" s="2" t="s">
        <v>1916</v>
      </c>
      <c r="B74" s="111" t="s">
        <v>1348</v>
      </c>
      <c r="C74" s="111" t="s">
        <v>1214</v>
      </c>
      <c r="D74" s="111" t="s">
        <v>1326</v>
      </c>
      <c r="E74" s="111" t="s">
        <v>1348</v>
      </c>
      <c r="F74" s="111" t="s">
        <v>1615</v>
      </c>
      <c r="G74" s="111" t="s">
        <v>1615</v>
      </c>
      <c r="H74" s="111" t="s">
        <v>1615</v>
      </c>
      <c r="I74" s="111" t="s">
        <v>926</v>
      </c>
      <c r="J74" s="111" t="s">
        <v>926</v>
      </c>
      <c r="K74" s="111" t="s">
        <v>926</v>
      </c>
      <c r="L74" s="111" t="s">
        <v>926</v>
      </c>
      <c r="M74" s="111" t="s">
        <v>926</v>
      </c>
      <c r="N74" s="111" t="s">
        <v>926</v>
      </c>
    </row>
    <row r="75" spans="1:14" hidden="1">
      <c r="A75" s="2" t="s">
        <v>1922</v>
      </c>
      <c r="B75" s="111" t="s">
        <v>1348</v>
      </c>
      <c r="C75" s="111" t="s">
        <v>1214</v>
      </c>
      <c r="D75" s="111" t="s">
        <v>1326</v>
      </c>
      <c r="E75" s="111" t="s">
        <v>1348</v>
      </c>
      <c r="F75" s="111" t="s">
        <v>1615</v>
      </c>
      <c r="G75" s="111" t="s">
        <v>1615</v>
      </c>
      <c r="H75" s="111" t="s">
        <v>1615</v>
      </c>
      <c r="I75" s="111" t="s">
        <v>926</v>
      </c>
      <c r="J75" s="111" t="s">
        <v>926</v>
      </c>
      <c r="K75" s="111" t="s">
        <v>926</v>
      </c>
      <c r="L75" s="111" t="s">
        <v>926</v>
      </c>
      <c r="M75" s="111" t="s">
        <v>926</v>
      </c>
      <c r="N75" s="111" t="s">
        <v>926</v>
      </c>
    </row>
    <row r="76" spans="1:14" hidden="1">
      <c r="A76" s="2" t="s">
        <v>1315</v>
      </c>
      <c r="B76" s="111" t="s">
        <v>1542</v>
      </c>
      <c r="C76" s="111" t="s">
        <v>1214</v>
      </c>
      <c r="D76" s="111" t="s">
        <v>1326</v>
      </c>
      <c r="E76" s="111" t="s">
        <v>1348</v>
      </c>
      <c r="F76" s="111" t="s">
        <v>1615</v>
      </c>
      <c r="G76" s="111" t="s">
        <v>1615</v>
      </c>
      <c r="H76" s="111" t="s">
        <v>1615</v>
      </c>
      <c r="I76" s="111" t="s">
        <v>926</v>
      </c>
      <c r="J76" s="111" t="s">
        <v>1555</v>
      </c>
      <c r="K76" s="111" t="s">
        <v>1752</v>
      </c>
      <c r="L76" s="111" t="s">
        <v>1753</v>
      </c>
      <c r="M76" s="111" t="s">
        <v>926</v>
      </c>
      <c r="N76" s="111" t="s">
        <v>926</v>
      </c>
    </row>
    <row r="77" spans="1:14" hidden="1">
      <c r="A77" s="2" t="s">
        <v>1377</v>
      </c>
      <c r="B77" s="111" t="s">
        <v>1544</v>
      </c>
      <c r="C77" s="111" t="s">
        <v>1214</v>
      </c>
      <c r="D77" s="111" t="s">
        <v>1326</v>
      </c>
      <c r="E77" s="111" t="s">
        <v>1348</v>
      </c>
      <c r="F77" s="111" t="s">
        <v>1615</v>
      </c>
      <c r="G77" s="111" t="s">
        <v>1615</v>
      </c>
      <c r="H77" s="111" t="s">
        <v>1615</v>
      </c>
      <c r="I77" s="111" t="s">
        <v>926</v>
      </c>
      <c r="J77" s="111" t="s">
        <v>1545</v>
      </c>
      <c r="K77" s="111" t="s">
        <v>1683</v>
      </c>
      <c r="L77" s="111" t="s">
        <v>1794</v>
      </c>
      <c r="M77" s="111" t="s">
        <v>926</v>
      </c>
      <c r="N77" s="111" t="s">
        <v>926</v>
      </c>
    </row>
    <row r="78" spans="1:14" hidden="1">
      <c r="A78" s="2" t="s">
        <v>1368</v>
      </c>
      <c r="B78" s="111" t="s">
        <v>1547</v>
      </c>
      <c r="C78" s="111" t="s">
        <v>1214</v>
      </c>
      <c r="D78" s="111" t="s">
        <v>1326</v>
      </c>
      <c r="E78" s="111" t="s">
        <v>1348</v>
      </c>
      <c r="F78" s="111" t="s">
        <v>1615</v>
      </c>
      <c r="G78" s="111" t="s">
        <v>1615</v>
      </c>
      <c r="H78" s="111" t="s">
        <v>1615</v>
      </c>
      <c r="I78" s="111" t="s">
        <v>926</v>
      </c>
      <c r="J78" s="170" t="s">
        <v>1369</v>
      </c>
      <c r="K78" s="111" t="s">
        <v>1745</v>
      </c>
      <c r="L78" s="111" t="s">
        <v>1791</v>
      </c>
      <c r="M78" s="111" t="s">
        <v>926</v>
      </c>
      <c r="N78" s="111" t="s">
        <v>926</v>
      </c>
    </row>
    <row r="79" spans="1:14" hidden="1">
      <c r="A79" s="206" t="s">
        <v>1928</v>
      </c>
      <c r="B79" s="207" t="s">
        <v>1549</v>
      </c>
      <c r="C79" s="111" t="s">
        <v>1214</v>
      </c>
      <c r="D79" s="111" t="s">
        <v>1326</v>
      </c>
      <c r="E79" s="111" t="s">
        <v>1348</v>
      </c>
      <c r="F79" s="111" t="s">
        <v>1615</v>
      </c>
      <c r="G79" s="111" t="s">
        <v>1615</v>
      </c>
      <c r="H79" s="111" t="s">
        <v>1615</v>
      </c>
      <c r="I79" s="111" t="s">
        <v>926</v>
      </c>
      <c r="J79" s="111" t="s">
        <v>926</v>
      </c>
      <c r="K79" s="111" t="s">
        <v>926</v>
      </c>
      <c r="L79" s="111" t="s">
        <v>926</v>
      </c>
      <c r="M79" s="111" t="s">
        <v>926</v>
      </c>
      <c r="N79" s="111" t="s">
        <v>926</v>
      </c>
    </row>
    <row r="80" spans="1:14" hidden="1">
      <c r="A80" s="206" t="s">
        <v>1929</v>
      </c>
      <c r="B80" s="207" t="s">
        <v>1549</v>
      </c>
      <c r="C80" s="111" t="s">
        <v>1214</v>
      </c>
      <c r="D80" s="111" t="s">
        <v>1326</v>
      </c>
      <c r="E80" s="111" t="s">
        <v>1348</v>
      </c>
      <c r="F80" s="111" t="s">
        <v>1615</v>
      </c>
      <c r="G80" s="111" t="s">
        <v>1615</v>
      </c>
      <c r="H80" s="111" t="s">
        <v>1615</v>
      </c>
      <c r="I80" s="111" t="s">
        <v>926</v>
      </c>
      <c r="J80" s="111" t="s">
        <v>926</v>
      </c>
      <c r="K80" s="111" t="s">
        <v>926</v>
      </c>
      <c r="L80" s="111" t="s">
        <v>926</v>
      </c>
      <c r="M80" s="111" t="s">
        <v>926</v>
      </c>
      <c r="N80" s="111" t="s">
        <v>926</v>
      </c>
    </row>
    <row r="81" spans="1:14" hidden="1">
      <c r="A81" s="2" t="s">
        <v>1447</v>
      </c>
      <c r="B81" s="111" t="s">
        <v>1552</v>
      </c>
      <c r="C81" s="111" t="s">
        <v>1214</v>
      </c>
      <c r="D81" s="111" t="s">
        <v>1326</v>
      </c>
      <c r="E81" s="111" t="s">
        <v>1419</v>
      </c>
      <c r="F81" s="111" t="s">
        <v>1615</v>
      </c>
      <c r="G81" s="111" t="s">
        <v>1615</v>
      </c>
      <c r="H81" s="111" t="s">
        <v>1615</v>
      </c>
      <c r="I81" s="111" t="s">
        <v>926</v>
      </c>
      <c r="J81" s="111" t="s">
        <v>1817</v>
      </c>
      <c r="K81" s="111" t="s">
        <v>470</v>
      </c>
      <c r="L81" s="111" t="s">
        <v>1818</v>
      </c>
      <c r="M81" s="111" t="s">
        <v>926</v>
      </c>
      <c r="N81" s="111" t="s">
        <v>926</v>
      </c>
    </row>
    <row r="82" spans="1:14" hidden="1">
      <c r="A82" s="2" t="s">
        <v>1289</v>
      </c>
      <c r="B82" s="111" t="s">
        <v>1553</v>
      </c>
      <c r="C82" s="111" t="s">
        <v>1290</v>
      </c>
      <c r="D82" s="111" t="s">
        <v>1291</v>
      </c>
      <c r="E82" s="111" t="s">
        <v>926</v>
      </c>
      <c r="F82" s="111" t="s">
        <v>1615</v>
      </c>
      <c r="G82" s="111" t="s">
        <v>1615</v>
      </c>
      <c r="H82" s="111" t="s">
        <v>1615</v>
      </c>
      <c r="I82" s="111" t="s">
        <v>926</v>
      </c>
      <c r="J82" s="111" t="s">
        <v>1304</v>
      </c>
      <c r="K82" s="111" t="s">
        <v>470</v>
      </c>
      <c r="L82" s="111" t="s">
        <v>1670</v>
      </c>
      <c r="M82" s="111" t="s">
        <v>926</v>
      </c>
      <c r="N82" s="111" t="s">
        <v>926</v>
      </c>
    </row>
    <row r="83" spans="1:14" hidden="1">
      <c r="A83" s="2" t="s">
        <v>1271</v>
      </c>
      <c r="B83" s="111" t="s">
        <v>1554</v>
      </c>
      <c r="C83" s="111" t="s">
        <v>1214</v>
      </c>
      <c r="D83" s="111" t="s">
        <v>1215</v>
      </c>
      <c r="E83" s="111" t="s">
        <v>1262</v>
      </c>
      <c r="F83" s="111" t="s">
        <v>1615</v>
      </c>
      <c r="G83" s="111" t="s">
        <v>1615</v>
      </c>
      <c r="H83" s="111" t="s">
        <v>1615</v>
      </c>
      <c r="I83" s="111" t="s">
        <v>926</v>
      </c>
      <c r="J83" s="170" t="s">
        <v>1555</v>
      </c>
      <c r="K83" s="111" t="s">
        <v>1752</v>
      </c>
      <c r="L83" s="111" t="s">
        <v>1753</v>
      </c>
      <c r="M83" s="111" t="s">
        <v>926</v>
      </c>
      <c r="N83" s="111" t="s">
        <v>926</v>
      </c>
    </row>
    <row r="84" spans="1:14" hidden="1">
      <c r="A84" s="2" t="s">
        <v>440</v>
      </c>
      <c r="B84" s="111" t="s">
        <v>926</v>
      </c>
      <c r="C84" s="111" t="s">
        <v>1202</v>
      </c>
      <c r="D84" s="111" t="s">
        <v>1203</v>
      </c>
      <c r="E84" s="111" t="s">
        <v>926</v>
      </c>
      <c r="F84" s="111" t="s">
        <v>1931</v>
      </c>
      <c r="G84" s="111" t="s">
        <v>1932</v>
      </c>
      <c r="H84" s="210" t="s">
        <v>1666</v>
      </c>
      <c r="I84" s="111" t="s">
        <v>1269</v>
      </c>
      <c r="J84" s="170" t="s">
        <v>1192</v>
      </c>
      <c r="K84" s="111" t="s">
        <v>1683</v>
      </c>
      <c r="L84" s="111" t="s">
        <v>1684</v>
      </c>
      <c r="M84" s="170" t="s">
        <v>1646</v>
      </c>
      <c r="N84" s="111" t="s">
        <v>1958</v>
      </c>
    </row>
    <row r="85" spans="1:14">
      <c r="A85" s="2" t="s">
        <v>524</v>
      </c>
      <c r="B85" s="111" t="s">
        <v>926</v>
      </c>
      <c r="C85" s="111" t="s">
        <v>1290</v>
      </c>
      <c r="D85" s="111" t="s">
        <v>1291</v>
      </c>
      <c r="E85" s="111" t="s">
        <v>926</v>
      </c>
      <c r="F85" s="111" t="s">
        <v>1933</v>
      </c>
      <c r="G85" s="111" t="s">
        <v>1934</v>
      </c>
      <c r="H85" s="210" t="s">
        <v>1666</v>
      </c>
      <c r="I85" s="111" t="s">
        <v>1269</v>
      </c>
      <c r="J85" s="170" t="s">
        <v>1211</v>
      </c>
      <c r="K85" s="111" t="s">
        <v>470</v>
      </c>
      <c r="L85" s="111" t="s">
        <v>1670</v>
      </c>
      <c r="M85" s="111" t="s">
        <v>1269</v>
      </c>
      <c r="N85" s="111">
        <v>1</v>
      </c>
    </row>
    <row r="86" spans="1:14">
      <c r="A86" s="2" t="s">
        <v>435</v>
      </c>
      <c r="B86" s="111" t="s">
        <v>1345</v>
      </c>
      <c r="C86" s="111" t="s">
        <v>1214</v>
      </c>
      <c r="D86" s="111" t="s">
        <v>1326</v>
      </c>
      <c r="E86" s="111" t="s">
        <v>1327</v>
      </c>
      <c r="F86" s="111" t="s">
        <v>1935</v>
      </c>
      <c r="G86" s="111" t="s">
        <v>1936</v>
      </c>
      <c r="H86" s="111" t="s">
        <v>1396</v>
      </c>
      <c r="I86" s="111" t="s">
        <v>1269</v>
      </c>
      <c r="J86" s="111" t="s">
        <v>1335</v>
      </c>
      <c r="K86" s="111" t="s">
        <v>1745</v>
      </c>
      <c r="L86" s="111" t="s">
        <v>1779</v>
      </c>
      <c r="M86" s="111" t="s">
        <v>1269</v>
      </c>
      <c r="N86" s="111">
        <v>1</v>
      </c>
    </row>
    <row r="87" spans="1:14">
      <c r="A87" s="2" t="s">
        <v>1562</v>
      </c>
      <c r="B87" s="111" t="s">
        <v>1368</v>
      </c>
      <c r="C87" s="111" t="s">
        <v>1214</v>
      </c>
      <c r="D87" s="111" t="s">
        <v>1326</v>
      </c>
      <c r="E87" s="111" t="s">
        <v>1348</v>
      </c>
      <c r="F87" s="111" t="s">
        <v>1937</v>
      </c>
      <c r="G87" s="111" t="s">
        <v>1938</v>
      </c>
      <c r="H87" s="111" t="s">
        <v>1396</v>
      </c>
      <c r="I87" s="111" t="s">
        <v>1269</v>
      </c>
      <c r="J87" s="111" t="s">
        <v>1369</v>
      </c>
      <c r="K87" s="111" t="s">
        <v>1745</v>
      </c>
      <c r="L87" s="111" t="s">
        <v>1791</v>
      </c>
      <c r="M87" s="111" t="s">
        <v>1269</v>
      </c>
      <c r="N87" s="111">
        <v>1</v>
      </c>
    </row>
    <row r="88" spans="1:14">
      <c r="A88" s="214" t="s">
        <v>1564</v>
      </c>
      <c r="B88" s="111" t="s">
        <v>926</v>
      </c>
      <c r="C88" s="111" t="s">
        <v>1565</v>
      </c>
      <c r="D88" s="111" t="s">
        <v>926</v>
      </c>
      <c r="E88" s="111" t="s">
        <v>926</v>
      </c>
      <c r="F88" s="111" t="s">
        <v>1939</v>
      </c>
      <c r="G88" s="111" t="s">
        <v>1940</v>
      </c>
      <c r="H88" s="111" t="s">
        <v>1396</v>
      </c>
      <c r="I88" s="204" t="s">
        <v>1269</v>
      </c>
      <c r="J88" s="111" t="s">
        <v>926</v>
      </c>
      <c r="K88" s="111" t="s">
        <v>926</v>
      </c>
      <c r="L88" s="111" t="s">
        <v>926</v>
      </c>
      <c r="M88" s="111" t="s">
        <v>1269</v>
      </c>
      <c r="N88" s="204">
        <v>1</v>
      </c>
    </row>
    <row r="89" spans="1:14">
      <c r="A89" s="214" t="s">
        <v>1566</v>
      </c>
      <c r="B89" s="111" t="s">
        <v>926</v>
      </c>
      <c r="C89" s="111" t="s">
        <v>1565</v>
      </c>
      <c r="D89" s="111" t="s">
        <v>926</v>
      </c>
      <c r="E89" s="111" t="s">
        <v>926</v>
      </c>
      <c r="F89" s="111" t="s">
        <v>1941</v>
      </c>
      <c r="G89" s="111" t="s">
        <v>1942</v>
      </c>
      <c r="H89" s="210" t="s">
        <v>1943</v>
      </c>
      <c r="I89" s="204" t="s">
        <v>1148</v>
      </c>
      <c r="J89" s="111" t="s">
        <v>926</v>
      </c>
      <c r="K89" s="111" t="s">
        <v>926</v>
      </c>
      <c r="L89" s="111" t="s">
        <v>926</v>
      </c>
      <c r="M89" s="111" t="s">
        <v>1148</v>
      </c>
      <c r="N89" s="204">
        <v>1</v>
      </c>
    </row>
    <row r="90" spans="1:14">
      <c r="A90" s="101" t="s">
        <v>1567</v>
      </c>
      <c r="B90" s="111" t="s">
        <v>926</v>
      </c>
      <c r="C90" s="111" t="s">
        <v>1290</v>
      </c>
      <c r="D90" s="111" t="s">
        <v>1522</v>
      </c>
      <c r="E90" s="111" t="s">
        <v>926</v>
      </c>
      <c r="F90" s="204" t="s">
        <v>1944</v>
      </c>
      <c r="G90" s="204" t="s">
        <v>1945</v>
      </c>
      <c r="H90" s="204" t="s">
        <v>1666</v>
      </c>
      <c r="I90" s="204" t="s">
        <v>1148</v>
      </c>
      <c r="J90" s="111" t="s">
        <v>1523</v>
      </c>
      <c r="K90" s="111" t="s">
        <v>1861</v>
      </c>
      <c r="L90" s="111" t="s">
        <v>926</v>
      </c>
      <c r="M90" s="111" t="s">
        <v>1148</v>
      </c>
      <c r="N90" s="204">
        <v>1</v>
      </c>
    </row>
    <row r="91" spans="1:14">
      <c r="A91" s="101" t="s">
        <v>1577</v>
      </c>
      <c r="B91" s="111" t="s">
        <v>926</v>
      </c>
      <c r="C91" s="111" t="s">
        <v>1578</v>
      </c>
      <c r="D91" s="111" t="s">
        <v>127</v>
      </c>
      <c r="E91" s="111" t="s">
        <v>926</v>
      </c>
      <c r="F91" s="204" t="s">
        <v>1947</v>
      </c>
      <c r="G91" s="204" t="s">
        <v>1948</v>
      </c>
      <c r="H91" s="204" t="s">
        <v>1666</v>
      </c>
      <c r="I91" s="111" t="s">
        <v>1269</v>
      </c>
      <c r="J91" s="111" t="s">
        <v>926</v>
      </c>
      <c r="K91" s="111" t="s">
        <v>926</v>
      </c>
      <c r="L91" s="111" t="s">
        <v>926</v>
      </c>
      <c r="M91" s="111" t="s">
        <v>1269</v>
      </c>
      <c r="N91" s="111">
        <v>1</v>
      </c>
    </row>
    <row r="92" spans="1:14" hidden="1">
      <c r="A92" s="101" t="s">
        <v>1584</v>
      </c>
      <c r="B92" s="111" t="s">
        <v>926</v>
      </c>
      <c r="C92" s="111" t="s">
        <v>1455</v>
      </c>
      <c r="D92" s="111" t="s">
        <v>1456</v>
      </c>
      <c r="E92" s="111" t="s">
        <v>926</v>
      </c>
      <c r="F92" s="204" t="s">
        <v>1950</v>
      </c>
      <c r="G92" s="204" t="s">
        <v>1951</v>
      </c>
      <c r="H92" s="204" t="s">
        <v>1396</v>
      </c>
      <c r="I92" s="111" t="s">
        <v>1269</v>
      </c>
      <c r="J92" s="111" t="s">
        <v>926</v>
      </c>
      <c r="K92" s="111" t="s">
        <v>926</v>
      </c>
      <c r="L92" s="111" t="s">
        <v>926</v>
      </c>
      <c r="M92" s="111" t="s">
        <v>1269</v>
      </c>
      <c r="N92" s="111" t="s">
        <v>1958</v>
      </c>
    </row>
    <row r="93" spans="1:14" hidden="1">
      <c r="A93" s="101" t="s">
        <v>1593</v>
      </c>
      <c r="B93" s="111" t="s">
        <v>926</v>
      </c>
      <c r="C93" s="111" t="s">
        <v>1455</v>
      </c>
      <c r="D93" s="111" t="s">
        <v>1456</v>
      </c>
      <c r="E93" s="111" t="s">
        <v>926</v>
      </c>
      <c r="F93" s="204" t="s">
        <v>1952</v>
      </c>
      <c r="G93" s="204" t="s">
        <v>1953</v>
      </c>
      <c r="H93" s="216" t="s">
        <v>1943</v>
      </c>
      <c r="I93" s="111" t="s">
        <v>1269</v>
      </c>
      <c r="J93" s="111" t="s">
        <v>1192</v>
      </c>
      <c r="K93" s="111" t="s">
        <v>1683</v>
      </c>
      <c r="L93" s="111" t="s">
        <v>1684</v>
      </c>
      <c r="M93" s="111" t="s">
        <v>1269</v>
      </c>
      <c r="N93" s="111" t="s">
        <v>1958</v>
      </c>
    </row>
    <row r="94" spans="1:14" hidden="1">
      <c r="A94" s="181" t="s">
        <v>1600</v>
      </c>
      <c r="B94" s="2" t="s">
        <v>1601</v>
      </c>
      <c r="C94" s="111" t="s">
        <v>1455</v>
      </c>
      <c r="D94" s="111" t="s">
        <v>1456</v>
      </c>
      <c r="E94" s="111" t="s">
        <v>926</v>
      </c>
      <c r="F94" s="111" t="s">
        <v>1615</v>
      </c>
      <c r="G94" s="111" t="s">
        <v>1615</v>
      </c>
      <c r="H94" s="111" t="s">
        <v>1615</v>
      </c>
      <c r="I94" s="111" t="s">
        <v>1269</v>
      </c>
      <c r="J94" s="111" t="s">
        <v>1602</v>
      </c>
      <c r="K94" s="111" t="s">
        <v>1683</v>
      </c>
      <c r="L94" s="111" t="s">
        <v>1954</v>
      </c>
      <c r="M94" s="111" t="s">
        <v>1269</v>
      </c>
      <c r="N94" s="184" t="s">
        <v>926</v>
      </c>
    </row>
    <row r="95" spans="1:14" hidden="1">
      <c r="A95" s="218" t="s">
        <v>1610</v>
      </c>
      <c r="B95" s="111" t="s">
        <v>926</v>
      </c>
      <c r="C95" s="111" t="s">
        <v>1214</v>
      </c>
      <c r="D95" s="111" t="s">
        <v>1326</v>
      </c>
      <c r="E95" s="111" t="s">
        <v>1419</v>
      </c>
      <c r="F95" s="219" t="s">
        <v>1611</v>
      </c>
      <c r="G95" s="219" t="s">
        <v>1611</v>
      </c>
      <c r="H95" s="219" t="s">
        <v>1396</v>
      </c>
      <c r="I95" s="111" t="s">
        <v>1269</v>
      </c>
      <c r="J95" s="170" t="s">
        <v>1211</v>
      </c>
      <c r="K95" s="111" t="s">
        <v>470</v>
      </c>
      <c r="L95" s="111" t="s">
        <v>1670</v>
      </c>
      <c r="M95" s="111" t="s">
        <v>1269</v>
      </c>
      <c r="N95" s="111" t="s">
        <v>1958</v>
      </c>
    </row>
    <row r="96" spans="1:14" hidden="1">
      <c r="A96" s="214" t="s">
        <v>1612</v>
      </c>
      <c r="B96" s="111" t="s">
        <v>926</v>
      </c>
      <c r="C96" s="111" t="s">
        <v>1470</v>
      </c>
      <c r="D96" s="111" t="s">
        <v>1471</v>
      </c>
      <c r="E96" s="111" t="s">
        <v>926</v>
      </c>
      <c r="F96" s="111" t="s">
        <v>1955</v>
      </c>
      <c r="G96" s="111" t="s">
        <v>1956</v>
      </c>
      <c r="H96" s="111" t="s">
        <v>1396</v>
      </c>
      <c r="I96" s="111" t="s">
        <v>1148</v>
      </c>
      <c r="J96" s="111" t="s">
        <v>1211</v>
      </c>
      <c r="K96" s="111" t="s">
        <v>470</v>
      </c>
      <c r="L96" s="111" t="s">
        <v>1670</v>
      </c>
      <c r="M96" s="111" t="s">
        <v>1148</v>
      </c>
      <c r="N96" s="111" t="s">
        <v>1958</v>
      </c>
    </row>
    <row r="97" spans="1:14" hidden="1">
      <c r="A97" s="2" t="s">
        <v>1613</v>
      </c>
      <c r="B97" s="2" t="s">
        <v>1614</v>
      </c>
      <c r="C97" s="111" t="s">
        <v>1214</v>
      </c>
      <c r="D97" s="111" t="s">
        <v>926</v>
      </c>
      <c r="E97" s="111" t="s">
        <v>926</v>
      </c>
      <c r="F97" s="111" t="s">
        <v>1615</v>
      </c>
      <c r="G97" s="111" t="s">
        <v>1615</v>
      </c>
      <c r="H97" s="111" t="s">
        <v>1615</v>
      </c>
      <c r="I97" s="111" t="s">
        <v>926</v>
      </c>
      <c r="J97" s="111" t="s">
        <v>1616</v>
      </c>
      <c r="K97" s="111" t="s">
        <v>1683</v>
      </c>
      <c r="L97" s="111" t="s">
        <v>1954</v>
      </c>
      <c r="M97" s="111" t="s">
        <v>926</v>
      </c>
      <c r="N97" s="111" t="s">
        <v>926</v>
      </c>
    </row>
    <row r="98" spans="1:14" hidden="1">
      <c r="A98" s="2" t="s">
        <v>1625</v>
      </c>
      <c r="B98" s="2" t="s">
        <v>1626</v>
      </c>
      <c r="C98" s="111" t="s">
        <v>1455</v>
      </c>
      <c r="D98" s="111" t="s">
        <v>1456</v>
      </c>
      <c r="E98" s="111" t="s">
        <v>926</v>
      </c>
      <c r="F98" s="111" t="s">
        <v>1615</v>
      </c>
      <c r="G98" s="111" t="s">
        <v>1615</v>
      </c>
      <c r="H98" s="111" t="s">
        <v>1615</v>
      </c>
      <c r="I98" s="111" t="s">
        <v>926</v>
      </c>
      <c r="J98" s="111" t="s">
        <v>926</v>
      </c>
      <c r="K98" s="111" t="s">
        <v>926</v>
      </c>
      <c r="L98" s="111" t="s">
        <v>926</v>
      </c>
      <c r="M98" s="111" t="s">
        <v>926</v>
      </c>
      <c r="N98" s="111" t="s">
        <v>926</v>
      </c>
    </row>
  </sheetData>
  <autoFilter ref="A2:N98" xr:uid="{69472CAD-D24E-4C93-92F2-43B95E2DFA6D}">
    <filterColumn colId="13">
      <filters>
        <filter val="1"/>
      </filters>
    </filterColumn>
  </autoFilter>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DE54-E9E9-4286-A8B8-42774E46BB66}">
  <sheetPr filterMode="1">
    <tabColor rgb="FFFFFF00"/>
  </sheetPr>
  <dimension ref="A1:DZ102"/>
  <sheetViews>
    <sheetView workbookViewId="0">
      <pane xSplit="10" ySplit="6" topLeftCell="K7" activePane="bottomRight" state="frozen"/>
      <selection pane="topRight" activeCell="K1" sqref="K1"/>
      <selection pane="bottomLeft" activeCell="A7" sqref="A7"/>
      <selection pane="bottomRight" activeCell="BN103" sqref="BN103"/>
    </sheetView>
  </sheetViews>
  <sheetFormatPr defaultColWidth="8.7265625" defaultRowHeight="11.4" outlineLevelCol="1"/>
  <cols>
    <col min="1" max="1" width="2.6328125" style="109" customWidth="1"/>
    <col min="2" max="2" width="12.36328125" style="2" customWidth="1"/>
    <col min="3" max="3" width="8.7265625" style="2"/>
    <col min="4" max="5" width="7" style="111" bestFit="1" customWidth="1"/>
    <col min="6" max="6" width="8.08984375" style="111" bestFit="1" customWidth="1"/>
    <col min="7" max="7" width="4.08984375" style="111" hidden="1" customWidth="1" outlineLevel="1"/>
    <col min="8" max="8" width="8.08984375" style="111" hidden="1" customWidth="1" outlineLevel="1"/>
    <col min="9" max="9" width="4.6328125" style="111" customWidth="1" collapsed="1"/>
    <col min="10" max="10" width="4.7265625" style="111" bestFit="1" customWidth="1"/>
    <col min="11" max="11" width="8.90625" style="2" customWidth="1"/>
    <col min="12" max="14" width="8.90625" style="2" hidden="1" customWidth="1" outlineLevel="1"/>
    <col min="15" max="15" width="8.90625" style="2" customWidth="1" collapsed="1"/>
    <col min="16" max="49" width="8.90625" style="2" hidden="1" customWidth="1" outlineLevel="1"/>
    <col min="50" max="50" width="2.6328125" style="2" hidden="1" customWidth="1" outlineLevel="1"/>
    <col min="51" max="51" width="8.90625" style="2" customWidth="1" collapsed="1"/>
    <col min="52" max="54" width="8.90625" style="2" hidden="1" customWidth="1" outlineLevel="1"/>
    <col min="55" max="55" width="8.90625" style="221" hidden="1" customWidth="1" outlineLevel="1"/>
    <col min="56" max="57" width="8.90625" style="2" hidden="1" customWidth="1" outlineLevel="1"/>
    <col min="58" max="58" width="8.90625" style="221" hidden="1" customWidth="1" outlineLevel="1"/>
    <col min="59" max="60" width="8.90625" style="222" hidden="1" customWidth="1" outlineLevel="1"/>
    <col min="61" max="61" width="2.6328125" style="2" hidden="1" customWidth="1" outlineLevel="1"/>
    <col min="62" max="62" width="8.90625" style="2" bestFit="1" customWidth="1" collapsed="1"/>
    <col min="63" max="66" width="8.90625" style="2" customWidth="1" outlineLevel="1"/>
    <col min="67" max="67" width="8.90625" style="2" bestFit="1" customWidth="1"/>
    <col min="68" max="69" width="8.90625" style="2" customWidth="1"/>
    <col min="70" max="73" width="8.7265625" style="2" hidden="1" customWidth="1" outlineLevel="1"/>
    <col min="74" max="74" width="8.90625" style="2" hidden="1" customWidth="1" outlineLevel="1"/>
    <col min="75" max="75" width="2.6328125" style="2" hidden="1" customWidth="1" outlineLevel="1"/>
    <col min="76" max="82" width="8.7265625" style="2" hidden="1" customWidth="1" outlineLevel="1"/>
    <col min="83" max="83" width="2.6328125" style="2" hidden="1" customWidth="1" outlineLevel="1"/>
    <col min="84" max="84" width="8.7265625" style="2" hidden="1" customWidth="1" outlineLevel="1"/>
    <col min="85" max="87" width="8.90625" style="2" hidden="1" customWidth="1" outlineLevel="1"/>
    <col min="88" max="88" width="9.26953125" style="2" hidden="1" customWidth="1" outlineLevel="1"/>
    <col min="89" max="89" width="8.7265625" style="2" hidden="1" customWidth="1" outlineLevel="1"/>
    <col min="90" max="90" width="8.90625" style="2" bestFit="1" customWidth="1" collapsed="1"/>
    <col min="91" max="92" width="8.90625" style="2" hidden="1" customWidth="1" outlineLevel="1"/>
    <col min="93" max="93" width="2.6328125" style="2" hidden="1" customWidth="1" outlineLevel="1"/>
    <col min="94" max="94" width="8.90625" style="2" bestFit="1" customWidth="1" collapsed="1"/>
    <col min="95" max="115" width="8.90625" style="2" hidden="1" customWidth="1" outlineLevel="1"/>
    <col min="116" max="116" width="8.90625" style="2" customWidth="1" collapsed="1"/>
    <col min="117" max="117" width="8.90625" style="223" hidden="1" customWidth="1" outlineLevel="1"/>
    <col min="118" max="121" width="8.90625" style="2" hidden="1" customWidth="1" outlineLevel="1"/>
    <col min="122" max="122" width="8.90625" style="2" customWidth="1" collapsed="1"/>
    <col min="123" max="124" width="8.90625" style="2" customWidth="1"/>
    <col min="125" max="125" width="6.1796875" style="2" customWidth="1"/>
    <col min="126" max="127" width="6.1796875" style="2" customWidth="1" outlineLevel="1"/>
    <col min="128" max="128" width="6.1796875" style="224" customWidth="1" outlineLevel="1"/>
    <col min="129" max="129" width="4.7265625" style="2" bestFit="1" customWidth="1"/>
    <col min="130" max="130" width="43.6328125" style="2" customWidth="1"/>
    <col min="131" max="16384" width="8.7265625" style="2"/>
  </cols>
  <sheetData>
    <row r="1" spans="1:130" ht="12" customHeight="1">
      <c r="C1" s="110">
        <v>1</v>
      </c>
      <c r="K1" s="2" t="s">
        <v>920</v>
      </c>
      <c r="L1" s="2" t="s">
        <v>920</v>
      </c>
      <c r="M1" s="2" t="s">
        <v>920</v>
      </c>
      <c r="N1" s="2" t="s">
        <v>921</v>
      </c>
      <c r="O1" s="2" t="s">
        <v>1634</v>
      </c>
      <c r="P1" s="2" t="s">
        <v>922</v>
      </c>
      <c r="Q1" s="2" t="s">
        <v>923</v>
      </c>
      <c r="R1" s="2" t="s">
        <v>924</v>
      </c>
      <c r="S1" s="2" t="s">
        <v>921</v>
      </c>
      <c r="T1" s="2" t="s">
        <v>920</v>
      </c>
      <c r="U1" s="2" t="s">
        <v>920</v>
      </c>
      <c r="V1" s="2" t="s">
        <v>920</v>
      </c>
      <c r="W1" s="2" t="s">
        <v>920</v>
      </c>
      <c r="X1" s="2" t="s">
        <v>921</v>
      </c>
      <c r="Y1" s="2" t="s">
        <v>925</v>
      </c>
      <c r="Z1" s="112" t="s">
        <v>926</v>
      </c>
      <c r="AA1" s="113" t="s">
        <v>926</v>
      </c>
      <c r="AB1" s="2" t="s">
        <v>920</v>
      </c>
      <c r="AC1" s="2" t="s">
        <v>920</v>
      </c>
      <c r="AD1" s="2" t="s">
        <v>927</v>
      </c>
      <c r="AE1" s="2" t="s">
        <v>921</v>
      </c>
      <c r="AF1" s="2" t="s">
        <v>920</v>
      </c>
      <c r="AG1" s="2" t="s">
        <v>920</v>
      </c>
      <c r="AH1" s="2" t="s">
        <v>920</v>
      </c>
      <c r="AI1" s="2" t="s">
        <v>920</v>
      </c>
      <c r="AJ1" s="2" t="s">
        <v>920</v>
      </c>
      <c r="AK1" s="2" t="s">
        <v>928</v>
      </c>
      <c r="AL1" s="2" t="s">
        <v>921</v>
      </c>
      <c r="AM1" s="2" t="s">
        <v>929</v>
      </c>
      <c r="AN1" s="2" t="s">
        <v>930</v>
      </c>
      <c r="AO1" s="2" t="s">
        <v>930</v>
      </c>
      <c r="AP1" s="2" t="s">
        <v>930</v>
      </c>
      <c r="AQ1" s="2" t="s">
        <v>930</v>
      </c>
      <c r="AR1" s="2" t="s">
        <v>930</v>
      </c>
      <c r="AS1" s="2" t="s">
        <v>930</v>
      </c>
      <c r="AT1" s="2" t="s">
        <v>931</v>
      </c>
      <c r="AU1" s="2" t="s">
        <v>932</v>
      </c>
      <c r="AV1" s="2" t="s">
        <v>920</v>
      </c>
      <c r="AW1" s="2" t="s">
        <v>930</v>
      </c>
      <c r="AY1" s="114" t="s">
        <v>926</v>
      </c>
      <c r="AZ1" s="114" t="s">
        <v>926</v>
      </c>
      <c r="BA1" s="112" t="s">
        <v>926</v>
      </c>
      <c r="BB1" s="112" t="s">
        <v>926</v>
      </c>
      <c r="BC1" s="115" t="s">
        <v>926</v>
      </c>
      <c r="BD1" s="116" t="s">
        <v>926</v>
      </c>
      <c r="BE1" s="116" t="s">
        <v>926</v>
      </c>
      <c r="BF1" s="115" t="s">
        <v>926</v>
      </c>
      <c r="BG1" s="116" t="s">
        <v>926</v>
      </c>
      <c r="BH1" s="116" t="s">
        <v>926</v>
      </c>
      <c r="BJ1" s="2" t="s">
        <v>933</v>
      </c>
      <c r="BK1" s="2" t="s">
        <v>1635</v>
      </c>
      <c r="BL1" s="2" t="s">
        <v>1636</v>
      </c>
      <c r="BM1" s="2" t="s">
        <v>934</v>
      </c>
      <c r="BN1" s="2" t="s">
        <v>1637</v>
      </c>
      <c r="BO1" s="117" t="s">
        <v>926</v>
      </c>
      <c r="BP1" s="118" t="s">
        <v>926</v>
      </c>
      <c r="BQ1" s="118" t="s">
        <v>926</v>
      </c>
      <c r="BR1" s="117" t="s">
        <v>926</v>
      </c>
      <c r="BS1" s="117" t="s">
        <v>926</v>
      </c>
      <c r="BT1" s="117" t="s">
        <v>926</v>
      </c>
      <c r="BU1" s="117" t="s">
        <v>926</v>
      </c>
      <c r="BV1" s="2" t="s">
        <v>935</v>
      </c>
      <c r="CF1" s="111"/>
      <c r="CG1" s="111"/>
      <c r="CH1" s="111"/>
      <c r="CI1" s="111"/>
      <c r="CJ1" s="111"/>
      <c r="CL1" s="119" t="s">
        <v>930</v>
      </c>
      <c r="CM1" s="119" t="s">
        <v>930</v>
      </c>
      <c r="CN1" s="119" t="s">
        <v>930</v>
      </c>
      <c r="CP1" s="2" t="s">
        <v>936</v>
      </c>
      <c r="CQ1" s="2" t="s">
        <v>936</v>
      </c>
      <c r="CR1" s="2" t="s">
        <v>936</v>
      </c>
      <c r="CS1" s="2" t="s">
        <v>936</v>
      </c>
      <c r="CT1" s="2" t="s">
        <v>936</v>
      </c>
      <c r="CU1" s="2" t="s">
        <v>936</v>
      </c>
      <c r="CV1" s="2" t="s">
        <v>936</v>
      </c>
      <c r="CW1" s="2" t="s">
        <v>936</v>
      </c>
      <c r="CX1" s="2" t="s">
        <v>936</v>
      </c>
      <c r="CY1" s="2" t="s">
        <v>936</v>
      </c>
      <c r="CZ1" s="2" t="s">
        <v>936</v>
      </c>
      <c r="DA1" s="2" t="s">
        <v>936</v>
      </c>
      <c r="DB1" s="2" t="s">
        <v>936</v>
      </c>
      <c r="DC1" s="2" t="s">
        <v>936</v>
      </c>
      <c r="DD1" s="2" t="s">
        <v>936</v>
      </c>
      <c r="DE1" s="2" t="s">
        <v>936</v>
      </c>
      <c r="DF1" s="2" t="s">
        <v>936</v>
      </c>
      <c r="DG1" s="2" t="s">
        <v>936</v>
      </c>
      <c r="DH1" s="2" t="s">
        <v>936</v>
      </c>
      <c r="DI1" s="2" t="s">
        <v>936</v>
      </c>
      <c r="DJ1" s="2" t="s">
        <v>936</v>
      </c>
      <c r="DK1" s="2" t="s">
        <v>936</v>
      </c>
      <c r="DL1" s="119" t="s">
        <v>937</v>
      </c>
      <c r="DM1" s="120" t="s">
        <v>926</v>
      </c>
      <c r="DN1" s="2" t="s">
        <v>938</v>
      </c>
      <c r="DO1" s="121" t="s">
        <v>926</v>
      </c>
      <c r="DP1" s="2" t="s">
        <v>1635</v>
      </c>
      <c r="DQ1" s="2" t="s">
        <v>939</v>
      </c>
      <c r="DR1" s="119" t="s">
        <v>1638</v>
      </c>
      <c r="DS1" s="119" t="s">
        <v>940</v>
      </c>
      <c r="DT1" s="121" t="s">
        <v>926</v>
      </c>
      <c r="DU1" s="119" t="s">
        <v>941</v>
      </c>
      <c r="DV1" s="119" t="s">
        <v>1148</v>
      </c>
      <c r="DW1" s="119" t="s">
        <v>1148</v>
      </c>
      <c r="DX1" s="122" t="s">
        <v>942</v>
      </c>
      <c r="DY1" s="123">
        <v>1</v>
      </c>
      <c r="DZ1" s="124"/>
    </row>
    <row r="2" spans="1:130" ht="12" customHeight="1">
      <c r="C2" s="125">
        <v>2</v>
      </c>
      <c r="K2" s="2" t="s">
        <v>943</v>
      </c>
      <c r="L2" s="2" t="s">
        <v>944</v>
      </c>
      <c r="M2" s="2" t="s">
        <v>945</v>
      </c>
      <c r="N2" s="126" t="s">
        <v>946</v>
      </c>
      <c r="O2" s="2" t="s">
        <v>1639</v>
      </c>
      <c r="P2" s="2" t="s">
        <v>947</v>
      </c>
      <c r="Q2" s="2" t="s">
        <v>948</v>
      </c>
      <c r="R2" s="2" t="s">
        <v>949</v>
      </c>
      <c r="S2" s="126" t="s">
        <v>946</v>
      </c>
      <c r="T2" s="2" t="s">
        <v>943</v>
      </c>
      <c r="U2" s="2" t="s">
        <v>944</v>
      </c>
      <c r="V2" s="2" t="s">
        <v>950</v>
      </c>
      <c r="W2" s="2" t="s">
        <v>951</v>
      </c>
      <c r="X2" s="126" t="s">
        <v>946</v>
      </c>
      <c r="Y2" s="2" t="s">
        <v>952</v>
      </c>
      <c r="Z2" s="112" t="s">
        <v>926</v>
      </c>
      <c r="AA2" s="113" t="s">
        <v>926</v>
      </c>
      <c r="AB2" s="2" t="s">
        <v>943</v>
      </c>
      <c r="AC2" s="2" t="s">
        <v>944</v>
      </c>
      <c r="AD2" s="126" t="s">
        <v>953</v>
      </c>
      <c r="AE2" s="126" t="s">
        <v>946</v>
      </c>
      <c r="AF2" s="2" t="s">
        <v>954</v>
      </c>
      <c r="AG2" s="2" t="s">
        <v>954</v>
      </c>
      <c r="AH2" s="2" t="s">
        <v>954</v>
      </c>
      <c r="AI2" s="2" t="s">
        <v>943</v>
      </c>
      <c r="AJ2" s="2" t="s">
        <v>944</v>
      </c>
      <c r="AK2" s="126" t="s">
        <v>955</v>
      </c>
      <c r="AL2" s="126" t="s">
        <v>946</v>
      </c>
      <c r="AM2" s="126" t="s">
        <v>956</v>
      </c>
      <c r="AN2" s="2" t="s">
        <v>957</v>
      </c>
      <c r="AO2" s="2" t="s">
        <v>957</v>
      </c>
      <c r="AP2" s="2" t="s">
        <v>958</v>
      </c>
      <c r="AQ2" s="2" t="s">
        <v>959</v>
      </c>
      <c r="AR2" s="2" t="s">
        <v>959</v>
      </c>
      <c r="AS2" s="2" t="s">
        <v>959</v>
      </c>
      <c r="AT2" s="126" t="s">
        <v>960</v>
      </c>
      <c r="AU2" s="2" t="s">
        <v>961</v>
      </c>
      <c r="AV2" s="2" t="s">
        <v>954</v>
      </c>
      <c r="AW2" s="2" t="s">
        <v>962</v>
      </c>
      <c r="AY2" s="114" t="s">
        <v>926</v>
      </c>
      <c r="AZ2" s="114" t="s">
        <v>926</v>
      </c>
      <c r="BA2" s="112" t="s">
        <v>926</v>
      </c>
      <c r="BB2" s="112" t="s">
        <v>926</v>
      </c>
      <c r="BC2" s="115" t="s">
        <v>926</v>
      </c>
      <c r="BD2" s="116" t="s">
        <v>926</v>
      </c>
      <c r="BE2" s="116" t="s">
        <v>926</v>
      </c>
      <c r="BF2" s="115" t="s">
        <v>926</v>
      </c>
      <c r="BG2" s="116" t="s">
        <v>926</v>
      </c>
      <c r="BH2" s="116" t="s">
        <v>926</v>
      </c>
      <c r="BJ2" s="2" t="s">
        <v>963</v>
      </c>
      <c r="BK2" s="2" t="s">
        <v>1640</v>
      </c>
      <c r="BL2" s="2" t="s">
        <v>1641</v>
      </c>
      <c r="BM2" s="2" t="s">
        <v>964</v>
      </c>
      <c r="BN2" s="2" t="s">
        <v>965</v>
      </c>
      <c r="BO2" s="117" t="s">
        <v>926</v>
      </c>
      <c r="BP2" s="118" t="s">
        <v>926</v>
      </c>
      <c r="BQ2" s="118" t="s">
        <v>926</v>
      </c>
      <c r="BR2" s="117" t="s">
        <v>926</v>
      </c>
      <c r="BS2" s="117" t="s">
        <v>926</v>
      </c>
      <c r="BT2" s="117" t="s">
        <v>926</v>
      </c>
      <c r="BU2" s="117" t="s">
        <v>926</v>
      </c>
      <c r="BV2" s="2" t="s">
        <v>966</v>
      </c>
      <c r="CF2" s="111"/>
      <c r="CG2" s="111"/>
      <c r="CH2" s="111"/>
      <c r="CI2" s="111"/>
      <c r="CJ2" s="111"/>
      <c r="CL2" s="119" t="s">
        <v>962</v>
      </c>
      <c r="CM2" s="119" t="s">
        <v>962</v>
      </c>
      <c r="CN2" s="119" t="s">
        <v>962</v>
      </c>
      <c r="CP2" s="2" t="s">
        <v>920</v>
      </c>
      <c r="CQ2" s="2" t="s">
        <v>920</v>
      </c>
      <c r="CR2" s="2" t="s">
        <v>920</v>
      </c>
      <c r="CS2" s="2" t="s">
        <v>920</v>
      </c>
      <c r="CT2" s="2" t="s">
        <v>920</v>
      </c>
      <c r="CU2" s="2" t="s">
        <v>920</v>
      </c>
      <c r="CV2" s="2" t="s">
        <v>920</v>
      </c>
      <c r="CW2" s="2" t="s">
        <v>920</v>
      </c>
      <c r="CX2" s="2" t="s">
        <v>920</v>
      </c>
      <c r="CY2" s="2" t="s">
        <v>920</v>
      </c>
      <c r="CZ2" s="2" t="s">
        <v>920</v>
      </c>
      <c r="DA2" s="2" t="s">
        <v>920</v>
      </c>
      <c r="DB2" s="2" t="s">
        <v>920</v>
      </c>
      <c r="DC2" s="2" t="s">
        <v>920</v>
      </c>
      <c r="DD2" s="2" t="s">
        <v>920</v>
      </c>
      <c r="DE2" s="2" t="s">
        <v>920</v>
      </c>
      <c r="DF2" s="2" t="s">
        <v>920</v>
      </c>
      <c r="DG2" s="2" t="s">
        <v>920</v>
      </c>
      <c r="DH2" s="2" t="s">
        <v>920</v>
      </c>
      <c r="DI2" s="2" t="s">
        <v>920</v>
      </c>
      <c r="DJ2" s="2" t="s">
        <v>920</v>
      </c>
      <c r="DK2" s="2" t="s">
        <v>920</v>
      </c>
      <c r="DL2" s="2" t="s">
        <v>967</v>
      </c>
      <c r="DM2" s="120" t="s">
        <v>926</v>
      </c>
      <c r="DN2" s="2" t="s">
        <v>968</v>
      </c>
      <c r="DO2" s="121" t="s">
        <v>926</v>
      </c>
      <c r="DP2" s="2" t="s">
        <v>1640</v>
      </c>
      <c r="DQ2" s="2" t="s">
        <v>969</v>
      </c>
      <c r="DR2" s="2" t="s">
        <v>1642</v>
      </c>
      <c r="DS2" s="2" t="s">
        <v>970</v>
      </c>
      <c r="DT2" s="121" t="s">
        <v>926</v>
      </c>
      <c r="DU2" s="119" t="s">
        <v>971</v>
      </c>
      <c r="DV2" s="119" t="s">
        <v>1269</v>
      </c>
      <c r="DW2" s="119" t="s">
        <v>1269</v>
      </c>
      <c r="DX2" s="122" t="s">
        <v>972</v>
      </c>
      <c r="DY2" s="119" t="s">
        <v>973</v>
      </c>
      <c r="DZ2" s="124"/>
    </row>
    <row r="3" spans="1:130" ht="12" customHeight="1">
      <c r="C3" s="127">
        <v>3</v>
      </c>
      <c r="K3" s="2" t="s">
        <v>974</v>
      </c>
      <c r="L3" s="2" t="s">
        <v>975</v>
      </c>
      <c r="M3" s="126" t="s">
        <v>1643</v>
      </c>
      <c r="N3" s="126" t="s">
        <v>976</v>
      </c>
      <c r="O3" s="2" t="s">
        <v>977</v>
      </c>
      <c r="P3" s="2" t="s">
        <v>978</v>
      </c>
      <c r="Q3" s="2" t="s">
        <v>979</v>
      </c>
      <c r="R3" s="2" t="s">
        <v>980</v>
      </c>
      <c r="S3" s="126" t="s">
        <v>976</v>
      </c>
      <c r="T3" s="2" t="s">
        <v>974</v>
      </c>
      <c r="U3" s="2" t="s">
        <v>975</v>
      </c>
      <c r="V3" s="126" t="s">
        <v>981</v>
      </c>
      <c r="W3" s="2" t="s">
        <v>982</v>
      </c>
      <c r="X3" s="126" t="s">
        <v>976</v>
      </c>
      <c r="Y3" s="2" t="s">
        <v>983</v>
      </c>
      <c r="Z3" s="112" t="s">
        <v>926</v>
      </c>
      <c r="AA3" s="113" t="s">
        <v>926</v>
      </c>
      <c r="AB3" s="2" t="s">
        <v>974</v>
      </c>
      <c r="AC3" s="2" t="s">
        <v>975</v>
      </c>
      <c r="AD3" s="126" t="s">
        <v>984</v>
      </c>
      <c r="AE3" s="126" t="s">
        <v>976</v>
      </c>
      <c r="AF3" s="2" t="s">
        <v>985</v>
      </c>
      <c r="AG3" s="2" t="s">
        <v>985</v>
      </c>
      <c r="AH3" s="2" t="s">
        <v>985</v>
      </c>
      <c r="AI3" s="2" t="s">
        <v>974</v>
      </c>
      <c r="AJ3" s="2" t="s">
        <v>975</v>
      </c>
      <c r="AK3" s="126" t="s">
        <v>986</v>
      </c>
      <c r="AL3" s="126" t="s">
        <v>976</v>
      </c>
      <c r="AM3" s="2" t="s">
        <v>931</v>
      </c>
      <c r="AN3" s="2" t="s">
        <v>987</v>
      </c>
      <c r="AO3" s="2" t="s">
        <v>987</v>
      </c>
      <c r="AP3" s="2" t="s">
        <v>988</v>
      </c>
      <c r="AQ3" s="2" t="s">
        <v>989</v>
      </c>
      <c r="AR3" s="2" t="s">
        <v>989</v>
      </c>
      <c r="AS3" s="2" t="s">
        <v>989</v>
      </c>
      <c r="AT3" s="128" t="s">
        <v>990</v>
      </c>
      <c r="AU3" s="117" t="s">
        <v>926</v>
      </c>
      <c r="AV3" s="2" t="s">
        <v>985</v>
      </c>
      <c r="AW3" s="117" t="s">
        <v>926</v>
      </c>
      <c r="AY3" s="114" t="s">
        <v>926</v>
      </c>
      <c r="AZ3" s="114" t="s">
        <v>926</v>
      </c>
      <c r="BA3" s="112" t="s">
        <v>926</v>
      </c>
      <c r="BB3" s="112" t="s">
        <v>926</v>
      </c>
      <c r="BC3" s="115" t="s">
        <v>926</v>
      </c>
      <c r="BD3" s="116" t="s">
        <v>926</v>
      </c>
      <c r="BE3" s="116" t="s">
        <v>926</v>
      </c>
      <c r="BF3" s="115" t="s">
        <v>926</v>
      </c>
      <c r="BG3" s="116" t="s">
        <v>926</v>
      </c>
      <c r="BH3" s="116" t="s">
        <v>926</v>
      </c>
      <c r="BJ3" s="126" t="s">
        <v>991</v>
      </c>
      <c r="BK3" s="128" t="s">
        <v>1644</v>
      </c>
      <c r="BL3" s="128" t="s">
        <v>1645</v>
      </c>
      <c r="BM3" s="2" t="s">
        <v>992</v>
      </c>
      <c r="BN3" s="2" t="s">
        <v>993</v>
      </c>
      <c r="BO3" s="117" t="s">
        <v>926</v>
      </c>
      <c r="BP3" s="118" t="s">
        <v>926</v>
      </c>
      <c r="BQ3" s="118" t="s">
        <v>926</v>
      </c>
      <c r="BR3" s="117" t="s">
        <v>926</v>
      </c>
      <c r="BS3" s="117" t="s">
        <v>926</v>
      </c>
      <c r="BT3" s="117" t="s">
        <v>926</v>
      </c>
      <c r="BU3" s="117" t="s">
        <v>926</v>
      </c>
      <c r="BV3" s="2" t="s">
        <v>994</v>
      </c>
      <c r="CF3" s="111"/>
      <c r="CG3" s="111"/>
      <c r="CH3" s="111"/>
      <c r="CI3" s="111"/>
      <c r="CJ3" s="111"/>
      <c r="CL3" s="121" t="s">
        <v>926</v>
      </c>
      <c r="CM3" s="121" t="s">
        <v>926</v>
      </c>
      <c r="CN3" s="121" t="s">
        <v>926</v>
      </c>
      <c r="CP3" s="2" t="s">
        <v>995</v>
      </c>
      <c r="CQ3" s="2" t="s">
        <v>995</v>
      </c>
      <c r="CR3" s="2" t="s">
        <v>995</v>
      </c>
      <c r="CS3" s="2" t="s">
        <v>995</v>
      </c>
      <c r="CT3" s="2" t="s">
        <v>995</v>
      </c>
      <c r="CU3" s="2" t="s">
        <v>995</v>
      </c>
      <c r="CV3" s="2" t="s">
        <v>995</v>
      </c>
      <c r="CW3" s="2" t="s">
        <v>995</v>
      </c>
      <c r="CX3" s="2" t="s">
        <v>995</v>
      </c>
      <c r="CY3" s="2" t="s">
        <v>995</v>
      </c>
      <c r="CZ3" s="2" t="s">
        <v>995</v>
      </c>
      <c r="DA3" s="2" t="s">
        <v>995</v>
      </c>
      <c r="DB3" s="2" t="s">
        <v>995</v>
      </c>
      <c r="DC3" s="2" t="s">
        <v>995</v>
      </c>
      <c r="DD3" s="2" t="s">
        <v>995</v>
      </c>
      <c r="DE3" s="2" t="s">
        <v>995</v>
      </c>
      <c r="DF3" s="2" t="s">
        <v>995</v>
      </c>
      <c r="DG3" s="2" t="s">
        <v>995</v>
      </c>
      <c r="DH3" s="2" t="s">
        <v>995</v>
      </c>
      <c r="DI3" s="2" t="s">
        <v>995</v>
      </c>
      <c r="DJ3" s="2" t="s">
        <v>995</v>
      </c>
      <c r="DK3" s="2" t="s">
        <v>995</v>
      </c>
      <c r="DL3" s="121" t="s">
        <v>996</v>
      </c>
      <c r="DM3" s="120" t="s">
        <v>926</v>
      </c>
      <c r="DN3" s="121" t="s">
        <v>926</v>
      </c>
      <c r="DO3" s="121" t="s">
        <v>926</v>
      </c>
      <c r="DP3" s="121" t="s">
        <v>926</v>
      </c>
      <c r="DQ3" s="119" t="s">
        <v>997</v>
      </c>
      <c r="DR3" s="121" t="s">
        <v>926</v>
      </c>
      <c r="DS3" s="121" t="s">
        <v>926</v>
      </c>
      <c r="DT3" s="121" t="s">
        <v>926</v>
      </c>
      <c r="DU3" s="121" t="s">
        <v>926</v>
      </c>
      <c r="DV3" s="121" t="s">
        <v>926</v>
      </c>
      <c r="DW3" s="119" t="s">
        <v>1646</v>
      </c>
      <c r="DX3" s="122" t="s">
        <v>998</v>
      </c>
      <c r="DY3" s="119" t="s">
        <v>926</v>
      </c>
      <c r="DZ3" s="124"/>
    </row>
    <row r="4" spans="1:130" ht="12" customHeight="1">
      <c r="C4" s="129">
        <v>4</v>
      </c>
      <c r="K4" s="2" t="s">
        <v>999</v>
      </c>
      <c r="L4" s="2" t="s">
        <v>1000</v>
      </c>
      <c r="M4" s="126" t="s">
        <v>1001</v>
      </c>
      <c r="N4" s="2" t="s">
        <v>1002</v>
      </c>
      <c r="O4" s="117" t="s">
        <v>926</v>
      </c>
      <c r="P4" s="2" t="s">
        <v>1003</v>
      </c>
      <c r="Q4" s="2" t="s">
        <v>1004</v>
      </c>
      <c r="R4" s="2" t="s">
        <v>1004</v>
      </c>
      <c r="S4" s="2" t="s">
        <v>1002</v>
      </c>
      <c r="T4" s="2" t="s">
        <v>999</v>
      </c>
      <c r="U4" s="2" t="s">
        <v>1000</v>
      </c>
      <c r="V4" s="126" t="s">
        <v>1005</v>
      </c>
      <c r="W4" s="2" t="s">
        <v>1006</v>
      </c>
      <c r="X4" s="2" t="s">
        <v>1002</v>
      </c>
      <c r="Y4" s="117" t="s">
        <v>926</v>
      </c>
      <c r="Z4" s="112" t="s">
        <v>926</v>
      </c>
      <c r="AA4" s="113" t="s">
        <v>926</v>
      </c>
      <c r="AB4" s="2" t="s">
        <v>999</v>
      </c>
      <c r="AC4" s="2" t="s">
        <v>1000</v>
      </c>
      <c r="AD4" s="126" t="s">
        <v>1007</v>
      </c>
      <c r="AE4" s="2" t="s">
        <v>1002</v>
      </c>
      <c r="AF4" s="2" t="s">
        <v>1008</v>
      </c>
      <c r="AG4" s="2" t="s">
        <v>1008</v>
      </c>
      <c r="AH4" s="2" t="s">
        <v>1008</v>
      </c>
      <c r="AI4" s="2" t="s">
        <v>999</v>
      </c>
      <c r="AJ4" s="2" t="s">
        <v>1000</v>
      </c>
      <c r="AK4" s="2" t="s">
        <v>926</v>
      </c>
      <c r="AL4" s="2" t="s">
        <v>1002</v>
      </c>
      <c r="AM4" s="2" t="s">
        <v>960</v>
      </c>
      <c r="AN4" s="2" t="s">
        <v>1009</v>
      </c>
      <c r="AO4" s="2" t="s">
        <v>1009</v>
      </c>
      <c r="AP4" s="2" t="s">
        <v>1010</v>
      </c>
      <c r="AQ4" s="117" t="s">
        <v>926</v>
      </c>
      <c r="AR4" s="117" t="s">
        <v>926</v>
      </c>
      <c r="AS4" s="117" t="s">
        <v>926</v>
      </c>
      <c r="AT4" s="117" t="s">
        <v>926</v>
      </c>
      <c r="AU4" s="117" t="s">
        <v>926</v>
      </c>
      <c r="AV4" s="2" t="s">
        <v>1008</v>
      </c>
      <c r="AW4" s="117" t="s">
        <v>926</v>
      </c>
      <c r="AY4" s="114" t="s">
        <v>926</v>
      </c>
      <c r="AZ4" s="114" t="s">
        <v>926</v>
      </c>
      <c r="BA4" s="112" t="s">
        <v>926</v>
      </c>
      <c r="BB4" s="112" t="s">
        <v>926</v>
      </c>
      <c r="BC4" s="115" t="s">
        <v>926</v>
      </c>
      <c r="BD4" s="116" t="s">
        <v>926</v>
      </c>
      <c r="BE4" s="116" t="s">
        <v>926</v>
      </c>
      <c r="BF4" s="115" t="s">
        <v>926</v>
      </c>
      <c r="BG4" s="116" t="s">
        <v>926</v>
      </c>
      <c r="BH4" s="116" t="s">
        <v>926</v>
      </c>
      <c r="BJ4" s="117" t="s">
        <v>926</v>
      </c>
      <c r="BK4" s="117" t="s">
        <v>926</v>
      </c>
      <c r="BL4" s="117" t="s">
        <v>926</v>
      </c>
      <c r="BM4" s="117" t="s">
        <v>926</v>
      </c>
      <c r="BN4" s="2" t="s">
        <v>1004</v>
      </c>
      <c r="BO4" s="117" t="s">
        <v>926</v>
      </c>
      <c r="BP4" s="118" t="s">
        <v>926</v>
      </c>
      <c r="BQ4" s="118" t="s">
        <v>926</v>
      </c>
      <c r="BR4" s="117" t="s">
        <v>926</v>
      </c>
      <c r="BS4" s="117" t="s">
        <v>926</v>
      </c>
      <c r="BT4" s="117" t="s">
        <v>926</v>
      </c>
      <c r="BU4" s="117" t="s">
        <v>926</v>
      </c>
      <c r="BV4" s="2" t="s">
        <v>1011</v>
      </c>
      <c r="CF4" s="111"/>
      <c r="CG4" s="111"/>
      <c r="CH4" s="111"/>
      <c r="CI4" s="111"/>
      <c r="CJ4" s="111"/>
      <c r="CL4" s="117" t="s">
        <v>926</v>
      </c>
      <c r="CM4" s="117" t="s">
        <v>926</v>
      </c>
      <c r="CN4" s="117" t="s">
        <v>926</v>
      </c>
      <c r="CP4" s="2" t="s">
        <v>999</v>
      </c>
      <c r="CQ4" s="2" t="s">
        <v>999</v>
      </c>
      <c r="CR4" s="2" t="s">
        <v>999</v>
      </c>
      <c r="CS4" s="2" t="s">
        <v>999</v>
      </c>
      <c r="CT4" s="2" t="s">
        <v>999</v>
      </c>
      <c r="CU4" s="2" t="s">
        <v>999</v>
      </c>
      <c r="CV4" s="2" t="s">
        <v>999</v>
      </c>
      <c r="CW4" s="2" t="s">
        <v>999</v>
      </c>
      <c r="CX4" s="2" t="s">
        <v>999</v>
      </c>
      <c r="CY4" s="2" t="s">
        <v>999</v>
      </c>
      <c r="CZ4" s="2" t="s">
        <v>999</v>
      </c>
      <c r="DA4" s="2" t="s">
        <v>999</v>
      </c>
      <c r="DB4" s="2" t="s">
        <v>999</v>
      </c>
      <c r="DC4" s="2" t="s">
        <v>999</v>
      </c>
      <c r="DD4" s="2" t="s">
        <v>999</v>
      </c>
      <c r="DE4" s="2" t="s">
        <v>999</v>
      </c>
      <c r="DF4" s="2" t="s">
        <v>999</v>
      </c>
      <c r="DG4" s="2" t="s">
        <v>999</v>
      </c>
      <c r="DH4" s="2" t="s">
        <v>999</v>
      </c>
      <c r="DI4" s="2" t="s">
        <v>999</v>
      </c>
      <c r="DJ4" s="2" t="s">
        <v>999</v>
      </c>
      <c r="DK4" s="2" t="s">
        <v>999</v>
      </c>
      <c r="DL4" s="121" t="s">
        <v>1012</v>
      </c>
      <c r="DM4" s="120" t="s">
        <v>926</v>
      </c>
      <c r="DN4" s="121" t="s">
        <v>926</v>
      </c>
      <c r="DO4" s="121" t="s">
        <v>926</v>
      </c>
      <c r="DP4" s="121" t="s">
        <v>926</v>
      </c>
      <c r="DQ4" s="121" t="s">
        <v>926</v>
      </c>
      <c r="DR4" s="121" t="s">
        <v>926</v>
      </c>
      <c r="DS4" s="121" t="s">
        <v>926</v>
      </c>
      <c r="DT4" s="121" t="s">
        <v>926</v>
      </c>
      <c r="DU4" s="121" t="s">
        <v>926</v>
      </c>
      <c r="DV4" s="121" t="s">
        <v>926</v>
      </c>
      <c r="DW4" s="121" t="s">
        <v>926</v>
      </c>
      <c r="DX4" s="113" t="s">
        <v>926</v>
      </c>
      <c r="DY4" s="119" t="s">
        <v>926</v>
      </c>
      <c r="DZ4" s="124"/>
    </row>
    <row r="5" spans="1:130" ht="12" customHeight="1">
      <c r="C5" s="111"/>
      <c r="J5" s="130" t="s">
        <v>1013</v>
      </c>
      <c r="K5" s="130" t="s">
        <v>1013</v>
      </c>
      <c r="L5" s="130" t="s">
        <v>1013</v>
      </c>
      <c r="M5" s="131" t="s">
        <v>1013</v>
      </c>
      <c r="N5" s="132" t="s">
        <v>1013</v>
      </c>
      <c r="O5" s="130" t="s">
        <v>1014</v>
      </c>
      <c r="P5" s="130" t="s">
        <v>1014</v>
      </c>
      <c r="Q5" s="130" t="s">
        <v>1014</v>
      </c>
      <c r="R5" s="130" t="s">
        <v>1014</v>
      </c>
      <c r="S5" s="132" t="s">
        <v>1014</v>
      </c>
      <c r="T5" s="130" t="s">
        <v>1014</v>
      </c>
      <c r="U5" s="130" t="s">
        <v>1014</v>
      </c>
      <c r="V5" s="131" t="s">
        <v>1014</v>
      </c>
      <c r="W5" s="130" t="s">
        <v>1014</v>
      </c>
      <c r="X5" s="132" t="s">
        <v>1014</v>
      </c>
      <c r="Y5" s="130" t="s">
        <v>1014</v>
      </c>
      <c r="Z5" s="133" t="s">
        <v>1014</v>
      </c>
      <c r="AA5" s="134" t="s">
        <v>1014</v>
      </c>
      <c r="AB5" s="130" t="s">
        <v>1014</v>
      </c>
      <c r="AC5" s="130" t="s">
        <v>1014</v>
      </c>
      <c r="AD5" s="131" t="s">
        <v>1014</v>
      </c>
      <c r="AE5" s="132" t="s">
        <v>1014</v>
      </c>
      <c r="AF5" s="130" t="s">
        <v>1014</v>
      </c>
      <c r="AG5" s="130" t="s">
        <v>1014</v>
      </c>
      <c r="AH5" s="130" t="s">
        <v>1014</v>
      </c>
      <c r="AI5" s="130" t="s">
        <v>1014</v>
      </c>
      <c r="AJ5" s="130" t="s">
        <v>1014</v>
      </c>
      <c r="AK5" s="130" t="s">
        <v>1014</v>
      </c>
      <c r="AL5" s="132" t="s">
        <v>1014</v>
      </c>
      <c r="AM5" s="130" t="s">
        <v>1014</v>
      </c>
      <c r="AN5" s="132" t="s">
        <v>1014</v>
      </c>
      <c r="AO5" s="130" t="s">
        <v>1014</v>
      </c>
      <c r="AP5" s="132" t="s">
        <v>1014</v>
      </c>
      <c r="AQ5" s="130" t="s">
        <v>1014</v>
      </c>
      <c r="AR5" s="130" t="s">
        <v>1014</v>
      </c>
      <c r="AS5" s="130" t="s">
        <v>1014</v>
      </c>
      <c r="AT5" s="130" t="s">
        <v>1014</v>
      </c>
      <c r="AU5" s="130" t="s">
        <v>1014</v>
      </c>
      <c r="AV5" s="130" t="s">
        <v>1014</v>
      </c>
      <c r="AW5" s="130" t="s">
        <v>1014</v>
      </c>
      <c r="AX5" s="130" t="s">
        <v>926</v>
      </c>
      <c r="AY5" s="135" t="s">
        <v>1013</v>
      </c>
      <c r="AZ5" s="135" t="s">
        <v>1013</v>
      </c>
      <c r="BA5" s="136" t="s">
        <v>1013</v>
      </c>
      <c r="BB5" s="136" t="s">
        <v>1013</v>
      </c>
      <c r="BC5" s="135" t="s">
        <v>1013</v>
      </c>
      <c r="BD5" s="136" t="s">
        <v>1013</v>
      </c>
      <c r="BE5" s="136" t="s">
        <v>1013</v>
      </c>
      <c r="BF5" s="137" t="s">
        <v>1013</v>
      </c>
      <c r="BG5" s="138" t="s">
        <v>1013</v>
      </c>
      <c r="BH5" s="138" t="s">
        <v>1013</v>
      </c>
      <c r="BI5" s="130" t="s">
        <v>926</v>
      </c>
      <c r="BJ5" s="139" t="s">
        <v>1015</v>
      </c>
      <c r="BK5" s="139" t="s">
        <v>1015</v>
      </c>
      <c r="BL5" s="139" t="s">
        <v>1015</v>
      </c>
      <c r="BM5" s="139" t="s">
        <v>1015</v>
      </c>
      <c r="BN5" s="139" t="s">
        <v>1015</v>
      </c>
      <c r="BO5" s="139" t="s">
        <v>1015</v>
      </c>
      <c r="BP5" s="139" t="s">
        <v>1015</v>
      </c>
      <c r="BQ5" s="139" t="s">
        <v>1015</v>
      </c>
      <c r="BR5" s="139" t="s">
        <v>1015</v>
      </c>
      <c r="BS5" s="139" t="s">
        <v>1015</v>
      </c>
      <c r="BT5" s="139" t="s">
        <v>1015</v>
      </c>
      <c r="BU5" s="139" t="s">
        <v>1015</v>
      </c>
      <c r="BV5" s="139" t="s">
        <v>1015</v>
      </c>
      <c r="BW5" s="140" t="s">
        <v>926</v>
      </c>
      <c r="BX5" s="139" t="s">
        <v>1015</v>
      </c>
      <c r="BY5" s="139" t="s">
        <v>1015</v>
      </c>
      <c r="BZ5" s="139" t="s">
        <v>1015</v>
      </c>
      <c r="CA5" s="139" t="s">
        <v>1015</v>
      </c>
      <c r="CB5" s="139" t="s">
        <v>1015</v>
      </c>
      <c r="CC5" s="139" t="s">
        <v>1015</v>
      </c>
      <c r="CD5" s="139" t="s">
        <v>1015</v>
      </c>
      <c r="CE5" s="140" t="s">
        <v>926</v>
      </c>
      <c r="CF5" s="139" t="s">
        <v>1015</v>
      </c>
      <c r="CG5" s="139" t="s">
        <v>1015</v>
      </c>
      <c r="CH5" s="139" t="s">
        <v>1015</v>
      </c>
      <c r="CI5" s="139" t="s">
        <v>1015</v>
      </c>
      <c r="CJ5" s="139" t="s">
        <v>1015</v>
      </c>
      <c r="CK5" s="139" t="s">
        <v>1015</v>
      </c>
      <c r="CL5" s="130" t="s">
        <v>1015</v>
      </c>
      <c r="CM5" s="130" t="s">
        <v>1015</v>
      </c>
      <c r="CN5" s="130" t="s">
        <v>1015</v>
      </c>
      <c r="CO5" s="130" t="s">
        <v>926</v>
      </c>
      <c r="CP5" s="141" t="s">
        <v>1013</v>
      </c>
      <c r="CQ5" s="141" t="s">
        <v>1013</v>
      </c>
      <c r="CR5" s="141" t="s">
        <v>1013</v>
      </c>
      <c r="CS5" s="141" t="s">
        <v>1013</v>
      </c>
      <c r="CT5" s="141" t="s">
        <v>1013</v>
      </c>
      <c r="CU5" s="141" t="s">
        <v>1013</v>
      </c>
      <c r="CV5" s="141" t="s">
        <v>1013</v>
      </c>
      <c r="CW5" s="141" t="s">
        <v>1013</v>
      </c>
      <c r="CX5" s="141" t="s">
        <v>1013</v>
      </c>
      <c r="CY5" s="141" t="s">
        <v>1013</v>
      </c>
      <c r="CZ5" s="141" t="s">
        <v>1013</v>
      </c>
      <c r="DA5" s="141" t="s">
        <v>1013</v>
      </c>
      <c r="DB5" s="141" t="s">
        <v>1013</v>
      </c>
      <c r="DC5" s="141" t="s">
        <v>1013</v>
      </c>
      <c r="DD5" s="141" t="s">
        <v>1013</v>
      </c>
      <c r="DE5" s="141" t="s">
        <v>1013</v>
      </c>
      <c r="DF5" s="141" t="s">
        <v>1013</v>
      </c>
      <c r="DG5" s="141" t="s">
        <v>1013</v>
      </c>
      <c r="DH5" s="141" t="s">
        <v>1013</v>
      </c>
      <c r="DI5" s="141" t="s">
        <v>1013</v>
      </c>
      <c r="DJ5" s="141" t="s">
        <v>1013</v>
      </c>
      <c r="DK5" s="141" t="s">
        <v>1013</v>
      </c>
      <c r="DL5" s="142" t="s">
        <v>1015</v>
      </c>
      <c r="DM5" s="143" t="s">
        <v>1015</v>
      </c>
      <c r="DN5" s="142" t="s">
        <v>1015</v>
      </c>
      <c r="DO5" s="142" t="s">
        <v>1015</v>
      </c>
      <c r="DP5" s="142" t="s">
        <v>1015</v>
      </c>
      <c r="DQ5" s="142" t="s">
        <v>1015</v>
      </c>
      <c r="DR5" s="144" t="s">
        <v>1647</v>
      </c>
      <c r="DS5" s="144" t="s">
        <v>1647</v>
      </c>
      <c r="DT5" s="144" t="s">
        <v>1647</v>
      </c>
      <c r="DU5" s="144" t="s">
        <v>1647</v>
      </c>
      <c r="DV5" s="136" t="s">
        <v>1013</v>
      </c>
      <c r="DW5" s="136" t="s">
        <v>1013</v>
      </c>
      <c r="DX5" s="145" t="s">
        <v>1013</v>
      </c>
      <c r="DY5" s="130" t="s">
        <v>1015</v>
      </c>
      <c r="DZ5" s="146" t="s">
        <v>1015</v>
      </c>
    </row>
    <row r="6" spans="1:130" s="109" customFormat="1" ht="12" customHeight="1">
      <c r="A6" s="147" t="s">
        <v>1016</v>
      </c>
      <c r="B6" s="148" t="s">
        <v>1017</v>
      </c>
      <c r="C6" s="147" t="s">
        <v>1018</v>
      </c>
      <c r="D6" s="147" t="s">
        <v>1019</v>
      </c>
      <c r="E6" s="147" t="s">
        <v>1020</v>
      </c>
      <c r="F6" s="147" t="s">
        <v>1021</v>
      </c>
      <c r="G6" s="147" t="s">
        <v>1022</v>
      </c>
      <c r="H6" s="147" t="s">
        <v>1023</v>
      </c>
      <c r="I6" s="147" t="s">
        <v>1648</v>
      </c>
      <c r="J6" s="147" t="s">
        <v>1024</v>
      </c>
      <c r="K6" s="147" t="s">
        <v>1025</v>
      </c>
      <c r="L6" s="147" t="s">
        <v>1026</v>
      </c>
      <c r="M6" s="147" t="s">
        <v>1027</v>
      </c>
      <c r="N6" s="149" t="s">
        <v>1028</v>
      </c>
      <c r="O6" s="147" t="s">
        <v>1029</v>
      </c>
      <c r="P6" s="147" t="s">
        <v>1030</v>
      </c>
      <c r="Q6" s="147" t="s">
        <v>1031</v>
      </c>
      <c r="R6" s="147" t="s">
        <v>1649</v>
      </c>
      <c r="S6" s="149" t="s">
        <v>1032</v>
      </c>
      <c r="T6" s="147" t="s">
        <v>1650</v>
      </c>
      <c r="U6" s="147" t="s">
        <v>1033</v>
      </c>
      <c r="V6" s="147" t="s">
        <v>1034</v>
      </c>
      <c r="W6" s="147" t="s">
        <v>1035</v>
      </c>
      <c r="X6" s="149" t="s">
        <v>1036</v>
      </c>
      <c r="Y6" s="147" t="s">
        <v>1651</v>
      </c>
      <c r="Z6" s="150" t="s">
        <v>1037</v>
      </c>
      <c r="AA6" s="151" t="s">
        <v>1652</v>
      </c>
      <c r="AB6" s="147" t="s">
        <v>1653</v>
      </c>
      <c r="AC6" s="147" t="s">
        <v>1038</v>
      </c>
      <c r="AD6" s="147" t="s">
        <v>1039</v>
      </c>
      <c r="AE6" s="149" t="s">
        <v>1040</v>
      </c>
      <c r="AF6" s="147" t="s">
        <v>1041</v>
      </c>
      <c r="AG6" s="147" t="s">
        <v>1042</v>
      </c>
      <c r="AH6" s="147" t="s">
        <v>1043</v>
      </c>
      <c r="AI6" s="147" t="s">
        <v>1654</v>
      </c>
      <c r="AJ6" s="147" t="s">
        <v>1044</v>
      </c>
      <c r="AK6" s="147" t="s">
        <v>1045</v>
      </c>
      <c r="AL6" s="149" t="s">
        <v>1046</v>
      </c>
      <c r="AM6" s="152" t="s">
        <v>1047</v>
      </c>
      <c r="AN6" s="153" t="s">
        <v>1048</v>
      </c>
      <c r="AO6" s="152" t="s">
        <v>1049</v>
      </c>
      <c r="AP6" s="153" t="s">
        <v>1050</v>
      </c>
      <c r="AQ6" s="152" t="s">
        <v>1051</v>
      </c>
      <c r="AR6" s="152" t="s">
        <v>1052</v>
      </c>
      <c r="AS6" s="152" t="s">
        <v>1053</v>
      </c>
      <c r="AT6" s="147" t="s">
        <v>1054</v>
      </c>
      <c r="AU6" s="147" t="s">
        <v>1055</v>
      </c>
      <c r="AV6" s="152" t="s">
        <v>1056</v>
      </c>
      <c r="AW6" s="152" t="s">
        <v>1057</v>
      </c>
      <c r="AX6" s="147" t="s">
        <v>1058</v>
      </c>
      <c r="AY6" s="154" t="s">
        <v>1655</v>
      </c>
      <c r="AZ6" s="155" t="s">
        <v>1059</v>
      </c>
      <c r="BA6" s="156" t="s">
        <v>1060</v>
      </c>
      <c r="BB6" s="156" t="s">
        <v>1061</v>
      </c>
      <c r="BC6" s="155" t="s">
        <v>1062</v>
      </c>
      <c r="BD6" s="155" t="s">
        <v>1063</v>
      </c>
      <c r="BE6" s="155" t="s">
        <v>1064</v>
      </c>
      <c r="BF6" s="155" t="s">
        <v>1065</v>
      </c>
      <c r="BG6" s="157" t="s">
        <v>1066</v>
      </c>
      <c r="BH6" s="157" t="s">
        <v>1067</v>
      </c>
      <c r="BI6" s="147" t="s">
        <v>1068</v>
      </c>
      <c r="BJ6" s="158" t="s">
        <v>1069</v>
      </c>
      <c r="BK6" s="158" t="s">
        <v>1070</v>
      </c>
      <c r="BL6" s="158" t="s">
        <v>1656</v>
      </c>
      <c r="BM6" s="158" t="s">
        <v>1071</v>
      </c>
      <c r="BN6" s="158" t="s">
        <v>1657</v>
      </c>
      <c r="BO6" s="158" t="s">
        <v>1658</v>
      </c>
      <c r="BP6" s="158" t="s">
        <v>1072</v>
      </c>
      <c r="BQ6" s="158" t="s">
        <v>1073</v>
      </c>
      <c r="BR6" s="158" t="s">
        <v>1659</v>
      </c>
      <c r="BS6" s="158" t="s">
        <v>1074</v>
      </c>
      <c r="BT6" s="158" t="s">
        <v>1075</v>
      </c>
      <c r="BU6" s="158" t="s">
        <v>1076</v>
      </c>
      <c r="BV6" s="158" t="s">
        <v>1077</v>
      </c>
      <c r="BW6" s="147" t="s">
        <v>1078</v>
      </c>
      <c r="BX6" s="158" t="s">
        <v>1079</v>
      </c>
      <c r="BY6" s="158" t="s">
        <v>1080</v>
      </c>
      <c r="BZ6" s="158" t="s">
        <v>1081</v>
      </c>
      <c r="CA6" s="158" t="s">
        <v>1082</v>
      </c>
      <c r="CB6" s="158" t="s">
        <v>1083</v>
      </c>
      <c r="CC6" s="158" t="s">
        <v>1084</v>
      </c>
      <c r="CD6" s="158" t="s">
        <v>1085</v>
      </c>
      <c r="CE6" s="147" t="s">
        <v>1086</v>
      </c>
      <c r="CF6" s="158" t="s">
        <v>1087</v>
      </c>
      <c r="CG6" s="158" t="s">
        <v>1088</v>
      </c>
      <c r="CH6" s="158" t="s">
        <v>1089</v>
      </c>
      <c r="CI6" s="158" t="s">
        <v>1090</v>
      </c>
      <c r="CJ6" s="158" t="s">
        <v>1091</v>
      </c>
      <c r="CK6" s="158" t="s">
        <v>1092</v>
      </c>
      <c r="CL6" s="147" t="s">
        <v>1093</v>
      </c>
      <c r="CM6" s="147" t="s">
        <v>1094</v>
      </c>
      <c r="CN6" s="147" t="s">
        <v>1660</v>
      </c>
      <c r="CO6" s="147" t="s">
        <v>1661</v>
      </c>
      <c r="CP6" s="159" t="s">
        <v>1095</v>
      </c>
      <c r="CQ6" s="159" t="s">
        <v>1096</v>
      </c>
      <c r="CR6" s="159" t="s">
        <v>1097</v>
      </c>
      <c r="CS6" s="159" t="s">
        <v>1098</v>
      </c>
      <c r="CT6" s="159" t="s">
        <v>1099</v>
      </c>
      <c r="CU6" s="159" t="s">
        <v>1100</v>
      </c>
      <c r="CV6" s="159" t="s">
        <v>1101</v>
      </c>
      <c r="CW6" s="159" t="s">
        <v>1102</v>
      </c>
      <c r="CX6" s="159" t="s">
        <v>1103</v>
      </c>
      <c r="CY6" s="159" t="s">
        <v>1104</v>
      </c>
      <c r="CZ6" s="159" t="s">
        <v>1105</v>
      </c>
      <c r="DA6" s="159" t="s">
        <v>1106</v>
      </c>
      <c r="DB6" s="159" t="s">
        <v>1107</v>
      </c>
      <c r="DC6" s="159" t="s">
        <v>1108</v>
      </c>
      <c r="DD6" s="159" t="s">
        <v>1109</v>
      </c>
      <c r="DE6" s="159" t="s">
        <v>1110</v>
      </c>
      <c r="DF6" s="159" t="s">
        <v>1111</v>
      </c>
      <c r="DG6" s="159" t="s">
        <v>1112</v>
      </c>
      <c r="DH6" s="159" t="s">
        <v>1113</v>
      </c>
      <c r="DI6" s="159" t="s">
        <v>1114</v>
      </c>
      <c r="DJ6" s="159" t="s">
        <v>1115</v>
      </c>
      <c r="DK6" s="159" t="s">
        <v>1116</v>
      </c>
      <c r="DL6" s="160" t="s">
        <v>1117</v>
      </c>
      <c r="DM6" s="161" t="s">
        <v>1118</v>
      </c>
      <c r="DN6" s="160" t="s">
        <v>1119</v>
      </c>
      <c r="DO6" s="160" t="s">
        <v>1120</v>
      </c>
      <c r="DP6" s="160" t="s">
        <v>1121</v>
      </c>
      <c r="DQ6" s="160" t="s">
        <v>1122</v>
      </c>
      <c r="DR6" s="162" t="s">
        <v>1662</v>
      </c>
      <c r="DS6" s="162" t="s">
        <v>1663</v>
      </c>
      <c r="DT6" s="162" t="s">
        <v>1123</v>
      </c>
      <c r="DU6" s="162" t="s">
        <v>1124</v>
      </c>
      <c r="DV6" s="159" t="s">
        <v>1125</v>
      </c>
      <c r="DW6" s="159" t="s">
        <v>1126</v>
      </c>
      <c r="DX6" s="163" t="s">
        <v>1127</v>
      </c>
      <c r="DY6" s="147" t="s">
        <v>1128</v>
      </c>
      <c r="DZ6" s="164" t="s">
        <v>1129</v>
      </c>
    </row>
    <row r="7" spans="1:130" ht="12" customHeight="1">
      <c r="A7" s="165">
        <v>45762</v>
      </c>
      <c r="B7" s="2" t="s">
        <v>1130</v>
      </c>
      <c r="C7" s="111" t="s">
        <v>926</v>
      </c>
      <c r="D7" s="111" t="s">
        <v>1131</v>
      </c>
      <c r="E7" s="111" t="s">
        <v>926</v>
      </c>
      <c r="F7" s="111" t="s">
        <v>926</v>
      </c>
      <c r="G7" s="111" t="s">
        <v>1664</v>
      </c>
      <c r="H7" s="111" t="s">
        <v>1665</v>
      </c>
      <c r="I7" s="111" t="s">
        <v>1666</v>
      </c>
      <c r="J7" s="111" t="s">
        <v>1148</v>
      </c>
      <c r="K7" s="111">
        <v>4</v>
      </c>
      <c r="L7" s="111">
        <v>2</v>
      </c>
      <c r="M7" s="111">
        <v>4</v>
      </c>
      <c r="N7" s="111">
        <v>1</v>
      </c>
      <c r="O7" s="111">
        <v>3</v>
      </c>
      <c r="P7" s="111">
        <v>2</v>
      </c>
      <c r="Q7" s="111">
        <v>3</v>
      </c>
      <c r="R7" s="111">
        <v>4</v>
      </c>
      <c r="S7" s="111">
        <v>1</v>
      </c>
      <c r="T7" s="111">
        <v>4</v>
      </c>
      <c r="U7" s="111">
        <v>2</v>
      </c>
      <c r="V7" s="111">
        <v>4</v>
      </c>
      <c r="W7" s="111">
        <v>3</v>
      </c>
      <c r="X7" s="111">
        <v>1</v>
      </c>
      <c r="Y7" s="111">
        <v>2</v>
      </c>
      <c r="Z7" s="166">
        <v>10065858</v>
      </c>
      <c r="AA7" s="167">
        <v>10.065858</v>
      </c>
      <c r="AB7" s="111">
        <v>1</v>
      </c>
      <c r="AC7" s="111">
        <v>1</v>
      </c>
      <c r="AD7" s="168">
        <v>1</v>
      </c>
      <c r="AE7" s="111">
        <v>1</v>
      </c>
      <c r="AF7" s="111">
        <v>1</v>
      </c>
      <c r="AG7" s="111">
        <v>1</v>
      </c>
      <c r="AH7" s="111">
        <v>1</v>
      </c>
      <c r="AI7" s="111">
        <v>1</v>
      </c>
      <c r="AJ7" s="111">
        <v>1</v>
      </c>
      <c r="AK7" s="111">
        <v>1</v>
      </c>
      <c r="AL7" s="111">
        <v>1</v>
      </c>
      <c r="AM7" s="111">
        <v>2</v>
      </c>
      <c r="AN7" s="111">
        <v>1</v>
      </c>
      <c r="AO7" s="111">
        <v>1</v>
      </c>
      <c r="AP7" s="111">
        <v>1</v>
      </c>
      <c r="AQ7" s="111">
        <v>1</v>
      </c>
      <c r="AR7" s="111">
        <v>1</v>
      </c>
      <c r="AS7" s="111">
        <v>1</v>
      </c>
      <c r="AT7" s="111">
        <v>2</v>
      </c>
      <c r="AU7" s="111">
        <v>2</v>
      </c>
      <c r="AV7" s="111">
        <v>1</v>
      </c>
      <c r="AW7" s="111">
        <v>1</v>
      </c>
      <c r="AX7" s="111" t="s">
        <v>926</v>
      </c>
      <c r="AY7" s="169">
        <v>59.1</v>
      </c>
      <c r="AZ7" s="169">
        <v>59.2</v>
      </c>
      <c r="BA7" s="166">
        <v>10483</v>
      </c>
      <c r="BB7" s="166">
        <v>881</v>
      </c>
      <c r="BC7" s="169">
        <v>0</v>
      </c>
      <c r="BD7" s="166">
        <v>0</v>
      </c>
      <c r="BE7" s="166">
        <v>0</v>
      </c>
      <c r="BF7" s="169">
        <v>69.265858000000009</v>
      </c>
      <c r="BG7" s="166">
        <v>10483</v>
      </c>
      <c r="BH7" s="166">
        <v>881</v>
      </c>
      <c r="BI7" s="111" t="s">
        <v>926</v>
      </c>
      <c r="BJ7" s="111">
        <v>1</v>
      </c>
      <c r="BK7" s="111">
        <v>1</v>
      </c>
      <c r="BL7" s="170">
        <v>1</v>
      </c>
      <c r="BM7" s="111">
        <v>2</v>
      </c>
      <c r="BN7" s="111">
        <v>3</v>
      </c>
      <c r="BO7" s="111" t="s">
        <v>1667</v>
      </c>
      <c r="BP7" s="111" t="s">
        <v>926</v>
      </c>
      <c r="BQ7" s="111" t="s">
        <v>926</v>
      </c>
      <c r="BR7" s="111" t="s">
        <v>926</v>
      </c>
      <c r="BS7" s="111" t="s">
        <v>926</v>
      </c>
      <c r="BT7" s="111" t="s">
        <v>926</v>
      </c>
      <c r="BU7" s="111" t="s">
        <v>926</v>
      </c>
      <c r="BV7" s="111">
        <v>1</v>
      </c>
      <c r="BW7" s="2" t="s">
        <v>1182</v>
      </c>
      <c r="BX7" s="2" t="s">
        <v>1132</v>
      </c>
      <c r="BY7" s="2" t="s">
        <v>1133</v>
      </c>
      <c r="BZ7" s="2" t="s">
        <v>1134</v>
      </c>
      <c r="CA7" s="2" t="s">
        <v>1135</v>
      </c>
      <c r="CB7" s="2" t="s">
        <v>1136</v>
      </c>
      <c r="CC7" s="2" t="s">
        <v>1137</v>
      </c>
      <c r="CD7" s="2" t="s">
        <v>1138</v>
      </c>
      <c r="CE7" s="2" t="s">
        <v>1182</v>
      </c>
      <c r="CF7" s="111" t="s">
        <v>1139</v>
      </c>
      <c r="CG7" s="111" t="s">
        <v>1140</v>
      </c>
      <c r="CH7" s="111" t="s">
        <v>1141</v>
      </c>
      <c r="CI7" s="111">
        <v>19045.548699999999</v>
      </c>
      <c r="CJ7" s="111" t="s">
        <v>1142</v>
      </c>
      <c r="CK7" s="2" t="s">
        <v>1143</v>
      </c>
      <c r="CL7" s="111">
        <v>2</v>
      </c>
      <c r="CM7" s="111">
        <v>2</v>
      </c>
      <c r="CN7" s="111">
        <v>1</v>
      </c>
      <c r="CO7" s="111" t="s">
        <v>926</v>
      </c>
      <c r="CP7" s="111">
        <v>3</v>
      </c>
      <c r="CQ7" s="111">
        <v>2</v>
      </c>
      <c r="CR7" s="111">
        <v>2</v>
      </c>
      <c r="CS7" s="111">
        <v>2</v>
      </c>
      <c r="CT7" s="111">
        <v>2</v>
      </c>
      <c r="CU7" s="111">
        <v>2</v>
      </c>
      <c r="CV7" s="111">
        <v>2</v>
      </c>
      <c r="CW7" s="111">
        <v>3</v>
      </c>
      <c r="CX7" s="111">
        <v>2</v>
      </c>
      <c r="CY7" s="111">
        <v>2</v>
      </c>
      <c r="CZ7" s="111">
        <v>2</v>
      </c>
      <c r="DA7" s="111">
        <v>2</v>
      </c>
      <c r="DB7" s="111">
        <v>2</v>
      </c>
      <c r="DC7" s="111">
        <v>2</v>
      </c>
      <c r="DD7" s="111">
        <v>2</v>
      </c>
      <c r="DE7" s="111">
        <v>3</v>
      </c>
      <c r="DF7" s="111">
        <v>3</v>
      </c>
      <c r="DG7" s="111">
        <v>3</v>
      </c>
      <c r="DH7" s="111">
        <v>2</v>
      </c>
      <c r="DI7" s="111">
        <v>2</v>
      </c>
      <c r="DJ7" s="111">
        <v>2</v>
      </c>
      <c r="DK7" s="111">
        <v>2</v>
      </c>
      <c r="DL7" s="111" t="s">
        <v>967</v>
      </c>
      <c r="DM7" s="171">
        <v>45943</v>
      </c>
      <c r="DN7" s="111" t="s">
        <v>1144</v>
      </c>
      <c r="DO7" s="2" t="s">
        <v>926</v>
      </c>
      <c r="DP7" s="172" t="s">
        <v>1145</v>
      </c>
      <c r="DQ7" s="172" t="s">
        <v>1146</v>
      </c>
      <c r="DR7" s="111">
        <v>1</v>
      </c>
      <c r="DS7" s="111">
        <v>1</v>
      </c>
      <c r="DT7" s="111" t="s">
        <v>1147</v>
      </c>
      <c r="DU7" s="111" t="s">
        <v>941</v>
      </c>
      <c r="DV7" s="111" t="s">
        <v>1148</v>
      </c>
      <c r="DW7" s="111" t="s">
        <v>1148</v>
      </c>
      <c r="DX7" s="167">
        <v>0.5</v>
      </c>
      <c r="DY7" s="111">
        <v>1</v>
      </c>
      <c r="DZ7" s="124"/>
    </row>
    <row r="8" spans="1:130" ht="12" hidden="1" customHeight="1">
      <c r="A8" s="165">
        <v>45763</v>
      </c>
      <c r="B8" s="2" t="s">
        <v>1149</v>
      </c>
      <c r="C8" s="111" t="s">
        <v>926</v>
      </c>
      <c r="D8" s="111" t="s">
        <v>1131</v>
      </c>
      <c r="E8" s="111" t="s">
        <v>926</v>
      </c>
      <c r="F8" s="111" t="s">
        <v>926</v>
      </c>
      <c r="G8" s="111" t="s">
        <v>1668</v>
      </c>
      <c r="H8" s="111" t="s">
        <v>1669</v>
      </c>
      <c r="I8" s="111" t="s">
        <v>1666</v>
      </c>
      <c r="J8" s="111" t="s">
        <v>1148</v>
      </c>
      <c r="K8" s="111">
        <v>4</v>
      </c>
      <c r="L8" s="111">
        <v>4</v>
      </c>
      <c r="M8" s="111">
        <v>2</v>
      </c>
      <c r="N8" s="111">
        <v>1</v>
      </c>
      <c r="O8" s="111">
        <v>2</v>
      </c>
      <c r="P8" s="111">
        <v>2</v>
      </c>
      <c r="Q8" s="111">
        <v>3</v>
      </c>
      <c r="R8" s="111">
        <v>2</v>
      </c>
      <c r="S8" s="111">
        <v>1</v>
      </c>
      <c r="T8" s="111">
        <v>4</v>
      </c>
      <c r="U8" s="111">
        <v>4</v>
      </c>
      <c r="V8" s="111">
        <v>4</v>
      </c>
      <c r="W8" s="111">
        <v>4</v>
      </c>
      <c r="X8" s="111">
        <v>2</v>
      </c>
      <c r="Y8" s="111">
        <v>2</v>
      </c>
      <c r="Z8" s="166">
        <v>9418561</v>
      </c>
      <c r="AA8" s="167">
        <v>9.4185610000000004</v>
      </c>
      <c r="AB8" s="111">
        <v>4</v>
      </c>
      <c r="AC8" s="111">
        <v>4</v>
      </c>
      <c r="AD8" s="168">
        <v>1</v>
      </c>
      <c r="AE8" s="111">
        <v>2</v>
      </c>
      <c r="AF8" s="111">
        <v>3</v>
      </c>
      <c r="AG8" s="111">
        <v>1</v>
      </c>
      <c r="AH8" s="111">
        <v>1</v>
      </c>
      <c r="AI8" s="111">
        <v>3</v>
      </c>
      <c r="AJ8" s="111">
        <v>3</v>
      </c>
      <c r="AK8" s="111">
        <v>1</v>
      </c>
      <c r="AL8" s="111">
        <v>1</v>
      </c>
      <c r="AM8" s="111">
        <v>2</v>
      </c>
      <c r="AN8" s="111">
        <v>1</v>
      </c>
      <c r="AO8" s="111">
        <v>1</v>
      </c>
      <c r="AP8" s="111">
        <v>1</v>
      </c>
      <c r="AQ8" s="111">
        <v>1</v>
      </c>
      <c r="AR8" s="111">
        <v>1</v>
      </c>
      <c r="AS8" s="111">
        <v>1</v>
      </c>
      <c r="AT8" s="111">
        <v>2</v>
      </c>
      <c r="AU8" s="170">
        <v>2</v>
      </c>
      <c r="AV8" s="111">
        <v>1</v>
      </c>
      <c r="AW8" s="111">
        <v>1</v>
      </c>
      <c r="AX8" s="111" t="s">
        <v>926</v>
      </c>
      <c r="AY8" s="169">
        <v>35.5</v>
      </c>
      <c r="AZ8" s="169">
        <v>35.700000000000003</v>
      </c>
      <c r="BA8" s="166">
        <v>105929</v>
      </c>
      <c r="BB8" s="166">
        <v>10454</v>
      </c>
      <c r="BC8" s="169">
        <v>0</v>
      </c>
      <c r="BD8" s="166">
        <v>0</v>
      </c>
      <c r="BE8" s="166">
        <v>0</v>
      </c>
      <c r="BF8" s="169">
        <v>45.118561</v>
      </c>
      <c r="BG8" s="166">
        <v>105929</v>
      </c>
      <c r="BH8" s="166">
        <v>10454</v>
      </c>
      <c r="BI8" s="111" t="s">
        <v>926</v>
      </c>
      <c r="BJ8" s="111">
        <v>1</v>
      </c>
      <c r="BK8" s="111">
        <v>1</v>
      </c>
      <c r="BL8" s="111">
        <v>1</v>
      </c>
      <c r="BM8" s="111">
        <v>2</v>
      </c>
      <c r="BN8" s="111">
        <v>2</v>
      </c>
      <c r="BO8" s="111" t="s">
        <v>1211</v>
      </c>
      <c r="BP8" s="111" t="s">
        <v>470</v>
      </c>
      <c r="BQ8" s="111" t="s">
        <v>1670</v>
      </c>
      <c r="BR8" s="111" t="s">
        <v>926</v>
      </c>
      <c r="BS8" s="111" t="s">
        <v>926</v>
      </c>
      <c r="BT8" s="111" t="s">
        <v>926</v>
      </c>
      <c r="BU8" s="111" t="s">
        <v>926</v>
      </c>
      <c r="BV8" s="111">
        <v>2</v>
      </c>
      <c r="BW8" s="2" t="s">
        <v>1182</v>
      </c>
      <c r="BX8" s="2" t="s">
        <v>1150</v>
      </c>
      <c r="BY8" s="2" t="s">
        <v>1133</v>
      </c>
      <c r="BZ8" s="2" t="s">
        <v>1134</v>
      </c>
      <c r="CA8" s="2" t="s">
        <v>1151</v>
      </c>
      <c r="CB8" s="2" t="s">
        <v>1152</v>
      </c>
      <c r="CC8" s="2" t="s">
        <v>1137</v>
      </c>
      <c r="CD8" s="2" t="s">
        <v>1138</v>
      </c>
      <c r="CE8" s="2" t="s">
        <v>1182</v>
      </c>
      <c r="CF8" s="111" t="s">
        <v>1139</v>
      </c>
      <c r="CG8" s="111" t="s">
        <v>1140</v>
      </c>
      <c r="CH8" s="111" t="s">
        <v>1153</v>
      </c>
      <c r="CI8" s="111">
        <v>19045.573700000001</v>
      </c>
      <c r="CJ8" s="111" t="s">
        <v>1154</v>
      </c>
      <c r="CK8" s="2" t="s">
        <v>1143</v>
      </c>
      <c r="CL8" s="111">
        <v>2</v>
      </c>
      <c r="CM8" s="111">
        <v>1</v>
      </c>
      <c r="CN8" s="111">
        <v>1</v>
      </c>
      <c r="CO8" s="111" t="s">
        <v>926</v>
      </c>
      <c r="CP8" s="111">
        <v>2</v>
      </c>
      <c r="CQ8" s="111">
        <v>3</v>
      </c>
      <c r="CR8" s="111">
        <v>2</v>
      </c>
      <c r="CS8" s="111">
        <v>3</v>
      </c>
      <c r="CT8" s="111">
        <v>3</v>
      </c>
      <c r="CU8" s="111">
        <v>3</v>
      </c>
      <c r="CV8" s="111">
        <v>4</v>
      </c>
      <c r="CW8" s="111">
        <v>2</v>
      </c>
      <c r="CX8" s="111">
        <v>2</v>
      </c>
      <c r="CY8" s="111">
        <v>2</v>
      </c>
      <c r="CZ8" s="111">
        <v>2</v>
      </c>
      <c r="DA8" s="111">
        <v>2</v>
      </c>
      <c r="DB8" s="111">
        <v>2</v>
      </c>
      <c r="DC8" s="111">
        <v>2</v>
      </c>
      <c r="DD8" s="111">
        <v>2</v>
      </c>
      <c r="DE8" s="111">
        <v>2</v>
      </c>
      <c r="DF8" s="111">
        <v>3</v>
      </c>
      <c r="DG8" s="111">
        <v>4</v>
      </c>
      <c r="DH8" s="111">
        <v>3</v>
      </c>
      <c r="DI8" s="111">
        <v>3</v>
      </c>
      <c r="DJ8" s="111">
        <v>3</v>
      </c>
      <c r="DK8" s="111">
        <v>2</v>
      </c>
      <c r="DL8" s="111" t="s">
        <v>967</v>
      </c>
      <c r="DM8" s="171">
        <v>45943</v>
      </c>
      <c r="DN8" s="111" t="s">
        <v>1144</v>
      </c>
      <c r="DO8" s="2" t="s">
        <v>926</v>
      </c>
      <c r="DP8" s="172" t="s">
        <v>1145</v>
      </c>
      <c r="DQ8" s="172" t="s">
        <v>1146</v>
      </c>
      <c r="DR8" s="111">
        <v>1</v>
      </c>
      <c r="DS8" s="111">
        <v>1</v>
      </c>
      <c r="DT8" s="111" t="s">
        <v>1155</v>
      </c>
      <c r="DU8" s="111" t="s">
        <v>971</v>
      </c>
      <c r="DV8" s="111" t="s">
        <v>1148</v>
      </c>
      <c r="DW8" s="111" t="s">
        <v>1148</v>
      </c>
      <c r="DX8" s="167">
        <v>1</v>
      </c>
      <c r="DY8" s="111">
        <v>1</v>
      </c>
      <c r="DZ8" s="124"/>
    </row>
    <row r="9" spans="1:130" ht="12" customHeight="1">
      <c r="A9" s="165">
        <v>45763</v>
      </c>
      <c r="B9" s="2" t="s">
        <v>1156</v>
      </c>
      <c r="C9" s="111" t="s">
        <v>926</v>
      </c>
      <c r="D9" s="111" t="s">
        <v>1131</v>
      </c>
      <c r="E9" s="111" t="s">
        <v>926</v>
      </c>
      <c r="F9" s="111" t="s">
        <v>926</v>
      </c>
      <c r="G9" s="111" t="s">
        <v>1671</v>
      </c>
      <c r="H9" s="111" t="s">
        <v>1672</v>
      </c>
      <c r="I9" s="111" t="s">
        <v>1666</v>
      </c>
      <c r="J9" s="111" t="s">
        <v>1148</v>
      </c>
      <c r="K9" s="111">
        <v>3</v>
      </c>
      <c r="L9" s="111">
        <v>3</v>
      </c>
      <c r="M9" s="111">
        <v>4</v>
      </c>
      <c r="N9" s="111">
        <v>1</v>
      </c>
      <c r="O9" s="111">
        <v>2</v>
      </c>
      <c r="P9" s="111">
        <v>2</v>
      </c>
      <c r="Q9" s="111">
        <v>3</v>
      </c>
      <c r="R9" s="111">
        <v>1</v>
      </c>
      <c r="S9" s="111">
        <v>1</v>
      </c>
      <c r="T9" s="111">
        <v>3</v>
      </c>
      <c r="U9" s="111">
        <v>3</v>
      </c>
      <c r="V9" s="111">
        <v>4</v>
      </c>
      <c r="W9" s="111">
        <v>4</v>
      </c>
      <c r="X9" s="111">
        <v>1</v>
      </c>
      <c r="Y9" s="111">
        <v>1</v>
      </c>
      <c r="Z9" s="166">
        <v>8710025</v>
      </c>
      <c r="AA9" s="167">
        <v>8.7100249999999999</v>
      </c>
      <c r="AB9" s="111">
        <v>3</v>
      </c>
      <c r="AC9" s="111">
        <v>3</v>
      </c>
      <c r="AD9" s="168">
        <v>1</v>
      </c>
      <c r="AE9" s="111">
        <v>1</v>
      </c>
      <c r="AF9" s="111">
        <v>3</v>
      </c>
      <c r="AG9" s="111">
        <v>1</v>
      </c>
      <c r="AH9" s="111">
        <v>1</v>
      </c>
      <c r="AI9" s="111">
        <v>3</v>
      </c>
      <c r="AJ9" s="111">
        <v>3</v>
      </c>
      <c r="AK9" s="111">
        <v>1</v>
      </c>
      <c r="AL9" s="111">
        <v>1</v>
      </c>
      <c r="AM9" s="111">
        <v>4</v>
      </c>
      <c r="AN9" s="111">
        <v>1</v>
      </c>
      <c r="AO9" s="111">
        <v>1</v>
      </c>
      <c r="AP9" s="111">
        <v>1</v>
      </c>
      <c r="AQ9" s="111">
        <v>1</v>
      </c>
      <c r="AR9" s="111">
        <v>1</v>
      </c>
      <c r="AS9" s="111">
        <v>1</v>
      </c>
      <c r="AT9" s="111">
        <v>1</v>
      </c>
      <c r="AU9" s="111">
        <v>1</v>
      </c>
      <c r="AV9" s="111">
        <v>1</v>
      </c>
      <c r="AW9" s="111">
        <v>1</v>
      </c>
      <c r="AX9" s="111" t="s">
        <v>926</v>
      </c>
      <c r="AY9" s="169">
        <v>7.89</v>
      </c>
      <c r="AZ9" s="169">
        <v>7.92</v>
      </c>
      <c r="BA9" s="166">
        <v>18331</v>
      </c>
      <c r="BB9" s="166">
        <v>2218</v>
      </c>
      <c r="BC9" s="169">
        <v>0</v>
      </c>
      <c r="BD9" s="166">
        <v>0</v>
      </c>
      <c r="BE9" s="166">
        <v>0</v>
      </c>
      <c r="BF9" s="169">
        <v>16.630025</v>
      </c>
      <c r="BG9" s="166">
        <v>18331</v>
      </c>
      <c r="BH9" s="166">
        <v>2218</v>
      </c>
      <c r="BI9" s="111" t="s">
        <v>926</v>
      </c>
      <c r="BJ9" s="111">
        <v>1</v>
      </c>
      <c r="BK9" s="111">
        <v>1</v>
      </c>
      <c r="BL9" s="111">
        <v>1</v>
      </c>
      <c r="BM9" s="111">
        <v>2</v>
      </c>
      <c r="BN9" s="111">
        <v>3</v>
      </c>
      <c r="BO9" s="111" t="s">
        <v>1157</v>
      </c>
      <c r="BP9" s="111" t="s">
        <v>470</v>
      </c>
      <c r="BQ9" s="111" t="s">
        <v>1673</v>
      </c>
      <c r="BR9" s="111" t="s">
        <v>926</v>
      </c>
      <c r="BS9" s="111" t="s">
        <v>926</v>
      </c>
      <c r="BT9" s="111" t="s">
        <v>926</v>
      </c>
      <c r="BU9" s="111" t="s">
        <v>926</v>
      </c>
      <c r="BV9" s="111">
        <v>1</v>
      </c>
      <c r="BW9" s="2" t="s">
        <v>1182</v>
      </c>
      <c r="BX9" s="2" t="s">
        <v>1674</v>
      </c>
      <c r="BY9" s="2" t="s">
        <v>1675</v>
      </c>
      <c r="BZ9" s="2" t="s">
        <v>1676</v>
      </c>
      <c r="CA9" s="2" t="s">
        <v>1677</v>
      </c>
      <c r="CB9" s="2" t="s">
        <v>1678</v>
      </c>
      <c r="CC9" s="2" t="s">
        <v>1137</v>
      </c>
      <c r="CD9" s="2" t="s">
        <v>1167</v>
      </c>
      <c r="CE9" s="2" t="s">
        <v>1182</v>
      </c>
      <c r="CF9" s="111" t="s">
        <v>1168</v>
      </c>
      <c r="CG9" s="111" t="s">
        <v>1184</v>
      </c>
      <c r="CH9" s="111" t="s">
        <v>1679</v>
      </c>
      <c r="CI9" s="111">
        <v>26100.377499999999</v>
      </c>
      <c r="CJ9" s="111" t="s">
        <v>1680</v>
      </c>
      <c r="CK9" s="2" t="s">
        <v>1235</v>
      </c>
      <c r="CL9" s="111">
        <v>2</v>
      </c>
      <c r="CM9" s="111">
        <v>1</v>
      </c>
      <c r="CN9" s="111">
        <v>1</v>
      </c>
      <c r="CO9" s="111" t="s">
        <v>926</v>
      </c>
      <c r="CP9" s="111">
        <v>2</v>
      </c>
      <c r="CQ9" s="111">
        <v>2</v>
      </c>
      <c r="CR9" s="111">
        <v>2</v>
      </c>
      <c r="CS9" s="111">
        <v>3</v>
      </c>
      <c r="CT9" s="111">
        <v>2</v>
      </c>
      <c r="CU9" s="111">
        <v>2</v>
      </c>
      <c r="CV9" s="111">
        <v>2</v>
      </c>
      <c r="CW9" s="111">
        <v>3</v>
      </c>
      <c r="CX9" s="111">
        <v>2</v>
      </c>
      <c r="CY9" s="111">
        <v>2</v>
      </c>
      <c r="CZ9" s="111">
        <v>2</v>
      </c>
      <c r="DA9" s="111">
        <v>2</v>
      </c>
      <c r="DB9" s="111">
        <v>2</v>
      </c>
      <c r="DC9" s="111">
        <v>2</v>
      </c>
      <c r="DD9" s="111">
        <v>2</v>
      </c>
      <c r="DE9" s="111">
        <v>2</v>
      </c>
      <c r="DF9" s="111">
        <v>3</v>
      </c>
      <c r="DG9" s="111">
        <v>2</v>
      </c>
      <c r="DH9" s="111">
        <v>3</v>
      </c>
      <c r="DI9" s="111">
        <v>3</v>
      </c>
      <c r="DJ9" s="111">
        <v>3</v>
      </c>
      <c r="DK9" s="111">
        <v>2</v>
      </c>
      <c r="DL9" s="111" t="s">
        <v>937</v>
      </c>
      <c r="DM9" s="171" t="s">
        <v>926</v>
      </c>
      <c r="DN9" s="111" t="s">
        <v>1144</v>
      </c>
      <c r="DO9" s="2" t="s">
        <v>926</v>
      </c>
      <c r="DP9" s="111" t="s">
        <v>926</v>
      </c>
      <c r="DQ9" s="111" t="s">
        <v>926</v>
      </c>
      <c r="DR9" s="111">
        <v>1</v>
      </c>
      <c r="DS9" s="111">
        <v>1</v>
      </c>
      <c r="DT9" s="111" t="s">
        <v>1158</v>
      </c>
      <c r="DU9" s="111" t="s">
        <v>941</v>
      </c>
      <c r="DV9" s="111" t="s">
        <v>1148</v>
      </c>
      <c r="DW9" s="111" t="s">
        <v>1148</v>
      </c>
      <c r="DX9" s="167">
        <v>0.5</v>
      </c>
      <c r="DY9" s="111">
        <v>1</v>
      </c>
      <c r="DZ9" s="124"/>
    </row>
    <row r="10" spans="1:130" ht="12" hidden="1" customHeight="1">
      <c r="A10" s="165">
        <v>45757</v>
      </c>
      <c r="B10" s="2" t="s">
        <v>1159</v>
      </c>
      <c r="C10" s="111" t="s">
        <v>926</v>
      </c>
      <c r="D10" s="111" t="s">
        <v>1160</v>
      </c>
      <c r="E10" s="111" t="s">
        <v>1161</v>
      </c>
      <c r="F10" s="111" t="s">
        <v>926</v>
      </c>
      <c r="G10" s="111" t="s">
        <v>1681</v>
      </c>
      <c r="H10" s="111" t="s">
        <v>1682</v>
      </c>
      <c r="I10" s="111" t="s">
        <v>1666</v>
      </c>
      <c r="J10" s="111" t="s">
        <v>1269</v>
      </c>
      <c r="K10" s="111">
        <v>4</v>
      </c>
      <c r="L10" s="111">
        <v>4</v>
      </c>
      <c r="M10" s="111">
        <v>2</v>
      </c>
      <c r="N10" s="111">
        <v>4</v>
      </c>
      <c r="O10" s="111">
        <v>2</v>
      </c>
      <c r="P10" s="111">
        <v>2</v>
      </c>
      <c r="Q10" s="111">
        <v>1</v>
      </c>
      <c r="R10" s="111">
        <v>1</v>
      </c>
      <c r="S10" s="111">
        <v>4</v>
      </c>
      <c r="T10" s="111">
        <v>4</v>
      </c>
      <c r="U10" s="111">
        <v>3</v>
      </c>
      <c r="V10" s="111">
        <v>4</v>
      </c>
      <c r="W10" s="111">
        <v>2</v>
      </c>
      <c r="X10" s="111">
        <v>4</v>
      </c>
      <c r="Y10" s="111">
        <v>1</v>
      </c>
      <c r="Z10" s="166">
        <v>32400000</v>
      </c>
      <c r="AA10" s="167">
        <v>32.4</v>
      </c>
      <c r="AB10" s="111">
        <v>4</v>
      </c>
      <c r="AC10" s="111">
        <v>3</v>
      </c>
      <c r="AD10" s="168">
        <v>3</v>
      </c>
      <c r="AE10" s="111">
        <v>3</v>
      </c>
      <c r="AF10" s="111">
        <v>3</v>
      </c>
      <c r="AG10" s="111">
        <v>2</v>
      </c>
      <c r="AH10" s="111">
        <v>1</v>
      </c>
      <c r="AI10" s="111">
        <v>3</v>
      </c>
      <c r="AJ10" s="111">
        <v>3</v>
      </c>
      <c r="AK10" s="111">
        <v>3</v>
      </c>
      <c r="AL10" s="111">
        <v>1</v>
      </c>
      <c r="AM10" s="111">
        <v>4</v>
      </c>
      <c r="AN10" s="111">
        <v>4</v>
      </c>
      <c r="AO10" s="111">
        <v>4</v>
      </c>
      <c r="AP10" s="111">
        <v>1</v>
      </c>
      <c r="AQ10" s="111">
        <v>3</v>
      </c>
      <c r="AR10" s="111">
        <v>1</v>
      </c>
      <c r="AS10" s="111">
        <v>1</v>
      </c>
      <c r="AT10" s="111">
        <v>2</v>
      </c>
      <c r="AU10" s="111">
        <v>1</v>
      </c>
      <c r="AV10" s="111">
        <v>1</v>
      </c>
      <c r="AW10" s="170">
        <v>1</v>
      </c>
      <c r="AX10" s="111" t="s">
        <v>926</v>
      </c>
      <c r="AY10" s="169">
        <v>0.61799999999999999</v>
      </c>
      <c r="AZ10" s="169">
        <v>0.62</v>
      </c>
      <c r="BA10" s="166">
        <v>1522</v>
      </c>
      <c r="BB10" s="166">
        <v>104</v>
      </c>
      <c r="BC10" s="169">
        <v>0.11899999999999999</v>
      </c>
      <c r="BD10" s="166">
        <v>546</v>
      </c>
      <c r="BE10" s="166">
        <v>16</v>
      </c>
      <c r="BF10" s="169">
        <v>33.138999999999996</v>
      </c>
      <c r="BG10" s="166">
        <v>2068</v>
      </c>
      <c r="BH10" s="166">
        <v>120</v>
      </c>
      <c r="BI10" s="111" t="s">
        <v>926</v>
      </c>
      <c r="BJ10" s="111">
        <v>1</v>
      </c>
      <c r="BK10" s="111">
        <v>2</v>
      </c>
      <c r="BL10" s="111">
        <v>1</v>
      </c>
      <c r="BM10" s="111">
        <v>1</v>
      </c>
      <c r="BN10" s="111">
        <v>1</v>
      </c>
      <c r="BO10" s="111" t="s">
        <v>1192</v>
      </c>
      <c r="BP10" s="111" t="s">
        <v>1683</v>
      </c>
      <c r="BQ10" s="111" t="s">
        <v>1684</v>
      </c>
      <c r="BR10" s="111" t="s">
        <v>926</v>
      </c>
      <c r="BS10" s="111" t="s">
        <v>926</v>
      </c>
      <c r="BT10" s="111" t="s">
        <v>926</v>
      </c>
      <c r="BU10" s="111" t="s">
        <v>926</v>
      </c>
      <c r="BV10" s="111">
        <v>1</v>
      </c>
      <c r="BW10" s="2" t="s">
        <v>1182</v>
      </c>
      <c r="BX10" s="2" t="s">
        <v>1162</v>
      </c>
      <c r="BY10" s="2" t="s">
        <v>1163</v>
      </c>
      <c r="BZ10" s="2" t="s">
        <v>1164</v>
      </c>
      <c r="CA10" s="2" t="s">
        <v>1165</v>
      </c>
      <c r="CB10" s="2" t="s">
        <v>1166</v>
      </c>
      <c r="CC10" s="2" t="s">
        <v>1137</v>
      </c>
      <c r="CD10" s="2" t="s">
        <v>1167</v>
      </c>
      <c r="CE10" s="2" t="s">
        <v>1182</v>
      </c>
      <c r="CF10" s="111" t="s">
        <v>1168</v>
      </c>
      <c r="CG10" s="111" t="s">
        <v>1169</v>
      </c>
      <c r="CH10" s="111" t="s">
        <v>1170</v>
      </c>
      <c r="CI10" s="111">
        <v>22631.518899999999</v>
      </c>
      <c r="CJ10" s="111" t="s">
        <v>1171</v>
      </c>
      <c r="CK10" s="2" t="s">
        <v>1172</v>
      </c>
      <c r="CL10" s="111">
        <v>2</v>
      </c>
      <c r="CM10" s="111">
        <v>1</v>
      </c>
      <c r="CN10" s="111">
        <v>1</v>
      </c>
      <c r="CO10" s="111" t="s">
        <v>926</v>
      </c>
      <c r="CP10" s="111">
        <v>1</v>
      </c>
      <c r="CQ10" s="111">
        <v>1</v>
      </c>
      <c r="CR10" s="111">
        <v>1</v>
      </c>
      <c r="CS10" s="111">
        <v>4</v>
      </c>
      <c r="CT10" s="111">
        <v>1</v>
      </c>
      <c r="CU10" s="111">
        <v>4</v>
      </c>
      <c r="CV10" s="111">
        <v>3</v>
      </c>
      <c r="CW10" s="111">
        <v>4</v>
      </c>
      <c r="CX10" s="111">
        <v>1</v>
      </c>
      <c r="CY10" s="111">
        <v>1</v>
      </c>
      <c r="CZ10" s="111">
        <v>1</v>
      </c>
      <c r="DA10" s="111">
        <v>1</v>
      </c>
      <c r="DB10" s="111">
        <v>1</v>
      </c>
      <c r="DC10" s="111">
        <v>1</v>
      </c>
      <c r="DD10" s="111">
        <v>1</v>
      </c>
      <c r="DE10" s="111">
        <v>1</v>
      </c>
      <c r="DF10" s="111">
        <v>4</v>
      </c>
      <c r="DG10" s="111">
        <v>1</v>
      </c>
      <c r="DH10" s="111">
        <v>1</v>
      </c>
      <c r="DI10" s="111">
        <v>1</v>
      </c>
      <c r="DJ10" s="111">
        <v>1</v>
      </c>
      <c r="DK10" s="111">
        <v>1</v>
      </c>
      <c r="DL10" s="111" t="s">
        <v>967</v>
      </c>
      <c r="DM10" s="171"/>
      <c r="DN10" s="111" t="s">
        <v>1144</v>
      </c>
      <c r="DO10" s="2" t="s">
        <v>926</v>
      </c>
      <c r="DP10" s="111" t="s">
        <v>1173</v>
      </c>
      <c r="DQ10" s="111" t="s">
        <v>1174</v>
      </c>
      <c r="DR10" s="111">
        <v>1</v>
      </c>
      <c r="DS10" s="111">
        <v>1</v>
      </c>
      <c r="DT10" s="111" t="s">
        <v>1158</v>
      </c>
      <c r="DU10" s="111" t="s">
        <v>941</v>
      </c>
      <c r="DV10" s="173" t="s">
        <v>1148</v>
      </c>
      <c r="DW10" s="170" t="s">
        <v>1646</v>
      </c>
      <c r="DX10" s="167">
        <v>1</v>
      </c>
      <c r="DY10" s="111">
        <v>1</v>
      </c>
      <c r="DZ10" s="124" t="s">
        <v>1175</v>
      </c>
    </row>
    <row r="11" spans="1:130" ht="12" customHeight="1">
      <c r="A11" s="165">
        <v>45756</v>
      </c>
      <c r="B11" s="2" t="s">
        <v>1176</v>
      </c>
      <c r="C11" s="111" t="s">
        <v>926</v>
      </c>
      <c r="D11" s="111" t="s">
        <v>1160</v>
      </c>
      <c r="E11" s="111" t="s">
        <v>1161</v>
      </c>
      <c r="F11" s="111" t="s">
        <v>926</v>
      </c>
      <c r="G11" s="111" t="s">
        <v>1685</v>
      </c>
      <c r="H11" s="111" t="s">
        <v>1686</v>
      </c>
      <c r="I11" s="111" t="s">
        <v>1666</v>
      </c>
      <c r="J11" s="111" t="s">
        <v>1269</v>
      </c>
      <c r="K11" s="111">
        <v>4</v>
      </c>
      <c r="L11" s="111">
        <v>4</v>
      </c>
      <c r="M11" s="111">
        <v>2</v>
      </c>
      <c r="N11" s="111">
        <v>4</v>
      </c>
      <c r="O11" s="111">
        <v>2</v>
      </c>
      <c r="P11" s="111">
        <v>2</v>
      </c>
      <c r="Q11" s="111">
        <v>3</v>
      </c>
      <c r="R11" s="111">
        <v>3</v>
      </c>
      <c r="S11" s="111">
        <v>4</v>
      </c>
      <c r="T11" s="111">
        <v>4</v>
      </c>
      <c r="U11" s="111">
        <v>4</v>
      </c>
      <c r="V11" s="111">
        <v>4</v>
      </c>
      <c r="W11" s="111">
        <v>3</v>
      </c>
      <c r="X11" s="111">
        <v>4</v>
      </c>
      <c r="Y11" s="111">
        <v>1</v>
      </c>
      <c r="Z11" s="166">
        <v>31300000</v>
      </c>
      <c r="AA11" s="167">
        <v>31.3</v>
      </c>
      <c r="AB11" s="111">
        <v>4</v>
      </c>
      <c r="AC11" s="111">
        <v>4</v>
      </c>
      <c r="AD11" s="168">
        <v>1</v>
      </c>
      <c r="AE11" s="111">
        <v>4</v>
      </c>
      <c r="AF11" s="111">
        <v>4</v>
      </c>
      <c r="AG11" s="111">
        <v>2</v>
      </c>
      <c r="AH11" s="111">
        <v>1</v>
      </c>
      <c r="AI11" s="111">
        <v>4</v>
      </c>
      <c r="AJ11" s="111">
        <v>4</v>
      </c>
      <c r="AK11" s="111">
        <v>2</v>
      </c>
      <c r="AL11" s="111">
        <v>4</v>
      </c>
      <c r="AM11" s="111">
        <v>3</v>
      </c>
      <c r="AN11" s="111">
        <v>2</v>
      </c>
      <c r="AO11" s="111">
        <v>2</v>
      </c>
      <c r="AP11" s="111">
        <v>1</v>
      </c>
      <c r="AQ11" s="111">
        <v>1</v>
      </c>
      <c r="AR11" s="111">
        <v>2</v>
      </c>
      <c r="AS11" s="111">
        <v>2</v>
      </c>
      <c r="AT11" s="111">
        <v>1</v>
      </c>
      <c r="AU11" s="111">
        <v>1</v>
      </c>
      <c r="AV11" s="111">
        <v>1</v>
      </c>
      <c r="AW11" s="111">
        <v>1</v>
      </c>
      <c r="AX11" s="111" t="s">
        <v>926</v>
      </c>
      <c r="AY11" s="169">
        <v>44</v>
      </c>
      <c r="AZ11" s="169">
        <v>44.2</v>
      </c>
      <c r="BA11" s="166">
        <v>69859</v>
      </c>
      <c r="BB11" s="166">
        <v>12310</v>
      </c>
      <c r="BC11" s="169">
        <v>2.72</v>
      </c>
      <c r="BD11" s="166">
        <v>3140</v>
      </c>
      <c r="BE11" s="166">
        <v>162</v>
      </c>
      <c r="BF11" s="169">
        <v>78.22</v>
      </c>
      <c r="BG11" s="166">
        <v>72999</v>
      </c>
      <c r="BH11" s="166">
        <v>12472</v>
      </c>
      <c r="BI11" s="111" t="s">
        <v>926</v>
      </c>
      <c r="BJ11" s="111">
        <v>1</v>
      </c>
      <c r="BK11" s="111">
        <v>1</v>
      </c>
      <c r="BL11" s="111">
        <v>1</v>
      </c>
      <c r="BM11" s="111">
        <v>2</v>
      </c>
      <c r="BN11" s="111">
        <v>3</v>
      </c>
      <c r="BO11" s="111" t="s">
        <v>1192</v>
      </c>
      <c r="BP11" s="111" t="s">
        <v>1683</v>
      </c>
      <c r="BQ11" s="111" t="s">
        <v>1684</v>
      </c>
      <c r="BR11" s="111" t="s">
        <v>926</v>
      </c>
      <c r="BS11" s="111" t="s">
        <v>926</v>
      </c>
      <c r="BT11" s="111" t="s">
        <v>926</v>
      </c>
      <c r="BU11" s="111" t="s">
        <v>926</v>
      </c>
      <c r="BV11" s="111">
        <v>1</v>
      </c>
      <c r="BW11" s="2" t="s">
        <v>1182</v>
      </c>
      <c r="BX11" s="2" t="s">
        <v>1177</v>
      </c>
      <c r="BY11" s="2" t="s">
        <v>1178</v>
      </c>
      <c r="BZ11" s="2" t="s">
        <v>1179</v>
      </c>
      <c r="CA11" s="2" t="s">
        <v>1180</v>
      </c>
      <c r="CB11" s="2" t="s">
        <v>1181</v>
      </c>
      <c r="CC11" s="2" t="s">
        <v>1137</v>
      </c>
      <c r="CD11" s="2" t="s">
        <v>1167</v>
      </c>
      <c r="CE11" s="2" t="s">
        <v>1182</v>
      </c>
      <c r="CF11" s="111" t="s">
        <v>1183</v>
      </c>
      <c r="CG11" s="111" t="s">
        <v>1184</v>
      </c>
      <c r="CH11" s="111" t="s">
        <v>1185</v>
      </c>
      <c r="CI11" s="111">
        <v>26100.3194</v>
      </c>
      <c r="CJ11" s="111" t="s">
        <v>1186</v>
      </c>
      <c r="CK11" s="2" t="s">
        <v>1187</v>
      </c>
      <c r="CL11" s="111">
        <v>1</v>
      </c>
      <c r="CM11" s="111">
        <v>1</v>
      </c>
      <c r="CN11" s="111">
        <v>1</v>
      </c>
      <c r="CO11" s="111" t="s">
        <v>926</v>
      </c>
      <c r="CP11" s="111">
        <v>1</v>
      </c>
      <c r="CQ11" s="111">
        <v>1</v>
      </c>
      <c r="CR11" s="111">
        <v>1</v>
      </c>
      <c r="CS11" s="111">
        <v>4</v>
      </c>
      <c r="CT11" s="111">
        <v>2</v>
      </c>
      <c r="CU11" s="111">
        <v>1</v>
      </c>
      <c r="CV11" s="111">
        <v>3</v>
      </c>
      <c r="CW11" s="111">
        <v>4</v>
      </c>
      <c r="CX11" s="111">
        <v>1</v>
      </c>
      <c r="CY11" s="111">
        <v>1</v>
      </c>
      <c r="CZ11" s="111">
        <v>1</v>
      </c>
      <c r="DA11" s="111">
        <v>2</v>
      </c>
      <c r="DB11" s="111">
        <v>1</v>
      </c>
      <c r="DC11" s="111">
        <v>1</v>
      </c>
      <c r="DD11" s="111">
        <v>1</v>
      </c>
      <c r="DE11" s="111">
        <v>2</v>
      </c>
      <c r="DF11" s="111">
        <v>4</v>
      </c>
      <c r="DG11" s="111">
        <v>2</v>
      </c>
      <c r="DH11" s="111">
        <v>1</v>
      </c>
      <c r="DI11" s="111">
        <v>2</v>
      </c>
      <c r="DJ11" s="111">
        <v>2</v>
      </c>
      <c r="DK11" s="111">
        <v>1</v>
      </c>
      <c r="DL11" s="111" t="s">
        <v>937</v>
      </c>
      <c r="DM11" s="171" t="s">
        <v>926</v>
      </c>
      <c r="DN11" s="111" t="s">
        <v>1144</v>
      </c>
      <c r="DO11" s="2" t="s">
        <v>926</v>
      </c>
      <c r="DP11" s="111" t="s">
        <v>926</v>
      </c>
      <c r="DQ11" s="111" t="s">
        <v>926</v>
      </c>
      <c r="DR11" s="111">
        <v>1</v>
      </c>
      <c r="DS11" s="111">
        <v>1</v>
      </c>
      <c r="DT11" s="111" t="s">
        <v>1158</v>
      </c>
      <c r="DU11" s="111" t="s">
        <v>941</v>
      </c>
      <c r="DV11" s="173" t="s">
        <v>1148</v>
      </c>
      <c r="DW11" s="170" t="s">
        <v>1646</v>
      </c>
      <c r="DX11" s="167">
        <v>1</v>
      </c>
      <c r="DY11" s="111">
        <v>1</v>
      </c>
      <c r="DZ11" s="124"/>
    </row>
    <row r="12" spans="1:130" ht="12" hidden="1" customHeight="1">
      <c r="A12" s="165">
        <v>45757</v>
      </c>
      <c r="B12" s="2" t="s">
        <v>1188</v>
      </c>
      <c r="C12" s="111" t="s">
        <v>926</v>
      </c>
      <c r="D12" s="111" t="s">
        <v>1160</v>
      </c>
      <c r="E12" s="111" t="s">
        <v>1161</v>
      </c>
      <c r="F12" s="111" t="s">
        <v>926</v>
      </c>
      <c r="G12" s="111" t="s">
        <v>1687</v>
      </c>
      <c r="H12" s="111" t="s">
        <v>1688</v>
      </c>
      <c r="I12" s="111" t="s">
        <v>1666</v>
      </c>
      <c r="J12" s="111" t="s">
        <v>1269</v>
      </c>
      <c r="K12" s="111">
        <v>4</v>
      </c>
      <c r="L12" s="111">
        <v>3</v>
      </c>
      <c r="M12" s="111">
        <v>2</v>
      </c>
      <c r="N12" s="111">
        <v>4</v>
      </c>
      <c r="O12" s="111">
        <v>2</v>
      </c>
      <c r="P12" s="111">
        <v>2</v>
      </c>
      <c r="Q12" s="111">
        <v>1</v>
      </c>
      <c r="R12" s="111">
        <v>1</v>
      </c>
      <c r="S12" s="111">
        <v>3</v>
      </c>
      <c r="T12" s="111">
        <v>4</v>
      </c>
      <c r="U12" s="111">
        <v>3</v>
      </c>
      <c r="V12" s="111">
        <v>4</v>
      </c>
      <c r="W12" s="111">
        <v>2</v>
      </c>
      <c r="X12" s="111">
        <v>3</v>
      </c>
      <c r="Y12" s="111">
        <v>1</v>
      </c>
      <c r="Z12" s="166">
        <v>32253161</v>
      </c>
      <c r="AA12" s="167">
        <v>32.253160999999999</v>
      </c>
      <c r="AB12" s="111">
        <v>4</v>
      </c>
      <c r="AC12" s="111">
        <v>3</v>
      </c>
      <c r="AD12" s="168">
        <v>2</v>
      </c>
      <c r="AE12" s="111">
        <v>3</v>
      </c>
      <c r="AF12" s="111">
        <v>4</v>
      </c>
      <c r="AG12" s="111">
        <v>1</v>
      </c>
      <c r="AH12" s="111">
        <v>1</v>
      </c>
      <c r="AI12" s="111">
        <v>2</v>
      </c>
      <c r="AJ12" s="111">
        <v>3</v>
      </c>
      <c r="AK12" s="111">
        <v>1</v>
      </c>
      <c r="AL12" s="111">
        <v>1</v>
      </c>
      <c r="AM12" s="111">
        <v>3</v>
      </c>
      <c r="AN12" s="111">
        <v>1</v>
      </c>
      <c r="AO12" s="111">
        <v>1</v>
      </c>
      <c r="AP12" s="111">
        <v>1</v>
      </c>
      <c r="AQ12" s="111">
        <v>1</v>
      </c>
      <c r="AR12" s="111">
        <v>1</v>
      </c>
      <c r="AS12" s="111">
        <v>1</v>
      </c>
      <c r="AT12" s="111">
        <v>1</v>
      </c>
      <c r="AU12" s="111">
        <v>1</v>
      </c>
      <c r="AV12" s="111">
        <v>1</v>
      </c>
      <c r="AW12" s="111">
        <v>1</v>
      </c>
      <c r="AX12" s="111" t="s">
        <v>926</v>
      </c>
      <c r="AY12" s="169">
        <v>40.700000000000003</v>
      </c>
      <c r="AZ12" s="169">
        <v>40.799999999999997</v>
      </c>
      <c r="BA12" s="166">
        <v>58440</v>
      </c>
      <c r="BB12" s="166">
        <v>15204</v>
      </c>
      <c r="BC12" s="169">
        <v>0.42299999999999999</v>
      </c>
      <c r="BD12" s="166">
        <v>707</v>
      </c>
      <c r="BE12" s="166">
        <v>5</v>
      </c>
      <c r="BF12" s="169">
        <v>73.476160999999991</v>
      </c>
      <c r="BG12" s="166">
        <v>59147</v>
      </c>
      <c r="BH12" s="166">
        <v>15209</v>
      </c>
      <c r="BI12" s="111" t="s">
        <v>926</v>
      </c>
      <c r="BJ12" s="111">
        <v>2</v>
      </c>
      <c r="BK12" s="111">
        <v>2</v>
      </c>
      <c r="BL12" s="111">
        <v>2</v>
      </c>
      <c r="BM12" s="111">
        <v>1</v>
      </c>
      <c r="BN12" s="111">
        <v>1</v>
      </c>
      <c r="BO12" s="111" t="s">
        <v>1192</v>
      </c>
      <c r="BP12" s="111" t="s">
        <v>1683</v>
      </c>
      <c r="BQ12" s="111" t="s">
        <v>1684</v>
      </c>
      <c r="BR12" s="111" t="s">
        <v>926</v>
      </c>
      <c r="BS12" s="111" t="s">
        <v>926</v>
      </c>
      <c r="BT12" s="111" t="s">
        <v>926</v>
      </c>
      <c r="BU12" s="111" t="s">
        <v>926</v>
      </c>
      <c r="BV12" s="174">
        <v>1</v>
      </c>
      <c r="BW12" s="2" t="s">
        <v>1182</v>
      </c>
      <c r="BX12" s="175" t="s">
        <v>1194</v>
      </c>
      <c r="BY12" s="2" t="s">
        <v>1163</v>
      </c>
      <c r="BZ12" s="2" t="s">
        <v>1204</v>
      </c>
      <c r="CA12" s="2" t="s">
        <v>1195</v>
      </c>
      <c r="CB12" s="2" t="s">
        <v>1689</v>
      </c>
      <c r="CC12" s="2" t="s">
        <v>1137</v>
      </c>
      <c r="CD12" s="2" t="s">
        <v>1167</v>
      </c>
      <c r="CE12" s="2" t="s">
        <v>1182</v>
      </c>
      <c r="CF12" s="111" t="s">
        <v>1168</v>
      </c>
      <c r="CG12" s="111" t="s">
        <v>1184</v>
      </c>
      <c r="CH12" s="111" t="s">
        <v>1690</v>
      </c>
      <c r="CI12" s="111">
        <v>26100.377499999999</v>
      </c>
      <c r="CJ12" s="111" t="s">
        <v>1171</v>
      </c>
      <c r="CK12" s="2" t="s">
        <v>1691</v>
      </c>
      <c r="CL12" s="111">
        <v>1</v>
      </c>
      <c r="CM12" s="111">
        <v>1</v>
      </c>
      <c r="CN12" s="111">
        <v>1</v>
      </c>
      <c r="CO12" s="111" t="s">
        <v>926</v>
      </c>
      <c r="CP12" s="111">
        <v>1</v>
      </c>
      <c r="CQ12" s="111">
        <v>1</v>
      </c>
      <c r="CR12" s="111">
        <v>1</v>
      </c>
      <c r="CS12" s="111">
        <v>4</v>
      </c>
      <c r="CT12" s="111">
        <v>1</v>
      </c>
      <c r="CU12" s="111">
        <v>1</v>
      </c>
      <c r="CV12" s="111">
        <v>2</v>
      </c>
      <c r="CW12" s="111">
        <v>3</v>
      </c>
      <c r="CX12" s="111">
        <v>1</v>
      </c>
      <c r="CY12" s="111">
        <v>1</v>
      </c>
      <c r="CZ12" s="111">
        <v>1</v>
      </c>
      <c r="DA12" s="111">
        <v>1</v>
      </c>
      <c r="DB12" s="111">
        <v>1</v>
      </c>
      <c r="DC12" s="111">
        <v>1</v>
      </c>
      <c r="DD12" s="111">
        <v>1</v>
      </c>
      <c r="DE12" s="111">
        <v>1</v>
      </c>
      <c r="DF12" s="111">
        <v>3</v>
      </c>
      <c r="DG12" s="111">
        <v>1</v>
      </c>
      <c r="DH12" s="111">
        <v>1</v>
      </c>
      <c r="DI12" s="111">
        <v>1</v>
      </c>
      <c r="DJ12" s="111">
        <v>1</v>
      </c>
      <c r="DK12" s="111">
        <v>1</v>
      </c>
      <c r="DL12" s="111" t="s">
        <v>967</v>
      </c>
      <c r="DM12" s="171"/>
      <c r="DN12" s="111" t="s">
        <v>1144</v>
      </c>
      <c r="DO12" s="2" t="s">
        <v>926</v>
      </c>
      <c r="DP12" s="111" t="s">
        <v>1173</v>
      </c>
      <c r="DQ12" s="111" t="s">
        <v>1174</v>
      </c>
      <c r="DR12" s="111">
        <v>1</v>
      </c>
      <c r="DS12" s="111">
        <v>1</v>
      </c>
      <c r="DT12" s="111" t="s">
        <v>1158</v>
      </c>
      <c r="DU12" s="111" t="s">
        <v>941</v>
      </c>
      <c r="DV12" s="173" t="s">
        <v>1148</v>
      </c>
      <c r="DW12" s="170" t="s">
        <v>1646</v>
      </c>
      <c r="DX12" s="167">
        <v>1</v>
      </c>
      <c r="DY12" s="111">
        <v>1</v>
      </c>
      <c r="DZ12" s="124" t="s">
        <v>1189</v>
      </c>
    </row>
    <row r="13" spans="1:130" ht="12" customHeight="1">
      <c r="A13" s="165">
        <v>45755</v>
      </c>
      <c r="B13" s="2" t="s">
        <v>1190</v>
      </c>
      <c r="C13" s="111" t="s">
        <v>926</v>
      </c>
      <c r="D13" s="111" t="s">
        <v>1160</v>
      </c>
      <c r="E13" s="111" t="s">
        <v>1161</v>
      </c>
      <c r="F13" s="111" t="s">
        <v>926</v>
      </c>
      <c r="G13" s="111" t="s">
        <v>1692</v>
      </c>
      <c r="H13" s="111" t="s">
        <v>1693</v>
      </c>
      <c r="I13" s="111" t="s">
        <v>1666</v>
      </c>
      <c r="J13" s="111" t="s">
        <v>1269</v>
      </c>
      <c r="K13" s="111">
        <v>4</v>
      </c>
      <c r="L13" s="111">
        <v>4</v>
      </c>
      <c r="M13" s="111">
        <v>2</v>
      </c>
      <c r="N13" s="111">
        <v>2</v>
      </c>
      <c r="O13" s="111">
        <v>2</v>
      </c>
      <c r="P13" s="111">
        <v>3</v>
      </c>
      <c r="Q13" s="111">
        <v>3</v>
      </c>
      <c r="R13" s="111">
        <v>3</v>
      </c>
      <c r="S13" s="111">
        <v>2</v>
      </c>
      <c r="T13" s="111">
        <v>4</v>
      </c>
      <c r="U13" s="111">
        <v>4</v>
      </c>
      <c r="V13" s="111">
        <v>4</v>
      </c>
      <c r="W13" s="111">
        <v>3</v>
      </c>
      <c r="X13" s="111">
        <v>2</v>
      </c>
      <c r="Y13" s="111">
        <v>1</v>
      </c>
      <c r="Z13" s="166">
        <v>22343611</v>
      </c>
      <c r="AA13" s="167">
        <v>22.343610999999999</v>
      </c>
      <c r="AB13" s="111">
        <v>4</v>
      </c>
      <c r="AC13" s="111">
        <v>4</v>
      </c>
      <c r="AD13" s="168">
        <v>3</v>
      </c>
      <c r="AE13" s="111">
        <v>4</v>
      </c>
      <c r="AF13" s="111">
        <v>3</v>
      </c>
      <c r="AG13" s="111">
        <v>3</v>
      </c>
      <c r="AH13" s="111">
        <v>1</v>
      </c>
      <c r="AI13" s="111">
        <v>4</v>
      </c>
      <c r="AJ13" s="111">
        <v>3</v>
      </c>
      <c r="AK13" s="111">
        <v>2</v>
      </c>
      <c r="AL13" s="111">
        <v>4</v>
      </c>
      <c r="AM13" s="111">
        <v>3</v>
      </c>
      <c r="AN13" s="111">
        <v>2</v>
      </c>
      <c r="AO13" s="111">
        <v>1</v>
      </c>
      <c r="AP13" s="111">
        <v>1</v>
      </c>
      <c r="AQ13" s="111">
        <v>2</v>
      </c>
      <c r="AR13" s="111">
        <v>1</v>
      </c>
      <c r="AS13" s="111">
        <v>1</v>
      </c>
      <c r="AT13" s="111">
        <v>1</v>
      </c>
      <c r="AU13" s="111">
        <v>1</v>
      </c>
      <c r="AV13" s="111">
        <v>1</v>
      </c>
      <c r="AW13" s="111">
        <v>1</v>
      </c>
      <c r="AX13" s="111" t="s">
        <v>926</v>
      </c>
      <c r="AY13" s="169">
        <v>26.9</v>
      </c>
      <c r="AZ13" s="169">
        <v>27</v>
      </c>
      <c r="BA13" s="166">
        <v>70703</v>
      </c>
      <c r="BB13" s="166">
        <v>8231</v>
      </c>
      <c r="BC13" s="169">
        <v>4.5200000000000004E-2</v>
      </c>
      <c r="BD13" s="166">
        <v>107</v>
      </c>
      <c r="BE13" s="166">
        <v>4</v>
      </c>
      <c r="BF13" s="169">
        <v>49.388810999999997</v>
      </c>
      <c r="BG13" s="166">
        <v>70810</v>
      </c>
      <c r="BH13" s="166">
        <v>8235</v>
      </c>
      <c r="BI13" s="111" t="s">
        <v>926</v>
      </c>
      <c r="BJ13" s="111">
        <v>1</v>
      </c>
      <c r="BK13" s="111">
        <v>2</v>
      </c>
      <c r="BL13" s="111">
        <v>2</v>
      </c>
      <c r="BM13" s="111">
        <v>1</v>
      </c>
      <c r="BN13" s="111">
        <v>4</v>
      </c>
      <c r="BO13" s="111" t="s">
        <v>1192</v>
      </c>
      <c r="BP13" s="111" t="s">
        <v>1683</v>
      </c>
      <c r="BQ13" s="111" t="s">
        <v>1684</v>
      </c>
      <c r="BR13" s="111" t="s">
        <v>926</v>
      </c>
      <c r="BS13" s="111" t="s">
        <v>926</v>
      </c>
      <c r="BT13" s="111" t="s">
        <v>926</v>
      </c>
      <c r="BU13" s="111" t="s">
        <v>926</v>
      </c>
      <c r="BV13" s="111">
        <v>1</v>
      </c>
      <c r="BW13" s="2" t="s">
        <v>1182</v>
      </c>
      <c r="BX13" s="2" t="s">
        <v>1194</v>
      </c>
      <c r="BY13" s="2" t="s">
        <v>1163</v>
      </c>
      <c r="BZ13" s="2" t="s">
        <v>1204</v>
      </c>
      <c r="CA13" s="2" t="s">
        <v>1195</v>
      </c>
      <c r="CB13" s="2" t="s">
        <v>1694</v>
      </c>
      <c r="CC13" s="2" t="s">
        <v>1137</v>
      </c>
      <c r="CD13" s="2" t="s">
        <v>1167</v>
      </c>
      <c r="CE13" s="2" t="s">
        <v>1182</v>
      </c>
      <c r="CF13" s="111" t="s">
        <v>1168</v>
      </c>
      <c r="CG13" s="111" t="s">
        <v>1184</v>
      </c>
      <c r="CH13" s="111" t="s">
        <v>1690</v>
      </c>
      <c r="CI13" s="111">
        <v>26100.347600000001</v>
      </c>
      <c r="CJ13" s="111" t="s">
        <v>1171</v>
      </c>
      <c r="CK13" s="2" t="s">
        <v>1198</v>
      </c>
      <c r="CL13" s="111">
        <v>1</v>
      </c>
      <c r="CM13" s="111">
        <v>1</v>
      </c>
      <c r="CN13" s="111">
        <v>1</v>
      </c>
      <c r="CO13" s="111" t="s">
        <v>926</v>
      </c>
      <c r="CP13" s="111">
        <v>1</v>
      </c>
      <c r="CQ13" s="111">
        <v>1</v>
      </c>
      <c r="CR13" s="111">
        <v>1</v>
      </c>
      <c r="CS13" s="111">
        <v>4</v>
      </c>
      <c r="CT13" s="111">
        <v>3</v>
      </c>
      <c r="CU13" s="111">
        <v>1</v>
      </c>
      <c r="CV13" s="111">
        <v>3</v>
      </c>
      <c r="CW13" s="111">
        <v>4</v>
      </c>
      <c r="CX13" s="111">
        <v>1</v>
      </c>
      <c r="CY13" s="111">
        <v>1</v>
      </c>
      <c r="CZ13" s="111">
        <v>1</v>
      </c>
      <c r="DA13" s="111">
        <v>2</v>
      </c>
      <c r="DB13" s="111">
        <v>1</v>
      </c>
      <c r="DC13" s="111">
        <v>1</v>
      </c>
      <c r="DD13" s="111">
        <v>1</v>
      </c>
      <c r="DE13" s="111">
        <v>3</v>
      </c>
      <c r="DF13" s="111">
        <v>4</v>
      </c>
      <c r="DG13" s="111">
        <v>2</v>
      </c>
      <c r="DH13" s="111">
        <v>2</v>
      </c>
      <c r="DI13" s="111">
        <v>2</v>
      </c>
      <c r="DJ13" s="111">
        <v>2</v>
      </c>
      <c r="DK13" s="111">
        <v>2</v>
      </c>
      <c r="DL13" s="111" t="s">
        <v>967</v>
      </c>
      <c r="DM13" s="171"/>
      <c r="DN13" s="111" t="s">
        <v>1144</v>
      </c>
      <c r="DO13" s="2" t="s">
        <v>926</v>
      </c>
      <c r="DP13" s="111" t="s">
        <v>1173</v>
      </c>
      <c r="DQ13" s="111" t="s">
        <v>1174</v>
      </c>
      <c r="DR13" s="111">
        <v>1</v>
      </c>
      <c r="DS13" s="111">
        <v>1</v>
      </c>
      <c r="DT13" s="111" t="s">
        <v>1158</v>
      </c>
      <c r="DU13" s="111" t="s">
        <v>941</v>
      </c>
      <c r="DV13" s="173" t="s">
        <v>1148</v>
      </c>
      <c r="DW13" s="170" t="s">
        <v>1646</v>
      </c>
      <c r="DX13" s="167">
        <v>1</v>
      </c>
      <c r="DY13" s="111">
        <v>1</v>
      </c>
      <c r="DZ13" s="124"/>
    </row>
    <row r="14" spans="1:130" ht="12" hidden="1" customHeight="1">
      <c r="A14" s="165">
        <v>45756</v>
      </c>
      <c r="B14" s="2" t="s">
        <v>1191</v>
      </c>
      <c r="C14" s="111" t="s">
        <v>926</v>
      </c>
      <c r="D14" s="111" t="s">
        <v>1160</v>
      </c>
      <c r="E14" s="111" t="s">
        <v>1161</v>
      </c>
      <c r="F14" s="111" t="s">
        <v>926</v>
      </c>
      <c r="G14" s="111" t="s">
        <v>1695</v>
      </c>
      <c r="H14" s="111" t="s">
        <v>1696</v>
      </c>
      <c r="I14" s="111" t="s">
        <v>1666</v>
      </c>
      <c r="J14" s="111" t="s">
        <v>1269</v>
      </c>
      <c r="K14" s="111">
        <v>4</v>
      </c>
      <c r="L14" s="111">
        <v>4</v>
      </c>
      <c r="M14" s="111">
        <v>3</v>
      </c>
      <c r="N14" s="111">
        <v>3</v>
      </c>
      <c r="O14" s="111">
        <v>3</v>
      </c>
      <c r="P14" s="111">
        <v>4</v>
      </c>
      <c r="Q14" s="111">
        <v>4</v>
      </c>
      <c r="R14" s="111">
        <v>3</v>
      </c>
      <c r="S14" s="111">
        <v>2</v>
      </c>
      <c r="T14" s="111">
        <v>4</v>
      </c>
      <c r="U14" s="111">
        <v>4</v>
      </c>
      <c r="V14" s="111">
        <v>4</v>
      </c>
      <c r="W14" s="111">
        <v>3</v>
      </c>
      <c r="X14" s="111">
        <v>3</v>
      </c>
      <c r="Y14" s="111">
        <v>1</v>
      </c>
      <c r="Z14" s="166">
        <v>6540521</v>
      </c>
      <c r="AA14" s="167">
        <v>6.540521</v>
      </c>
      <c r="AB14" s="111">
        <v>4</v>
      </c>
      <c r="AC14" s="111">
        <v>4</v>
      </c>
      <c r="AD14" s="168">
        <v>3</v>
      </c>
      <c r="AE14" s="111">
        <v>3</v>
      </c>
      <c r="AF14" s="111">
        <v>3</v>
      </c>
      <c r="AG14" s="111">
        <v>2</v>
      </c>
      <c r="AH14" s="111">
        <v>1</v>
      </c>
      <c r="AI14" s="111">
        <v>4</v>
      </c>
      <c r="AJ14" s="111">
        <v>4</v>
      </c>
      <c r="AK14" s="111">
        <v>1</v>
      </c>
      <c r="AL14" s="111">
        <v>3</v>
      </c>
      <c r="AM14" s="111">
        <v>3</v>
      </c>
      <c r="AN14" s="111">
        <v>3</v>
      </c>
      <c r="AO14" s="111">
        <v>1</v>
      </c>
      <c r="AP14" s="111">
        <v>1</v>
      </c>
      <c r="AQ14" s="111">
        <v>3</v>
      </c>
      <c r="AR14" s="111">
        <v>1</v>
      </c>
      <c r="AS14" s="111">
        <v>1</v>
      </c>
      <c r="AT14" s="111">
        <v>1</v>
      </c>
      <c r="AU14" s="111">
        <v>1</v>
      </c>
      <c r="AV14" s="111">
        <v>1</v>
      </c>
      <c r="AW14" s="111">
        <v>1</v>
      </c>
      <c r="AX14" s="111" t="s">
        <v>926</v>
      </c>
      <c r="AY14" s="169">
        <v>14.8</v>
      </c>
      <c r="AZ14" s="169">
        <v>15</v>
      </c>
      <c r="BA14" s="166">
        <v>61683</v>
      </c>
      <c r="BB14" s="166">
        <v>4581</v>
      </c>
      <c r="BC14" s="169">
        <v>2.92E-2</v>
      </c>
      <c r="BD14" s="166">
        <v>84</v>
      </c>
      <c r="BE14" s="166">
        <v>11</v>
      </c>
      <c r="BF14" s="169">
        <v>21.569720999999998</v>
      </c>
      <c r="BG14" s="166">
        <v>61767</v>
      </c>
      <c r="BH14" s="166">
        <v>4592</v>
      </c>
      <c r="BI14" s="111" t="s">
        <v>926</v>
      </c>
      <c r="BJ14" s="111">
        <v>1</v>
      </c>
      <c r="BK14" s="111">
        <v>2</v>
      </c>
      <c r="BL14" s="111">
        <v>1</v>
      </c>
      <c r="BM14" s="111">
        <v>1</v>
      </c>
      <c r="BN14" s="111">
        <v>1</v>
      </c>
      <c r="BO14" s="170" t="s">
        <v>1192</v>
      </c>
      <c r="BP14" s="111" t="s">
        <v>1683</v>
      </c>
      <c r="BQ14" s="111" t="s">
        <v>1684</v>
      </c>
      <c r="BR14" s="111" t="s">
        <v>926</v>
      </c>
      <c r="BS14" s="111" t="s">
        <v>926</v>
      </c>
      <c r="BT14" s="111" t="s">
        <v>926</v>
      </c>
      <c r="BU14" s="111" t="s">
        <v>926</v>
      </c>
      <c r="BV14" s="111">
        <v>1</v>
      </c>
      <c r="BW14" s="2" t="s">
        <v>1182</v>
      </c>
      <c r="BX14" s="2" t="s">
        <v>1194</v>
      </c>
      <c r="BY14" s="2" t="s">
        <v>1163</v>
      </c>
      <c r="BZ14" s="2" t="s">
        <v>1204</v>
      </c>
      <c r="CA14" s="2" t="s">
        <v>1195</v>
      </c>
      <c r="CB14" s="2" t="s">
        <v>1697</v>
      </c>
      <c r="CC14" s="2" t="s">
        <v>1137</v>
      </c>
      <c r="CD14" s="2" t="s">
        <v>1167</v>
      </c>
      <c r="CE14" s="2" t="s">
        <v>1182</v>
      </c>
      <c r="CF14" s="111" t="s">
        <v>1168</v>
      </c>
      <c r="CG14" s="111" t="s">
        <v>1184</v>
      </c>
      <c r="CH14" s="111" t="s">
        <v>1690</v>
      </c>
      <c r="CI14" s="111">
        <v>26100.347600000001</v>
      </c>
      <c r="CJ14" s="111" t="s">
        <v>1171</v>
      </c>
      <c r="CK14" s="2" t="s">
        <v>1198</v>
      </c>
      <c r="CL14" s="111">
        <v>1</v>
      </c>
      <c r="CM14" s="111">
        <v>1</v>
      </c>
      <c r="CN14" s="111">
        <v>1</v>
      </c>
      <c r="CO14" s="111" t="s">
        <v>926</v>
      </c>
      <c r="CP14" s="111">
        <v>1</v>
      </c>
      <c r="CQ14" s="111">
        <v>1</v>
      </c>
      <c r="CR14" s="111">
        <v>1</v>
      </c>
      <c r="CS14" s="111">
        <v>4</v>
      </c>
      <c r="CT14" s="111">
        <v>2</v>
      </c>
      <c r="CU14" s="111">
        <v>1</v>
      </c>
      <c r="CV14" s="111">
        <v>3</v>
      </c>
      <c r="CW14" s="111">
        <v>4</v>
      </c>
      <c r="CX14" s="111">
        <v>1</v>
      </c>
      <c r="CY14" s="111">
        <v>1</v>
      </c>
      <c r="CZ14" s="111">
        <v>1</v>
      </c>
      <c r="DA14" s="111">
        <v>2</v>
      </c>
      <c r="DB14" s="111">
        <v>1</v>
      </c>
      <c r="DC14" s="111">
        <v>1</v>
      </c>
      <c r="DD14" s="111">
        <v>1</v>
      </c>
      <c r="DE14" s="111">
        <v>2</v>
      </c>
      <c r="DF14" s="111">
        <v>3</v>
      </c>
      <c r="DG14" s="111">
        <v>1</v>
      </c>
      <c r="DH14" s="111">
        <v>1</v>
      </c>
      <c r="DI14" s="111">
        <v>1</v>
      </c>
      <c r="DJ14" s="111">
        <v>1</v>
      </c>
      <c r="DK14" s="111">
        <v>2</v>
      </c>
      <c r="DL14" s="111" t="s">
        <v>967</v>
      </c>
      <c r="DM14" s="171"/>
      <c r="DN14" s="111" t="s">
        <v>1144</v>
      </c>
      <c r="DO14" s="2" t="s">
        <v>926</v>
      </c>
      <c r="DP14" s="111" t="s">
        <v>1173</v>
      </c>
      <c r="DQ14" s="111" t="s">
        <v>1174</v>
      </c>
      <c r="DR14" s="111">
        <v>1</v>
      </c>
      <c r="DS14" s="111">
        <v>1</v>
      </c>
      <c r="DT14" s="111" t="s">
        <v>1158</v>
      </c>
      <c r="DU14" s="111" t="s">
        <v>941</v>
      </c>
      <c r="DV14" s="173" t="s">
        <v>1148</v>
      </c>
      <c r="DW14" s="170" t="s">
        <v>1646</v>
      </c>
      <c r="DX14" s="167">
        <v>1</v>
      </c>
      <c r="DY14" s="111">
        <v>1</v>
      </c>
      <c r="DZ14" s="124"/>
    </row>
    <row r="15" spans="1:130" ht="12" hidden="1" customHeight="1">
      <c r="A15" s="165">
        <v>45756</v>
      </c>
      <c r="B15" s="2" t="s">
        <v>1193</v>
      </c>
      <c r="C15" s="111" t="s">
        <v>926</v>
      </c>
      <c r="D15" s="111" t="s">
        <v>1160</v>
      </c>
      <c r="E15" s="111" t="s">
        <v>1161</v>
      </c>
      <c r="F15" s="111" t="s">
        <v>926</v>
      </c>
      <c r="G15" s="111" t="s">
        <v>1698</v>
      </c>
      <c r="H15" s="111" t="s">
        <v>1699</v>
      </c>
      <c r="I15" s="111" t="s">
        <v>1666</v>
      </c>
      <c r="J15" s="111" t="s">
        <v>1269</v>
      </c>
      <c r="K15" s="111">
        <v>4</v>
      </c>
      <c r="L15" s="111">
        <v>4</v>
      </c>
      <c r="M15" s="111">
        <v>2</v>
      </c>
      <c r="N15" s="111">
        <v>3</v>
      </c>
      <c r="O15" s="111">
        <v>3</v>
      </c>
      <c r="P15" s="111">
        <v>3</v>
      </c>
      <c r="Q15" s="111">
        <v>3</v>
      </c>
      <c r="R15" s="111">
        <v>3</v>
      </c>
      <c r="S15" s="111">
        <v>2</v>
      </c>
      <c r="T15" s="111">
        <v>4</v>
      </c>
      <c r="U15" s="111">
        <v>4</v>
      </c>
      <c r="V15" s="111">
        <v>4</v>
      </c>
      <c r="W15" s="111">
        <v>2</v>
      </c>
      <c r="X15" s="111">
        <v>2</v>
      </c>
      <c r="Y15" s="111">
        <v>1</v>
      </c>
      <c r="Z15" s="166">
        <v>6596073</v>
      </c>
      <c r="AA15" s="167">
        <v>6.5960729999999996</v>
      </c>
      <c r="AB15" s="111">
        <v>4</v>
      </c>
      <c r="AC15" s="111">
        <v>4</v>
      </c>
      <c r="AD15" s="168">
        <v>1</v>
      </c>
      <c r="AE15" s="111">
        <v>2</v>
      </c>
      <c r="AF15" s="111">
        <v>3</v>
      </c>
      <c r="AG15" s="111">
        <v>1</v>
      </c>
      <c r="AH15" s="111">
        <v>1</v>
      </c>
      <c r="AI15" s="111">
        <v>4</v>
      </c>
      <c r="AJ15" s="111">
        <v>4</v>
      </c>
      <c r="AK15" s="111">
        <v>1</v>
      </c>
      <c r="AL15" s="111">
        <v>1</v>
      </c>
      <c r="AM15" s="111">
        <v>3</v>
      </c>
      <c r="AN15" s="111">
        <v>2</v>
      </c>
      <c r="AO15" s="111">
        <v>2</v>
      </c>
      <c r="AP15" s="111">
        <v>1</v>
      </c>
      <c r="AQ15" s="111">
        <v>1</v>
      </c>
      <c r="AR15" s="111">
        <v>2</v>
      </c>
      <c r="AS15" s="111">
        <v>1</v>
      </c>
      <c r="AT15" s="111">
        <v>1</v>
      </c>
      <c r="AU15" s="111">
        <v>1</v>
      </c>
      <c r="AV15" s="111">
        <v>1</v>
      </c>
      <c r="AW15" s="111">
        <v>1</v>
      </c>
      <c r="AX15" s="111" t="s">
        <v>926</v>
      </c>
      <c r="AY15" s="169">
        <v>12.6</v>
      </c>
      <c r="AZ15" s="169">
        <v>12.7</v>
      </c>
      <c r="BA15" s="166">
        <v>41458</v>
      </c>
      <c r="BB15" s="166">
        <v>2937</v>
      </c>
      <c r="BC15" s="169">
        <v>0.13</v>
      </c>
      <c r="BD15" s="166">
        <v>430</v>
      </c>
      <c r="BE15" s="166">
        <v>7</v>
      </c>
      <c r="BF15" s="169">
        <v>19.426072999999999</v>
      </c>
      <c r="BG15" s="166">
        <v>41888</v>
      </c>
      <c r="BH15" s="166">
        <v>2944</v>
      </c>
      <c r="BI15" s="111" t="s">
        <v>926</v>
      </c>
      <c r="BJ15" s="111">
        <v>1</v>
      </c>
      <c r="BK15" s="111">
        <v>2</v>
      </c>
      <c r="BL15" s="111">
        <v>1</v>
      </c>
      <c r="BM15" s="111">
        <v>1</v>
      </c>
      <c r="BN15" s="111">
        <v>1</v>
      </c>
      <c r="BO15" s="170" t="s">
        <v>1192</v>
      </c>
      <c r="BP15" s="111" t="s">
        <v>1683</v>
      </c>
      <c r="BQ15" s="111" t="s">
        <v>1684</v>
      </c>
      <c r="BR15" s="111" t="s">
        <v>926</v>
      </c>
      <c r="BS15" s="111" t="s">
        <v>926</v>
      </c>
      <c r="BT15" s="111" t="s">
        <v>926</v>
      </c>
      <c r="BU15" s="111" t="s">
        <v>926</v>
      </c>
      <c r="BV15" s="111">
        <v>1</v>
      </c>
      <c r="BW15" s="2" t="s">
        <v>1182</v>
      </c>
      <c r="BX15" s="2" t="s">
        <v>1194</v>
      </c>
      <c r="BY15" s="2" t="s">
        <v>1163</v>
      </c>
      <c r="BZ15" s="2" t="s">
        <v>1164</v>
      </c>
      <c r="CA15" s="2" t="s">
        <v>1195</v>
      </c>
      <c r="CB15" s="2" t="s">
        <v>1196</v>
      </c>
      <c r="CC15" s="2" t="s">
        <v>1137</v>
      </c>
      <c r="CD15" s="2" t="s">
        <v>1167</v>
      </c>
      <c r="CE15" s="2" t="s">
        <v>1182</v>
      </c>
      <c r="CF15" s="111" t="s">
        <v>1168</v>
      </c>
      <c r="CG15" s="111" t="s">
        <v>1184</v>
      </c>
      <c r="CH15" s="111" t="s">
        <v>1197</v>
      </c>
      <c r="CI15" s="111">
        <v>26100.347600000001</v>
      </c>
      <c r="CJ15" s="111" t="s">
        <v>1171</v>
      </c>
      <c r="CK15" s="2" t="s">
        <v>1198</v>
      </c>
      <c r="CL15" s="111">
        <v>1</v>
      </c>
      <c r="CM15" s="111">
        <v>1</v>
      </c>
      <c r="CN15" s="111">
        <v>1</v>
      </c>
      <c r="CO15" s="111" t="s">
        <v>926</v>
      </c>
      <c r="CP15" s="111">
        <v>1</v>
      </c>
      <c r="CQ15" s="111">
        <v>1</v>
      </c>
      <c r="CR15" s="111">
        <v>1</v>
      </c>
      <c r="CS15" s="111">
        <v>4</v>
      </c>
      <c r="CT15" s="111">
        <v>1</v>
      </c>
      <c r="CU15" s="111">
        <v>1</v>
      </c>
      <c r="CV15" s="111">
        <v>2</v>
      </c>
      <c r="CW15" s="111">
        <v>3</v>
      </c>
      <c r="CX15" s="111">
        <v>1</v>
      </c>
      <c r="CY15" s="111">
        <v>1</v>
      </c>
      <c r="CZ15" s="111">
        <v>1</v>
      </c>
      <c r="DA15" s="111">
        <v>1</v>
      </c>
      <c r="DB15" s="111">
        <v>1</v>
      </c>
      <c r="DC15" s="111">
        <v>1</v>
      </c>
      <c r="DD15" s="111">
        <v>1</v>
      </c>
      <c r="DE15" s="111">
        <v>2</v>
      </c>
      <c r="DF15" s="111">
        <v>3</v>
      </c>
      <c r="DG15" s="111">
        <v>2</v>
      </c>
      <c r="DH15" s="111">
        <v>2</v>
      </c>
      <c r="DI15" s="111">
        <v>2</v>
      </c>
      <c r="DJ15" s="111">
        <v>2</v>
      </c>
      <c r="DK15" s="111">
        <v>2</v>
      </c>
      <c r="DL15" s="111" t="s">
        <v>967</v>
      </c>
      <c r="DM15" s="171"/>
      <c r="DN15" s="111" t="s">
        <v>1144</v>
      </c>
      <c r="DO15" s="2" t="s">
        <v>926</v>
      </c>
      <c r="DP15" s="111" t="s">
        <v>1173</v>
      </c>
      <c r="DQ15" s="111" t="s">
        <v>1174</v>
      </c>
      <c r="DR15" s="111">
        <v>1</v>
      </c>
      <c r="DS15" s="111">
        <v>1</v>
      </c>
      <c r="DT15" s="111" t="s">
        <v>1158</v>
      </c>
      <c r="DU15" s="111" t="s">
        <v>941</v>
      </c>
      <c r="DV15" s="173" t="s">
        <v>1148</v>
      </c>
      <c r="DW15" s="170" t="s">
        <v>1646</v>
      </c>
      <c r="DX15" s="167">
        <v>1</v>
      </c>
      <c r="DY15" s="111">
        <v>1</v>
      </c>
      <c r="DZ15" s="124"/>
    </row>
    <row r="16" spans="1:130" ht="12" customHeight="1">
      <c r="A16" s="165">
        <v>45757</v>
      </c>
      <c r="B16" s="2" t="s">
        <v>1199</v>
      </c>
      <c r="C16" s="111" t="s">
        <v>926</v>
      </c>
      <c r="D16" s="111" t="s">
        <v>1160</v>
      </c>
      <c r="E16" s="111" t="s">
        <v>1161</v>
      </c>
      <c r="F16" s="111" t="s">
        <v>926</v>
      </c>
      <c r="G16" s="111" t="s">
        <v>1700</v>
      </c>
      <c r="H16" s="111" t="s">
        <v>1701</v>
      </c>
      <c r="I16" s="111" t="s">
        <v>1666</v>
      </c>
      <c r="J16" s="111" t="s">
        <v>1269</v>
      </c>
      <c r="K16" s="170">
        <v>4</v>
      </c>
      <c r="L16" s="170">
        <v>4</v>
      </c>
      <c r="M16" s="170">
        <v>2</v>
      </c>
      <c r="N16" s="170">
        <v>4</v>
      </c>
      <c r="O16" s="111">
        <v>1</v>
      </c>
      <c r="P16" s="111">
        <v>3</v>
      </c>
      <c r="Q16" s="111">
        <v>3</v>
      </c>
      <c r="R16" s="111">
        <v>4</v>
      </c>
      <c r="S16" s="111">
        <v>4</v>
      </c>
      <c r="T16" s="111">
        <v>4</v>
      </c>
      <c r="U16" s="111">
        <v>4</v>
      </c>
      <c r="V16" s="111">
        <v>4</v>
      </c>
      <c r="W16" s="111">
        <v>2</v>
      </c>
      <c r="X16" s="111">
        <v>4</v>
      </c>
      <c r="Y16" s="111">
        <v>1</v>
      </c>
      <c r="Z16" s="166">
        <v>3019169</v>
      </c>
      <c r="AA16" s="167">
        <v>3.0191690000000002</v>
      </c>
      <c r="AB16" s="111">
        <v>4</v>
      </c>
      <c r="AC16" s="111">
        <v>4</v>
      </c>
      <c r="AD16" s="176">
        <v>1</v>
      </c>
      <c r="AE16" s="111">
        <v>4</v>
      </c>
      <c r="AF16" s="111">
        <v>2</v>
      </c>
      <c r="AG16" s="111">
        <v>2</v>
      </c>
      <c r="AH16" s="111">
        <v>1</v>
      </c>
      <c r="AI16" s="111">
        <v>4</v>
      </c>
      <c r="AJ16" s="111">
        <v>4</v>
      </c>
      <c r="AK16" s="111">
        <v>1</v>
      </c>
      <c r="AL16" s="111">
        <v>4</v>
      </c>
      <c r="AM16" s="111">
        <v>3</v>
      </c>
      <c r="AN16" s="111">
        <v>2</v>
      </c>
      <c r="AO16" s="111">
        <v>2</v>
      </c>
      <c r="AP16" s="111">
        <v>1</v>
      </c>
      <c r="AQ16" s="111">
        <v>1</v>
      </c>
      <c r="AR16" s="111">
        <v>1</v>
      </c>
      <c r="AS16" s="111">
        <v>1</v>
      </c>
      <c r="AT16" s="111">
        <v>1</v>
      </c>
      <c r="AU16" s="111">
        <v>1</v>
      </c>
      <c r="AV16" s="111">
        <v>1</v>
      </c>
      <c r="AW16" s="111">
        <v>1</v>
      </c>
      <c r="AX16" s="111" t="s">
        <v>926</v>
      </c>
      <c r="AY16" s="169">
        <v>8.52</v>
      </c>
      <c r="AZ16" s="169">
        <v>8.6</v>
      </c>
      <c r="BA16" s="166">
        <v>42183</v>
      </c>
      <c r="BB16" s="166">
        <v>5582</v>
      </c>
      <c r="BC16" s="169">
        <v>1.54E-2</v>
      </c>
      <c r="BD16" s="166">
        <v>84</v>
      </c>
      <c r="BE16" s="166">
        <v>5</v>
      </c>
      <c r="BF16" s="169">
        <v>11.634568999999999</v>
      </c>
      <c r="BG16" s="166">
        <v>42267</v>
      </c>
      <c r="BH16" s="166">
        <v>5587</v>
      </c>
      <c r="BI16" s="111" t="s">
        <v>926</v>
      </c>
      <c r="BJ16" s="111">
        <v>1</v>
      </c>
      <c r="BK16" s="111">
        <v>2</v>
      </c>
      <c r="BL16" s="111">
        <v>2</v>
      </c>
      <c r="BM16" s="111">
        <v>1</v>
      </c>
      <c r="BN16" s="111">
        <v>4</v>
      </c>
      <c r="BO16" s="111" t="s">
        <v>1200</v>
      </c>
      <c r="BP16" s="111" t="s">
        <v>1683</v>
      </c>
      <c r="BQ16" s="111" t="s">
        <v>1702</v>
      </c>
      <c r="BR16" s="111" t="s">
        <v>926</v>
      </c>
      <c r="BS16" s="111" t="s">
        <v>926</v>
      </c>
      <c r="BT16" s="111" t="s">
        <v>926</v>
      </c>
      <c r="BU16" s="111" t="s">
        <v>926</v>
      </c>
      <c r="BV16" s="111">
        <v>2</v>
      </c>
      <c r="BW16" s="2" t="s">
        <v>1182</v>
      </c>
      <c r="BX16" s="2" t="s">
        <v>1194</v>
      </c>
      <c r="BY16" s="2" t="s">
        <v>1163</v>
      </c>
      <c r="BZ16" s="2" t="s">
        <v>1204</v>
      </c>
      <c r="CA16" s="2" t="s">
        <v>1195</v>
      </c>
      <c r="CB16" s="2" t="s">
        <v>1703</v>
      </c>
      <c r="CC16" s="2" t="s">
        <v>1137</v>
      </c>
      <c r="CD16" s="2" t="s">
        <v>1167</v>
      </c>
      <c r="CE16" s="2" t="s">
        <v>1182</v>
      </c>
      <c r="CF16" s="111" t="s">
        <v>1168</v>
      </c>
      <c r="CG16" s="111" t="s">
        <v>1184</v>
      </c>
      <c r="CH16" s="111" t="s">
        <v>1690</v>
      </c>
      <c r="CI16" s="111">
        <v>26100.377499999999</v>
      </c>
      <c r="CJ16" s="111" t="s">
        <v>1171</v>
      </c>
      <c r="CK16" s="2" t="s">
        <v>1235</v>
      </c>
      <c r="CL16" s="111">
        <v>1</v>
      </c>
      <c r="CM16" s="111">
        <v>1</v>
      </c>
      <c r="CN16" s="111">
        <v>1</v>
      </c>
      <c r="CO16" s="111" t="s">
        <v>926</v>
      </c>
      <c r="CP16" s="111">
        <v>1</v>
      </c>
      <c r="CQ16" s="111">
        <v>1</v>
      </c>
      <c r="CR16" s="111">
        <v>1</v>
      </c>
      <c r="CS16" s="111">
        <v>4</v>
      </c>
      <c r="CT16" s="111">
        <v>1</v>
      </c>
      <c r="CU16" s="111">
        <v>1</v>
      </c>
      <c r="CV16" s="111">
        <v>1</v>
      </c>
      <c r="CW16" s="111">
        <v>4</v>
      </c>
      <c r="CX16" s="111">
        <v>1</v>
      </c>
      <c r="CY16" s="111">
        <v>1</v>
      </c>
      <c r="CZ16" s="111">
        <v>1</v>
      </c>
      <c r="DA16" s="111">
        <v>1</v>
      </c>
      <c r="DB16" s="111">
        <v>1</v>
      </c>
      <c r="DC16" s="111">
        <v>1</v>
      </c>
      <c r="DD16" s="111">
        <v>1</v>
      </c>
      <c r="DE16" s="111">
        <v>1</v>
      </c>
      <c r="DF16" s="111">
        <v>3</v>
      </c>
      <c r="DG16" s="111">
        <v>1</v>
      </c>
      <c r="DH16" s="111">
        <v>1</v>
      </c>
      <c r="DI16" s="111">
        <v>1</v>
      </c>
      <c r="DJ16" s="111">
        <v>1</v>
      </c>
      <c r="DK16" s="111">
        <v>1</v>
      </c>
      <c r="DL16" s="111" t="s">
        <v>967</v>
      </c>
      <c r="DM16" s="171"/>
      <c r="DN16" s="111" t="s">
        <v>1144</v>
      </c>
      <c r="DO16" s="2" t="s">
        <v>926</v>
      </c>
      <c r="DP16" s="111" t="s">
        <v>1173</v>
      </c>
      <c r="DQ16" s="111" t="s">
        <v>1174</v>
      </c>
      <c r="DR16" s="111">
        <v>1</v>
      </c>
      <c r="DS16" s="111">
        <v>1</v>
      </c>
      <c r="DT16" s="111" t="s">
        <v>1158</v>
      </c>
      <c r="DU16" s="111" t="s">
        <v>941</v>
      </c>
      <c r="DV16" s="173" t="s">
        <v>1148</v>
      </c>
      <c r="DW16" s="170" t="s">
        <v>1646</v>
      </c>
      <c r="DX16" s="167">
        <v>1</v>
      </c>
      <c r="DY16" s="111">
        <v>1</v>
      </c>
      <c r="DZ16" s="124"/>
    </row>
    <row r="17" spans="1:130" ht="12" hidden="1" customHeight="1">
      <c r="A17" s="165">
        <v>45756</v>
      </c>
      <c r="B17" s="2" t="s">
        <v>1201</v>
      </c>
      <c r="C17" s="111" t="s">
        <v>926</v>
      </c>
      <c r="D17" s="111" t="s">
        <v>1202</v>
      </c>
      <c r="E17" s="111" t="s">
        <v>1203</v>
      </c>
      <c r="F17" s="111" t="s">
        <v>926</v>
      </c>
      <c r="G17" s="111" t="s">
        <v>1704</v>
      </c>
      <c r="H17" s="111" t="s">
        <v>1705</v>
      </c>
      <c r="I17" s="111" t="s">
        <v>1666</v>
      </c>
      <c r="J17" s="111" t="s">
        <v>1269</v>
      </c>
      <c r="K17" s="111">
        <v>4</v>
      </c>
      <c r="L17" s="111">
        <v>4</v>
      </c>
      <c r="M17" s="111">
        <v>2</v>
      </c>
      <c r="N17" s="111">
        <v>4</v>
      </c>
      <c r="O17" s="111">
        <v>3</v>
      </c>
      <c r="P17" s="111">
        <v>3</v>
      </c>
      <c r="Q17" s="111">
        <v>3</v>
      </c>
      <c r="R17" s="111">
        <v>1</v>
      </c>
      <c r="S17" s="111">
        <v>3</v>
      </c>
      <c r="T17" s="111">
        <v>4</v>
      </c>
      <c r="U17" s="111">
        <v>4</v>
      </c>
      <c r="V17" s="111">
        <v>2</v>
      </c>
      <c r="W17" s="111">
        <v>2</v>
      </c>
      <c r="X17" s="111">
        <v>2</v>
      </c>
      <c r="Y17" s="111">
        <v>1</v>
      </c>
      <c r="Z17" s="166">
        <v>3000073</v>
      </c>
      <c r="AA17" s="167">
        <v>3.000073</v>
      </c>
      <c r="AB17" s="111">
        <v>4</v>
      </c>
      <c r="AC17" s="111">
        <v>4</v>
      </c>
      <c r="AD17" s="168">
        <v>1</v>
      </c>
      <c r="AE17" s="111">
        <v>2</v>
      </c>
      <c r="AF17" s="111">
        <v>2</v>
      </c>
      <c r="AG17" s="111">
        <v>1</v>
      </c>
      <c r="AH17" s="111">
        <v>1</v>
      </c>
      <c r="AI17" s="111">
        <v>2</v>
      </c>
      <c r="AJ17" s="111">
        <v>3</v>
      </c>
      <c r="AK17" s="111">
        <v>1</v>
      </c>
      <c r="AL17" s="111">
        <v>2</v>
      </c>
      <c r="AM17" s="111">
        <v>3</v>
      </c>
      <c r="AN17" s="111">
        <v>3</v>
      </c>
      <c r="AO17" s="111">
        <v>2</v>
      </c>
      <c r="AP17" s="111">
        <v>1</v>
      </c>
      <c r="AQ17" s="111">
        <v>3</v>
      </c>
      <c r="AR17" s="111">
        <v>1</v>
      </c>
      <c r="AS17" s="111">
        <v>1</v>
      </c>
      <c r="AT17" s="111">
        <v>1</v>
      </c>
      <c r="AU17" s="111">
        <v>1</v>
      </c>
      <c r="AV17" s="111">
        <v>1</v>
      </c>
      <c r="AW17" s="111">
        <v>1</v>
      </c>
      <c r="AX17" s="111" t="s">
        <v>926</v>
      </c>
      <c r="AY17" s="169">
        <v>6.9</v>
      </c>
      <c r="AZ17" s="169">
        <v>7.08</v>
      </c>
      <c r="BA17" s="166">
        <v>41771</v>
      </c>
      <c r="BB17" s="166">
        <v>2294</v>
      </c>
      <c r="BC17" s="169" t="s">
        <v>926</v>
      </c>
      <c r="BD17" s="166" t="s">
        <v>926</v>
      </c>
      <c r="BE17" s="166" t="s">
        <v>926</v>
      </c>
      <c r="BF17" s="169">
        <v>10.080073000000001</v>
      </c>
      <c r="BG17" s="166">
        <v>41771</v>
      </c>
      <c r="BH17" s="166">
        <v>2294</v>
      </c>
      <c r="BI17" s="111" t="s">
        <v>926</v>
      </c>
      <c r="BJ17" s="111">
        <v>1</v>
      </c>
      <c r="BK17" s="111">
        <v>2</v>
      </c>
      <c r="BL17" s="111">
        <v>1</v>
      </c>
      <c r="BM17" s="111">
        <v>1</v>
      </c>
      <c r="BN17" s="111">
        <v>1</v>
      </c>
      <c r="BO17" s="170" t="s">
        <v>1192</v>
      </c>
      <c r="BP17" s="111" t="s">
        <v>1683</v>
      </c>
      <c r="BQ17" s="111" t="s">
        <v>1684</v>
      </c>
      <c r="BR17" s="111" t="s">
        <v>926</v>
      </c>
      <c r="BS17" s="111" t="s">
        <v>926</v>
      </c>
      <c r="BT17" s="111" t="s">
        <v>926</v>
      </c>
      <c r="BU17" s="111" t="s">
        <v>926</v>
      </c>
      <c r="BV17" s="111">
        <v>1</v>
      </c>
      <c r="BW17" s="2" t="s">
        <v>1182</v>
      </c>
      <c r="BX17" s="2" t="s">
        <v>1194</v>
      </c>
      <c r="BY17" s="2" t="s">
        <v>1163</v>
      </c>
      <c r="BZ17" s="2" t="s">
        <v>1204</v>
      </c>
      <c r="CA17" s="2" t="s">
        <v>1195</v>
      </c>
      <c r="CB17" s="2" t="s">
        <v>1205</v>
      </c>
      <c r="CC17" s="2" t="s">
        <v>1137</v>
      </c>
      <c r="CD17" s="2" t="s">
        <v>1167</v>
      </c>
      <c r="CE17" s="2" t="s">
        <v>1182</v>
      </c>
      <c r="CF17" s="111" t="s">
        <v>1168</v>
      </c>
      <c r="CG17" s="111" t="s">
        <v>1184</v>
      </c>
      <c r="CH17" s="111" t="s">
        <v>1197</v>
      </c>
      <c r="CI17" s="111">
        <v>26100.347600000001</v>
      </c>
      <c r="CJ17" s="111" t="s">
        <v>1171</v>
      </c>
      <c r="CK17" s="2" t="s">
        <v>1198</v>
      </c>
      <c r="CL17" s="111">
        <v>1</v>
      </c>
      <c r="CM17" s="111">
        <v>1</v>
      </c>
      <c r="CN17" s="111">
        <v>1</v>
      </c>
      <c r="CO17" s="111" t="s">
        <v>926</v>
      </c>
      <c r="CP17" s="111">
        <v>1</v>
      </c>
      <c r="CQ17" s="111">
        <v>1</v>
      </c>
      <c r="CR17" s="111">
        <v>1</v>
      </c>
      <c r="CS17" s="111">
        <v>4</v>
      </c>
      <c r="CT17" s="111">
        <v>2</v>
      </c>
      <c r="CU17" s="111">
        <v>1</v>
      </c>
      <c r="CV17" s="111">
        <v>4</v>
      </c>
      <c r="CW17" s="111">
        <v>4</v>
      </c>
      <c r="CX17" s="111">
        <v>1</v>
      </c>
      <c r="CY17" s="111">
        <v>1</v>
      </c>
      <c r="CZ17" s="111">
        <v>1</v>
      </c>
      <c r="DA17" s="111">
        <v>2</v>
      </c>
      <c r="DB17" s="111">
        <v>1</v>
      </c>
      <c r="DC17" s="111">
        <v>1</v>
      </c>
      <c r="DD17" s="111">
        <v>1</v>
      </c>
      <c r="DE17" s="111">
        <v>2</v>
      </c>
      <c r="DF17" s="111">
        <v>3</v>
      </c>
      <c r="DG17" s="111">
        <v>2</v>
      </c>
      <c r="DH17" s="111">
        <v>1</v>
      </c>
      <c r="DI17" s="111">
        <v>2</v>
      </c>
      <c r="DJ17" s="111">
        <v>2</v>
      </c>
      <c r="DK17" s="111">
        <v>2</v>
      </c>
      <c r="DL17" s="111" t="s">
        <v>967</v>
      </c>
      <c r="DM17" s="171"/>
      <c r="DN17" s="111" t="s">
        <v>1144</v>
      </c>
      <c r="DO17" s="2" t="s">
        <v>926</v>
      </c>
      <c r="DP17" s="111" t="s">
        <v>1173</v>
      </c>
      <c r="DQ17" s="111" t="s">
        <v>1174</v>
      </c>
      <c r="DR17" s="111">
        <v>1</v>
      </c>
      <c r="DS17" s="111">
        <v>1</v>
      </c>
      <c r="DT17" s="111" t="s">
        <v>1158</v>
      </c>
      <c r="DU17" s="111" t="s">
        <v>941</v>
      </c>
      <c r="DV17" s="173" t="s">
        <v>1148</v>
      </c>
      <c r="DW17" s="170" t="s">
        <v>1646</v>
      </c>
      <c r="DX17" s="167">
        <v>1</v>
      </c>
      <c r="DY17" s="111">
        <v>1</v>
      </c>
      <c r="DZ17" s="124"/>
    </row>
    <row r="18" spans="1:130" ht="12" customHeight="1">
      <c r="A18" s="165">
        <v>45755</v>
      </c>
      <c r="B18" s="2" t="s">
        <v>1206</v>
      </c>
      <c r="C18" s="111" t="s">
        <v>926</v>
      </c>
      <c r="D18" s="111" t="s">
        <v>1202</v>
      </c>
      <c r="E18" s="111" t="s">
        <v>1203</v>
      </c>
      <c r="F18" s="111" t="s">
        <v>926</v>
      </c>
      <c r="G18" s="111" t="s">
        <v>1706</v>
      </c>
      <c r="H18" s="111" t="s">
        <v>1707</v>
      </c>
      <c r="I18" s="111" t="s">
        <v>1666</v>
      </c>
      <c r="J18" s="111" t="s">
        <v>1269</v>
      </c>
      <c r="K18" s="111">
        <v>4</v>
      </c>
      <c r="L18" s="111">
        <v>4</v>
      </c>
      <c r="M18" s="111">
        <v>2</v>
      </c>
      <c r="N18" s="111">
        <v>1</v>
      </c>
      <c r="O18" s="111">
        <v>2</v>
      </c>
      <c r="P18" s="111">
        <v>1</v>
      </c>
      <c r="Q18" s="111">
        <v>3</v>
      </c>
      <c r="R18" s="111">
        <v>1</v>
      </c>
      <c r="S18" s="111">
        <v>1</v>
      </c>
      <c r="T18" s="111">
        <v>4</v>
      </c>
      <c r="U18" s="111">
        <v>4</v>
      </c>
      <c r="V18" s="111">
        <v>4</v>
      </c>
      <c r="W18" s="111">
        <v>3</v>
      </c>
      <c r="X18" s="111">
        <v>1</v>
      </c>
      <c r="Y18" s="111">
        <v>1</v>
      </c>
      <c r="Z18" s="166">
        <v>8384496</v>
      </c>
      <c r="AA18" s="167">
        <v>8.3844960000000004</v>
      </c>
      <c r="AB18" s="111">
        <v>4</v>
      </c>
      <c r="AC18" s="111">
        <v>4</v>
      </c>
      <c r="AD18" s="168">
        <v>1</v>
      </c>
      <c r="AE18" s="111">
        <v>1</v>
      </c>
      <c r="AF18" s="111">
        <v>4</v>
      </c>
      <c r="AG18" s="111">
        <v>1</v>
      </c>
      <c r="AH18" s="111">
        <v>1</v>
      </c>
      <c r="AI18" s="111">
        <v>4</v>
      </c>
      <c r="AJ18" s="111">
        <v>4</v>
      </c>
      <c r="AK18" s="111">
        <v>1</v>
      </c>
      <c r="AL18" s="111">
        <v>1</v>
      </c>
      <c r="AM18" s="111">
        <v>3</v>
      </c>
      <c r="AN18" s="111">
        <v>1</v>
      </c>
      <c r="AO18" s="111">
        <v>1</v>
      </c>
      <c r="AP18" s="111">
        <v>1</v>
      </c>
      <c r="AQ18" s="111">
        <v>1</v>
      </c>
      <c r="AR18" s="111">
        <v>3</v>
      </c>
      <c r="AS18" s="111">
        <v>1</v>
      </c>
      <c r="AT18" s="111">
        <v>1</v>
      </c>
      <c r="AU18" s="111">
        <v>1</v>
      </c>
      <c r="AV18" s="111">
        <v>1</v>
      </c>
      <c r="AW18" s="111">
        <v>1</v>
      </c>
      <c r="AX18" s="111" t="s">
        <v>926</v>
      </c>
      <c r="AY18" s="169">
        <v>12</v>
      </c>
      <c r="AZ18" s="169">
        <v>12.2</v>
      </c>
      <c r="BA18" s="166">
        <v>61639</v>
      </c>
      <c r="BB18" s="166">
        <v>6504</v>
      </c>
      <c r="BC18" s="169">
        <v>0.41299999999999998</v>
      </c>
      <c r="BD18" s="166">
        <v>408</v>
      </c>
      <c r="BE18" s="166">
        <v>43</v>
      </c>
      <c r="BF18" s="169">
        <v>20.997496000000002</v>
      </c>
      <c r="BG18" s="166">
        <v>62047</v>
      </c>
      <c r="BH18" s="166">
        <v>6547</v>
      </c>
      <c r="BI18" s="111" t="s">
        <v>926</v>
      </c>
      <c r="BJ18" s="111">
        <v>2</v>
      </c>
      <c r="BK18" s="111">
        <v>1</v>
      </c>
      <c r="BL18" s="111">
        <v>2</v>
      </c>
      <c r="BM18" s="111">
        <v>2</v>
      </c>
      <c r="BN18" s="111">
        <v>3</v>
      </c>
      <c r="BO18" s="111" t="s">
        <v>1211</v>
      </c>
      <c r="BP18" s="111" t="s">
        <v>470</v>
      </c>
      <c r="BQ18" s="111" t="s">
        <v>1670</v>
      </c>
      <c r="BR18" s="111" t="s">
        <v>926</v>
      </c>
      <c r="BS18" s="111" t="s">
        <v>926</v>
      </c>
      <c r="BT18" s="111" t="s">
        <v>926</v>
      </c>
      <c r="BU18" s="111" t="s">
        <v>926</v>
      </c>
      <c r="BV18" s="111">
        <v>1</v>
      </c>
      <c r="BW18" s="2" t="s">
        <v>1182</v>
      </c>
      <c r="BX18" s="2" t="s">
        <v>1177</v>
      </c>
      <c r="BY18" s="126" t="s">
        <v>1708</v>
      </c>
      <c r="BZ18" s="2" t="s">
        <v>1207</v>
      </c>
      <c r="CA18" s="2" t="s">
        <v>1709</v>
      </c>
      <c r="CB18" s="2" t="s">
        <v>1710</v>
      </c>
      <c r="CC18" s="2" t="s">
        <v>1711</v>
      </c>
      <c r="CD18" s="2" t="s">
        <v>1208</v>
      </c>
      <c r="CE18" s="2" t="s">
        <v>1182</v>
      </c>
      <c r="CF18" s="111" t="s">
        <v>1183</v>
      </c>
      <c r="CG18" s="111" t="s">
        <v>1184</v>
      </c>
      <c r="CH18" s="177">
        <v>45687</v>
      </c>
      <c r="CI18" s="111">
        <v>26100.347600000001</v>
      </c>
      <c r="CJ18" s="111" t="s">
        <v>1712</v>
      </c>
      <c r="CK18" s="2" t="s">
        <v>1209</v>
      </c>
      <c r="CL18" s="111">
        <v>1</v>
      </c>
      <c r="CM18" s="111">
        <v>1</v>
      </c>
      <c r="CN18" s="111">
        <v>1</v>
      </c>
      <c r="CO18" s="111" t="s">
        <v>926</v>
      </c>
      <c r="CP18" s="111">
        <v>1</v>
      </c>
      <c r="CQ18" s="111">
        <v>1</v>
      </c>
      <c r="CR18" s="111">
        <v>1</v>
      </c>
      <c r="CS18" s="111">
        <v>4</v>
      </c>
      <c r="CT18" s="111">
        <v>4</v>
      </c>
      <c r="CU18" s="111">
        <v>1</v>
      </c>
      <c r="CV18" s="111">
        <v>4</v>
      </c>
      <c r="CW18" s="111">
        <v>2</v>
      </c>
      <c r="CX18" s="111">
        <v>2</v>
      </c>
      <c r="CY18" s="111">
        <v>1</v>
      </c>
      <c r="CZ18" s="111">
        <v>1</v>
      </c>
      <c r="DA18" s="111">
        <v>2</v>
      </c>
      <c r="DB18" s="111">
        <v>1</v>
      </c>
      <c r="DC18" s="111">
        <v>1</v>
      </c>
      <c r="DD18" s="111">
        <v>1</v>
      </c>
      <c r="DE18" s="111">
        <v>2</v>
      </c>
      <c r="DF18" s="111">
        <v>4</v>
      </c>
      <c r="DG18" s="111">
        <v>4</v>
      </c>
      <c r="DH18" s="111">
        <v>1</v>
      </c>
      <c r="DI18" s="111">
        <v>2</v>
      </c>
      <c r="DJ18" s="111">
        <v>2</v>
      </c>
      <c r="DK18" s="111">
        <v>2</v>
      </c>
      <c r="DL18" s="111" t="s">
        <v>937</v>
      </c>
      <c r="DM18" s="171" t="s">
        <v>926</v>
      </c>
      <c r="DN18" s="111" t="s">
        <v>1144</v>
      </c>
      <c r="DO18" s="2" t="s">
        <v>926</v>
      </c>
      <c r="DP18" s="111" t="s">
        <v>926</v>
      </c>
      <c r="DQ18" s="111" t="s">
        <v>926</v>
      </c>
      <c r="DR18" s="170">
        <v>1</v>
      </c>
      <c r="DS18" s="111">
        <v>1</v>
      </c>
      <c r="DT18" s="111" t="s">
        <v>1155</v>
      </c>
      <c r="DU18" s="111" t="s">
        <v>971</v>
      </c>
      <c r="DV18" s="173" t="s">
        <v>1148</v>
      </c>
      <c r="DW18" s="173" t="s">
        <v>1148</v>
      </c>
      <c r="DX18" s="167">
        <v>1</v>
      </c>
      <c r="DY18" s="111">
        <v>1</v>
      </c>
      <c r="DZ18" s="124"/>
    </row>
    <row r="19" spans="1:130" ht="12" hidden="1" customHeight="1">
      <c r="A19" s="165">
        <v>45755</v>
      </c>
      <c r="B19" s="2" t="s">
        <v>1210</v>
      </c>
      <c r="C19" s="111" t="s">
        <v>926</v>
      </c>
      <c r="D19" s="111" t="s">
        <v>1202</v>
      </c>
      <c r="E19" s="111" t="s">
        <v>1203</v>
      </c>
      <c r="F19" s="111" t="s">
        <v>926</v>
      </c>
      <c r="G19" s="111" t="s">
        <v>1713</v>
      </c>
      <c r="H19" s="111" t="s">
        <v>1714</v>
      </c>
      <c r="I19" s="111" t="s">
        <v>1666</v>
      </c>
      <c r="J19" s="111" t="s">
        <v>1269</v>
      </c>
      <c r="K19" s="111">
        <v>4</v>
      </c>
      <c r="L19" s="111">
        <v>4</v>
      </c>
      <c r="M19" s="111">
        <v>2</v>
      </c>
      <c r="N19" s="170">
        <v>3</v>
      </c>
      <c r="O19" s="111">
        <v>3</v>
      </c>
      <c r="P19" s="111">
        <v>3</v>
      </c>
      <c r="Q19" s="111">
        <v>2</v>
      </c>
      <c r="R19" s="111">
        <v>3</v>
      </c>
      <c r="S19" s="111">
        <v>1</v>
      </c>
      <c r="T19" s="111">
        <v>4</v>
      </c>
      <c r="U19" s="111">
        <v>4</v>
      </c>
      <c r="V19" s="111">
        <v>4</v>
      </c>
      <c r="W19" s="111">
        <v>4</v>
      </c>
      <c r="X19" s="111">
        <v>2</v>
      </c>
      <c r="Y19" s="111">
        <v>1</v>
      </c>
      <c r="Z19" s="166">
        <v>2908561</v>
      </c>
      <c r="AA19" s="167">
        <v>2.9085610000000002</v>
      </c>
      <c r="AB19" s="111">
        <v>4</v>
      </c>
      <c r="AC19" s="111">
        <v>4</v>
      </c>
      <c r="AD19" s="168">
        <v>4</v>
      </c>
      <c r="AE19" s="111">
        <v>3</v>
      </c>
      <c r="AF19" s="111">
        <v>4</v>
      </c>
      <c r="AG19" s="111">
        <v>1</v>
      </c>
      <c r="AH19" s="111">
        <v>1</v>
      </c>
      <c r="AI19" s="111">
        <v>4</v>
      </c>
      <c r="AJ19" s="111">
        <v>4</v>
      </c>
      <c r="AK19" s="111">
        <v>3</v>
      </c>
      <c r="AL19" s="111">
        <v>1</v>
      </c>
      <c r="AM19" s="111">
        <v>3</v>
      </c>
      <c r="AN19" s="111">
        <v>1</v>
      </c>
      <c r="AO19" s="111">
        <v>1</v>
      </c>
      <c r="AP19" s="111">
        <v>1</v>
      </c>
      <c r="AQ19" s="111">
        <v>1</v>
      </c>
      <c r="AR19" s="111">
        <v>3</v>
      </c>
      <c r="AS19" s="111">
        <v>1</v>
      </c>
      <c r="AT19" s="111">
        <v>1</v>
      </c>
      <c r="AU19" s="111">
        <v>1</v>
      </c>
      <c r="AV19" s="111">
        <v>1</v>
      </c>
      <c r="AW19" s="111">
        <v>1</v>
      </c>
      <c r="AX19" s="111" t="s">
        <v>926</v>
      </c>
      <c r="AY19" s="169">
        <v>7.68</v>
      </c>
      <c r="AZ19" s="169">
        <v>7.74</v>
      </c>
      <c r="BA19" s="166">
        <v>36827</v>
      </c>
      <c r="BB19" s="166">
        <v>2886</v>
      </c>
      <c r="BC19" s="169">
        <v>1.75E-3</v>
      </c>
      <c r="BD19" s="166">
        <v>3</v>
      </c>
      <c r="BE19" s="166">
        <v>0</v>
      </c>
      <c r="BF19" s="169">
        <v>10.650311</v>
      </c>
      <c r="BG19" s="166">
        <v>36830</v>
      </c>
      <c r="BH19" s="166">
        <v>2886</v>
      </c>
      <c r="BI19" s="111" t="s">
        <v>926</v>
      </c>
      <c r="BJ19" s="111">
        <v>1</v>
      </c>
      <c r="BK19" s="111">
        <v>2</v>
      </c>
      <c r="BL19" s="111">
        <v>2</v>
      </c>
      <c r="BM19" s="111">
        <v>1</v>
      </c>
      <c r="BN19" s="111">
        <v>1</v>
      </c>
      <c r="BO19" s="170" t="s">
        <v>1211</v>
      </c>
      <c r="BP19" s="111" t="s">
        <v>470</v>
      </c>
      <c r="BQ19" s="111" t="s">
        <v>1670</v>
      </c>
      <c r="BR19" s="111" t="s">
        <v>926</v>
      </c>
      <c r="BS19" s="111" t="s">
        <v>926</v>
      </c>
      <c r="BT19" s="111" t="s">
        <v>926</v>
      </c>
      <c r="BU19" s="111" t="s">
        <v>926</v>
      </c>
      <c r="BV19" s="111">
        <v>1</v>
      </c>
      <c r="BW19" s="2" t="s">
        <v>1182</v>
      </c>
      <c r="BX19" s="2" t="s">
        <v>1715</v>
      </c>
      <c r="BY19" s="2" t="s">
        <v>1716</v>
      </c>
      <c r="BZ19" s="2" t="s">
        <v>1717</v>
      </c>
      <c r="CA19" s="2" t="s">
        <v>1718</v>
      </c>
      <c r="CB19" s="2" t="s">
        <v>1719</v>
      </c>
      <c r="CC19" s="2" t="s">
        <v>1137</v>
      </c>
      <c r="CD19" s="2" t="s">
        <v>1167</v>
      </c>
      <c r="CE19" s="2" t="s">
        <v>1182</v>
      </c>
      <c r="CF19" s="111" t="s">
        <v>1268</v>
      </c>
      <c r="CG19" s="111" t="s">
        <v>1140</v>
      </c>
      <c r="CH19" s="111" t="s">
        <v>1720</v>
      </c>
      <c r="CI19" s="111">
        <v>19045.560799999999</v>
      </c>
      <c r="CJ19" s="111" t="s">
        <v>1721</v>
      </c>
      <c r="CK19" s="2" t="s">
        <v>1143</v>
      </c>
      <c r="CL19" s="111">
        <v>1</v>
      </c>
      <c r="CM19" s="111">
        <v>1</v>
      </c>
      <c r="CN19" s="111">
        <v>1</v>
      </c>
      <c r="CO19" s="111" t="s">
        <v>926</v>
      </c>
      <c r="CP19" s="111">
        <v>1</v>
      </c>
      <c r="CQ19" s="111">
        <v>1</v>
      </c>
      <c r="CR19" s="111">
        <v>1</v>
      </c>
      <c r="CS19" s="111">
        <v>4</v>
      </c>
      <c r="CT19" s="111">
        <v>4</v>
      </c>
      <c r="CU19" s="111">
        <v>1</v>
      </c>
      <c r="CV19" s="111">
        <v>4</v>
      </c>
      <c r="CW19" s="111">
        <v>4</v>
      </c>
      <c r="CX19" s="111">
        <v>3</v>
      </c>
      <c r="CY19" s="111">
        <v>1</v>
      </c>
      <c r="CZ19" s="111">
        <v>1</v>
      </c>
      <c r="DA19" s="111">
        <v>2</v>
      </c>
      <c r="DB19" s="111">
        <v>1</v>
      </c>
      <c r="DC19" s="111">
        <v>1</v>
      </c>
      <c r="DD19" s="111">
        <v>1</v>
      </c>
      <c r="DE19" s="111">
        <v>2</v>
      </c>
      <c r="DF19" s="111">
        <v>4</v>
      </c>
      <c r="DG19" s="111">
        <v>4</v>
      </c>
      <c r="DH19" s="111">
        <v>1</v>
      </c>
      <c r="DI19" s="111">
        <v>2</v>
      </c>
      <c r="DJ19" s="111">
        <v>1</v>
      </c>
      <c r="DK19" s="111">
        <v>2</v>
      </c>
      <c r="DL19" s="111" t="s">
        <v>967</v>
      </c>
      <c r="DM19" s="171">
        <v>45943</v>
      </c>
      <c r="DN19" s="111" t="s">
        <v>1144</v>
      </c>
      <c r="DO19" s="2" t="s">
        <v>926</v>
      </c>
      <c r="DP19" s="111" t="s">
        <v>1173</v>
      </c>
      <c r="DQ19" s="111" t="s">
        <v>1174</v>
      </c>
      <c r="DR19" s="111">
        <v>1</v>
      </c>
      <c r="DS19" s="111">
        <v>1</v>
      </c>
      <c r="DT19" s="111" t="s">
        <v>1155</v>
      </c>
      <c r="DU19" s="111" t="s">
        <v>971</v>
      </c>
      <c r="DV19" s="173" t="s">
        <v>1148</v>
      </c>
      <c r="DW19" s="173" t="s">
        <v>1148</v>
      </c>
      <c r="DX19" s="167">
        <v>1</v>
      </c>
      <c r="DY19" s="111">
        <v>1</v>
      </c>
      <c r="DZ19" s="124" t="s">
        <v>1212</v>
      </c>
    </row>
    <row r="20" spans="1:130" ht="12" hidden="1" customHeight="1">
      <c r="A20" s="165">
        <v>45755</v>
      </c>
      <c r="B20" s="2" t="s">
        <v>1213</v>
      </c>
      <c r="C20" s="111" t="s">
        <v>926</v>
      </c>
      <c r="D20" s="111" t="s">
        <v>1214</v>
      </c>
      <c r="E20" s="111" t="s">
        <v>1215</v>
      </c>
      <c r="F20" s="111" t="s">
        <v>1216</v>
      </c>
      <c r="G20" s="111" t="s">
        <v>1722</v>
      </c>
      <c r="H20" s="111" t="s">
        <v>1723</v>
      </c>
      <c r="I20" s="111" t="s">
        <v>1666</v>
      </c>
      <c r="J20" s="111" t="s">
        <v>1148</v>
      </c>
      <c r="K20" s="111">
        <v>4</v>
      </c>
      <c r="L20" s="111">
        <v>4</v>
      </c>
      <c r="M20" s="111">
        <v>3</v>
      </c>
      <c r="N20" s="111">
        <v>2</v>
      </c>
      <c r="O20" s="111">
        <v>3</v>
      </c>
      <c r="P20" s="111">
        <v>2</v>
      </c>
      <c r="Q20" s="111">
        <v>4</v>
      </c>
      <c r="R20" s="111">
        <v>1</v>
      </c>
      <c r="S20" s="111">
        <v>2</v>
      </c>
      <c r="T20" s="111">
        <v>4</v>
      </c>
      <c r="U20" s="111">
        <v>4</v>
      </c>
      <c r="V20" s="111">
        <v>4</v>
      </c>
      <c r="W20" s="111">
        <v>3</v>
      </c>
      <c r="X20" s="111">
        <v>3</v>
      </c>
      <c r="Y20" s="111">
        <v>1</v>
      </c>
      <c r="Z20" s="166">
        <v>29390993</v>
      </c>
      <c r="AA20" s="167">
        <v>29.390993000000002</v>
      </c>
      <c r="AB20" s="111">
        <v>4</v>
      </c>
      <c r="AC20" s="111">
        <v>4</v>
      </c>
      <c r="AD20" s="168">
        <v>1</v>
      </c>
      <c r="AE20" s="111">
        <v>2</v>
      </c>
      <c r="AF20" s="111">
        <v>1</v>
      </c>
      <c r="AG20" s="111">
        <v>1</v>
      </c>
      <c r="AH20" s="111">
        <v>1</v>
      </c>
      <c r="AI20" s="111">
        <v>4</v>
      </c>
      <c r="AJ20" s="111">
        <v>4</v>
      </c>
      <c r="AK20" s="111">
        <v>1</v>
      </c>
      <c r="AL20" s="111">
        <v>2</v>
      </c>
      <c r="AM20" s="111">
        <v>4</v>
      </c>
      <c r="AN20" s="111">
        <v>2</v>
      </c>
      <c r="AO20" s="111">
        <v>2</v>
      </c>
      <c r="AP20" s="111">
        <v>2</v>
      </c>
      <c r="AQ20" s="111">
        <v>1</v>
      </c>
      <c r="AR20" s="111">
        <v>1</v>
      </c>
      <c r="AS20" s="111">
        <v>1</v>
      </c>
      <c r="AT20" s="111">
        <v>2</v>
      </c>
      <c r="AU20" s="111">
        <v>1</v>
      </c>
      <c r="AV20" s="111">
        <v>1</v>
      </c>
      <c r="AW20" s="111">
        <v>1</v>
      </c>
      <c r="AX20" s="111" t="s">
        <v>926</v>
      </c>
      <c r="AY20" s="169">
        <v>33.799999999999997</v>
      </c>
      <c r="AZ20" s="169">
        <v>33.9</v>
      </c>
      <c r="BA20" s="166">
        <v>50411</v>
      </c>
      <c r="BB20" s="166">
        <v>2210</v>
      </c>
      <c r="BC20" s="169">
        <v>8.5800000000000001E-2</v>
      </c>
      <c r="BD20" s="166">
        <v>691</v>
      </c>
      <c r="BE20" s="166">
        <v>26</v>
      </c>
      <c r="BF20" s="169">
        <v>63.376792999999999</v>
      </c>
      <c r="BG20" s="166">
        <v>51102</v>
      </c>
      <c r="BH20" s="166">
        <v>2236</v>
      </c>
      <c r="BI20" s="111" t="s">
        <v>926</v>
      </c>
      <c r="BJ20" s="111">
        <v>1</v>
      </c>
      <c r="BK20" s="111">
        <v>2</v>
      </c>
      <c r="BL20" s="111">
        <v>2</v>
      </c>
      <c r="BM20" s="111">
        <v>1</v>
      </c>
      <c r="BN20" s="111">
        <v>1</v>
      </c>
      <c r="BO20" s="111" t="s">
        <v>1211</v>
      </c>
      <c r="BP20" s="111" t="s">
        <v>470</v>
      </c>
      <c r="BQ20" s="111" t="s">
        <v>1670</v>
      </c>
      <c r="BR20" s="111" t="s">
        <v>926</v>
      </c>
      <c r="BS20" s="111" t="s">
        <v>926</v>
      </c>
      <c r="BT20" s="111" t="s">
        <v>926</v>
      </c>
      <c r="BU20" s="111" t="s">
        <v>926</v>
      </c>
      <c r="BV20" s="111">
        <v>3</v>
      </c>
      <c r="BW20" s="2" t="s">
        <v>1182</v>
      </c>
      <c r="BX20" s="2" t="s">
        <v>1217</v>
      </c>
      <c r="BY20" s="2" t="s">
        <v>1218</v>
      </c>
      <c r="BZ20" s="2" t="s">
        <v>1219</v>
      </c>
      <c r="CA20" s="2" t="s">
        <v>1220</v>
      </c>
      <c r="CB20" s="2" t="s">
        <v>1221</v>
      </c>
      <c r="CC20" s="2" t="s">
        <v>1137</v>
      </c>
      <c r="CD20" s="2" t="s">
        <v>1167</v>
      </c>
      <c r="CE20" s="2" t="s">
        <v>1182</v>
      </c>
      <c r="CF20" s="111" t="s">
        <v>1183</v>
      </c>
      <c r="CG20" s="111" t="s">
        <v>1184</v>
      </c>
      <c r="CH20" s="111" t="s">
        <v>1222</v>
      </c>
      <c r="CI20" s="111">
        <v>26100.347600000001</v>
      </c>
      <c r="CJ20" s="111" t="s">
        <v>1223</v>
      </c>
      <c r="CK20" s="2" t="s">
        <v>1198</v>
      </c>
      <c r="CL20" s="111">
        <v>2</v>
      </c>
      <c r="CM20" s="111">
        <v>1</v>
      </c>
      <c r="CN20" s="111">
        <v>1</v>
      </c>
      <c r="CO20" s="111" t="s">
        <v>926</v>
      </c>
      <c r="CP20" s="111">
        <v>1</v>
      </c>
      <c r="CQ20" s="111">
        <v>3</v>
      </c>
      <c r="CR20" s="111">
        <v>1</v>
      </c>
      <c r="CS20" s="111">
        <v>1</v>
      </c>
      <c r="CT20" s="111">
        <v>3</v>
      </c>
      <c r="CU20" s="111">
        <v>2</v>
      </c>
      <c r="CV20" s="111">
        <v>2</v>
      </c>
      <c r="CW20" s="111">
        <v>3</v>
      </c>
      <c r="CX20" s="111">
        <v>1</v>
      </c>
      <c r="CY20" s="111">
        <v>2</v>
      </c>
      <c r="CZ20" s="111">
        <v>1</v>
      </c>
      <c r="DA20" s="111">
        <v>2</v>
      </c>
      <c r="DB20" s="111">
        <v>3</v>
      </c>
      <c r="DC20" s="111">
        <v>1</v>
      </c>
      <c r="DD20" s="111">
        <v>1</v>
      </c>
      <c r="DE20" s="111">
        <v>2</v>
      </c>
      <c r="DF20" s="111">
        <v>3</v>
      </c>
      <c r="DG20" s="111">
        <v>2</v>
      </c>
      <c r="DH20" s="111">
        <v>2</v>
      </c>
      <c r="DI20" s="111">
        <v>2</v>
      </c>
      <c r="DJ20" s="111">
        <v>2</v>
      </c>
      <c r="DK20" s="111">
        <v>2</v>
      </c>
      <c r="DL20" s="111" t="s">
        <v>937</v>
      </c>
      <c r="DM20" s="171" t="s">
        <v>926</v>
      </c>
      <c r="DN20" s="111" t="s">
        <v>1224</v>
      </c>
      <c r="DO20" s="2" t="s">
        <v>1225</v>
      </c>
      <c r="DP20" s="111" t="s">
        <v>926</v>
      </c>
      <c r="DQ20" s="111" t="s">
        <v>926</v>
      </c>
      <c r="DR20" s="111">
        <v>2</v>
      </c>
      <c r="DS20" s="111">
        <v>1</v>
      </c>
      <c r="DT20" s="111" t="s">
        <v>1226</v>
      </c>
      <c r="DU20" s="178" t="s">
        <v>941</v>
      </c>
      <c r="DV20" s="111" t="s">
        <v>1148</v>
      </c>
      <c r="DW20" s="111" t="s">
        <v>1148</v>
      </c>
      <c r="DX20" s="167">
        <v>0.5</v>
      </c>
      <c r="DY20" s="111">
        <v>1</v>
      </c>
      <c r="DZ20" s="124"/>
    </row>
    <row r="21" spans="1:130" ht="12" hidden="1" customHeight="1">
      <c r="A21" s="165">
        <v>45754</v>
      </c>
      <c r="B21" s="2" t="s">
        <v>1227</v>
      </c>
      <c r="C21" s="111" t="s">
        <v>926</v>
      </c>
      <c r="D21" s="111" t="s">
        <v>1214</v>
      </c>
      <c r="E21" s="111" t="s">
        <v>1215</v>
      </c>
      <c r="F21" s="111" t="s">
        <v>1216</v>
      </c>
      <c r="G21" s="111" t="s">
        <v>1724</v>
      </c>
      <c r="H21" s="111" t="s">
        <v>1725</v>
      </c>
      <c r="I21" s="111" t="s">
        <v>1666</v>
      </c>
      <c r="J21" s="111" t="s">
        <v>1148</v>
      </c>
      <c r="K21" s="111">
        <v>4</v>
      </c>
      <c r="L21" s="111">
        <v>4</v>
      </c>
      <c r="M21" s="111">
        <v>3</v>
      </c>
      <c r="N21" s="111">
        <v>2</v>
      </c>
      <c r="O21" s="111">
        <v>3</v>
      </c>
      <c r="P21" s="111">
        <v>2</v>
      </c>
      <c r="Q21" s="111">
        <v>2</v>
      </c>
      <c r="R21" s="111">
        <v>2</v>
      </c>
      <c r="S21" s="111">
        <v>1</v>
      </c>
      <c r="T21" s="111">
        <v>4</v>
      </c>
      <c r="U21" s="111">
        <v>4</v>
      </c>
      <c r="V21" s="111">
        <v>3</v>
      </c>
      <c r="W21" s="111">
        <v>2</v>
      </c>
      <c r="X21" s="111">
        <v>2</v>
      </c>
      <c r="Y21" s="111">
        <v>1</v>
      </c>
      <c r="Z21" s="166">
        <v>10411057</v>
      </c>
      <c r="AA21" s="167">
        <v>10.411057</v>
      </c>
      <c r="AB21" s="111">
        <v>4</v>
      </c>
      <c r="AC21" s="111">
        <v>4</v>
      </c>
      <c r="AD21" s="168">
        <v>4</v>
      </c>
      <c r="AE21" s="111">
        <v>3</v>
      </c>
      <c r="AF21" s="111">
        <v>1</v>
      </c>
      <c r="AG21" s="111">
        <v>2</v>
      </c>
      <c r="AH21" s="111">
        <v>1</v>
      </c>
      <c r="AI21" s="111">
        <v>3</v>
      </c>
      <c r="AJ21" s="111">
        <v>3</v>
      </c>
      <c r="AK21" s="111">
        <v>1</v>
      </c>
      <c r="AL21" s="111">
        <v>2</v>
      </c>
      <c r="AM21" s="111">
        <v>4</v>
      </c>
      <c r="AN21" s="111">
        <v>4</v>
      </c>
      <c r="AO21" s="111">
        <v>4</v>
      </c>
      <c r="AP21" s="111">
        <v>1</v>
      </c>
      <c r="AQ21" s="111">
        <v>1</v>
      </c>
      <c r="AR21" s="111">
        <v>1</v>
      </c>
      <c r="AS21" s="111">
        <v>1</v>
      </c>
      <c r="AT21" s="111">
        <v>1</v>
      </c>
      <c r="AU21" s="111">
        <v>1</v>
      </c>
      <c r="AV21" s="111">
        <v>1</v>
      </c>
      <c r="AW21" s="111">
        <v>1</v>
      </c>
      <c r="AX21" s="111" t="s">
        <v>926</v>
      </c>
      <c r="AY21" s="169">
        <v>15.4</v>
      </c>
      <c r="AZ21" s="169">
        <v>15.5</v>
      </c>
      <c r="BA21" s="166">
        <v>25499</v>
      </c>
      <c r="BB21" s="166">
        <v>1940</v>
      </c>
      <c r="BC21" s="169" t="s">
        <v>926</v>
      </c>
      <c r="BD21" s="166" t="s">
        <v>926</v>
      </c>
      <c r="BE21" s="166" t="s">
        <v>926</v>
      </c>
      <c r="BF21" s="169">
        <v>25.911057</v>
      </c>
      <c r="BG21" s="166">
        <v>25499</v>
      </c>
      <c r="BH21" s="166">
        <v>1940</v>
      </c>
      <c r="BI21" s="111" t="s">
        <v>926</v>
      </c>
      <c r="BJ21" s="111">
        <v>1</v>
      </c>
      <c r="BK21" s="111">
        <v>2</v>
      </c>
      <c r="BL21" s="111">
        <v>1</v>
      </c>
      <c r="BM21" s="111">
        <v>1</v>
      </c>
      <c r="BN21" s="111">
        <v>1</v>
      </c>
      <c r="BO21" s="170" t="s">
        <v>1211</v>
      </c>
      <c r="BP21" s="111" t="s">
        <v>470</v>
      </c>
      <c r="BQ21" s="111" t="s">
        <v>1670</v>
      </c>
      <c r="BR21" s="111" t="s">
        <v>926</v>
      </c>
      <c r="BS21" s="111" t="s">
        <v>926</v>
      </c>
      <c r="BT21" s="111" t="s">
        <v>926</v>
      </c>
      <c r="BU21" s="111" t="s">
        <v>926</v>
      </c>
      <c r="BV21" s="111">
        <v>1</v>
      </c>
      <c r="BW21" s="2" t="s">
        <v>1182</v>
      </c>
      <c r="BX21" s="2" t="s">
        <v>1228</v>
      </c>
      <c r="BY21" s="2" t="s">
        <v>1229</v>
      </c>
      <c r="BZ21" s="2" t="s">
        <v>1230</v>
      </c>
      <c r="CA21" s="2" t="s">
        <v>1231</v>
      </c>
      <c r="CB21" s="2" t="s">
        <v>1232</v>
      </c>
      <c r="CC21" s="2" t="s">
        <v>1137</v>
      </c>
      <c r="CD21" s="2" t="s">
        <v>1167</v>
      </c>
      <c r="CE21" s="2" t="s">
        <v>1182</v>
      </c>
      <c r="CF21" s="111" t="s">
        <v>1183</v>
      </c>
      <c r="CG21" s="111" t="s">
        <v>1184</v>
      </c>
      <c r="CH21" s="111" t="s">
        <v>1233</v>
      </c>
      <c r="CI21" s="111">
        <v>26100.362400000002</v>
      </c>
      <c r="CJ21" s="111" t="s">
        <v>1234</v>
      </c>
      <c r="CK21" s="2" t="s">
        <v>1235</v>
      </c>
      <c r="CL21" s="111">
        <v>2</v>
      </c>
      <c r="CM21" s="111">
        <v>1</v>
      </c>
      <c r="CN21" s="111">
        <v>1</v>
      </c>
      <c r="CO21" s="111" t="s">
        <v>926</v>
      </c>
      <c r="CP21" s="111">
        <v>1</v>
      </c>
      <c r="CQ21" s="111">
        <v>4</v>
      </c>
      <c r="CR21" s="111">
        <v>1</v>
      </c>
      <c r="CS21" s="111">
        <v>1</v>
      </c>
      <c r="CT21" s="111">
        <v>4</v>
      </c>
      <c r="CU21" s="111">
        <v>2</v>
      </c>
      <c r="CV21" s="111">
        <v>2</v>
      </c>
      <c r="CW21" s="111">
        <v>4</v>
      </c>
      <c r="CX21" s="111">
        <v>1</v>
      </c>
      <c r="CY21" s="111">
        <v>2</v>
      </c>
      <c r="CZ21" s="111">
        <v>1</v>
      </c>
      <c r="DA21" s="111">
        <v>1</v>
      </c>
      <c r="DB21" s="111">
        <v>3</v>
      </c>
      <c r="DC21" s="111">
        <v>1</v>
      </c>
      <c r="DD21" s="111">
        <v>1</v>
      </c>
      <c r="DE21" s="111">
        <v>2</v>
      </c>
      <c r="DF21" s="111">
        <v>4</v>
      </c>
      <c r="DG21" s="111">
        <v>4</v>
      </c>
      <c r="DH21" s="111">
        <v>1</v>
      </c>
      <c r="DI21" s="111">
        <v>2</v>
      </c>
      <c r="DJ21" s="111">
        <v>2</v>
      </c>
      <c r="DK21" s="111">
        <v>2</v>
      </c>
      <c r="DL21" s="111" t="s">
        <v>937</v>
      </c>
      <c r="DM21" s="171" t="s">
        <v>926</v>
      </c>
      <c r="DN21" s="111" t="s">
        <v>1144</v>
      </c>
      <c r="DO21" s="2" t="s">
        <v>926</v>
      </c>
      <c r="DP21" s="111" t="s">
        <v>926</v>
      </c>
      <c r="DQ21" s="111" t="s">
        <v>926</v>
      </c>
      <c r="DR21" s="111">
        <v>2</v>
      </c>
      <c r="DS21" s="111">
        <v>1</v>
      </c>
      <c r="DT21" s="111" t="s">
        <v>1236</v>
      </c>
      <c r="DU21" s="178" t="s">
        <v>941</v>
      </c>
      <c r="DV21" s="111" t="s">
        <v>1148</v>
      </c>
      <c r="DW21" s="111" t="s">
        <v>1148</v>
      </c>
      <c r="DX21" s="167">
        <v>0.5</v>
      </c>
      <c r="DY21" s="111">
        <v>1</v>
      </c>
      <c r="DZ21" s="124"/>
    </row>
    <row r="22" spans="1:130" ht="12" hidden="1" customHeight="1">
      <c r="A22" s="165">
        <v>45756</v>
      </c>
      <c r="B22" s="2" t="s">
        <v>1237</v>
      </c>
      <c r="C22" s="111" t="s">
        <v>926</v>
      </c>
      <c r="D22" s="111" t="s">
        <v>1214</v>
      </c>
      <c r="E22" s="111" t="s">
        <v>1215</v>
      </c>
      <c r="F22" s="111" t="s">
        <v>1216</v>
      </c>
      <c r="G22" s="111" t="s">
        <v>1726</v>
      </c>
      <c r="H22" s="111" t="s">
        <v>1727</v>
      </c>
      <c r="I22" s="111" t="s">
        <v>1666</v>
      </c>
      <c r="J22" s="111" t="s">
        <v>1148</v>
      </c>
      <c r="K22" s="111">
        <v>4</v>
      </c>
      <c r="L22" s="111">
        <v>4</v>
      </c>
      <c r="M22" s="111">
        <v>2</v>
      </c>
      <c r="N22" s="111">
        <v>2</v>
      </c>
      <c r="O22" s="111">
        <v>3</v>
      </c>
      <c r="P22" s="111">
        <v>1</v>
      </c>
      <c r="Q22" s="111">
        <v>3</v>
      </c>
      <c r="R22" s="111">
        <v>3</v>
      </c>
      <c r="S22" s="111">
        <v>1</v>
      </c>
      <c r="T22" s="111">
        <v>4</v>
      </c>
      <c r="U22" s="111">
        <v>4</v>
      </c>
      <c r="V22" s="111">
        <v>4</v>
      </c>
      <c r="W22" s="111">
        <v>3</v>
      </c>
      <c r="X22" s="111">
        <v>3</v>
      </c>
      <c r="Y22" s="111">
        <v>1</v>
      </c>
      <c r="Z22" s="166">
        <v>14575721</v>
      </c>
      <c r="AA22" s="167">
        <v>14.575721</v>
      </c>
      <c r="AB22" s="111">
        <v>4</v>
      </c>
      <c r="AC22" s="111">
        <v>4</v>
      </c>
      <c r="AD22" s="168">
        <v>1</v>
      </c>
      <c r="AE22" s="111">
        <v>2</v>
      </c>
      <c r="AF22" s="111">
        <v>1</v>
      </c>
      <c r="AG22" s="111">
        <v>1</v>
      </c>
      <c r="AH22" s="111">
        <v>1</v>
      </c>
      <c r="AI22" s="111">
        <v>4</v>
      </c>
      <c r="AJ22" s="111">
        <v>4</v>
      </c>
      <c r="AK22" s="111">
        <v>1</v>
      </c>
      <c r="AL22" s="111">
        <v>2</v>
      </c>
      <c r="AM22" s="111">
        <v>4</v>
      </c>
      <c r="AN22" s="170">
        <v>3</v>
      </c>
      <c r="AO22" s="111">
        <v>2</v>
      </c>
      <c r="AP22" s="111">
        <v>2</v>
      </c>
      <c r="AQ22" s="111">
        <v>1</v>
      </c>
      <c r="AR22" s="111">
        <v>1</v>
      </c>
      <c r="AS22" s="111">
        <v>1</v>
      </c>
      <c r="AT22" s="111">
        <v>1</v>
      </c>
      <c r="AU22" s="111">
        <v>1</v>
      </c>
      <c r="AV22" s="111">
        <v>1</v>
      </c>
      <c r="AW22" s="111">
        <v>1</v>
      </c>
      <c r="AX22" s="111" t="s">
        <v>926</v>
      </c>
      <c r="AY22" s="169">
        <v>61</v>
      </c>
      <c r="AZ22" s="169">
        <v>100</v>
      </c>
      <c r="BA22" s="166">
        <v>32</v>
      </c>
      <c r="BB22" s="166">
        <v>1</v>
      </c>
      <c r="BC22" s="169" t="s">
        <v>926</v>
      </c>
      <c r="BD22" s="166" t="s">
        <v>926</v>
      </c>
      <c r="BE22" s="166" t="s">
        <v>926</v>
      </c>
      <c r="BF22" s="169">
        <v>114.575721</v>
      </c>
      <c r="BG22" s="166">
        <v>32</v>
      </c>
      <c r="BH22" s="166">
        <v>1</v>
      </c>
      <c r="BI22" s="111" t="s">
        <v>926</v>
      </c>
      <c r="BJ22" s="111">
        <v>1</v>
      </c>
      <c r="BK22" s="111">
        <v>1</v>
      </c>
      <c r="BL22" s="111">
        <v>1</v>
      </c>
      <c r="BM22" s="111">
        <v>1</v>
      </c>
      <c r="BN22" s="111">
        <v>2</v>
      </c>
      <c r="BO22" s="111" t="s">
        <v>1211</v>
      </c>
      <c r="BP22" s="111" t="s">
        <v>470</v>
      </c>
      <c r="BQ22" s="111" t="s">
        <v>1670</v>
      </c>
      <c r="BR22" s="111" t="s">
        <v>926</v>
      </c>
      <c r="BS22" s="111" t="s">
        <v>926</v>
      </c>
      <c r="BT22" s="111" t="s">
        <v>926</v>
      </c>
      <c r="BU22" s="111" t="s">
        <v>926</v>
      </c>
      <c r="BV22" s="111">
        <v>1</v>
      </c>
      <c r="BW22" s="2" t="s">
        <v>1182</v>
      </c>
      <c r="BX22" s="2" t="s">
        <v>1238</v>
      </c>
      <c r="BY22" s="2" t="s">
        <v>1239</v>
      </c>
      <c r="BZ22" s="2" t="s">
        <v>1240</v>
      </c>
      <c r="CA22" s="2" t="s">
        <v>1241</v>
      </c>
      <c r="CB22" s="2" t="s">
        <v>1242</v>
      </c>
      <c r="CC22" s="2" t="s">
        <v>1137</v>
      </c>
      <c r="CD22" s="2" t="s">
        <v>1167</v>
      </c>
      <c r="CE22" s="2" t="s">
        <v>1182</v>
      </c>
      <c r="CF22" s="111" t="s">
        <v>1168</v>
      </c>
      <c r="CG22" s="111" t="s">
        <v>1184</v>
      </c>
      <c r="CH22" s="111" t="s">
        <v>1243</v>
      </c>
      <c r="CI22" s="111">
        <v>26100.347600000001</v>
      </c>
      <c r="CJ22" s="111" t="s">
        <v>1728</v>
      </c>
      <c r="CK22" s="2" t="s">
        <v>1198</v>
      </c>
      <c r="CL22" s="111">
        <v>2</v>
      </c>
      <c r="CM22" s="111">
        <v>1</v>
      </c>
      <c r="CN22" s="111">
        <v>1</v>
      </c>
      <c r="CO22" s="111" t="s">
        <v>926</v>
      </c>
      <c r="CP22" s="111">
        <v>1</v>
      </c>
      <c r="CQ22" s="111">
        <v>4</v>
      </c>
      <c r="CR22" s="111">
        <v>1</v>
      </c>
      <c r="CS22" s="111">
        <v>1</v>
      </c>
      <c r="CT22" s="111">
        <v>2</v>
      </c>
      <c r="CU22" s="111">
        <v>2</v>
      </c>
      <c r="CV22" s="111">
        <v>3</v>
      </c>
      <c r="CW22" s="111">
        <v>4</v>
      </c>
      <c r="CX22" s="111">
        <v>1</v>
      </c>
      <c r="CY22" s="111">
        <v>2</v>
      </c>
      <c r="CZ22" s="111">
        <v>1</v>
      </c>
      <c r="DA22" s="111">
        <v>2</v>
      </c>
      <c r="DB22" s="111">
        <v>3</v>
      </c>
      <c r="DC22" s="111">
        <v>1</v>
      </c>
      <c r="DD22" s="111">
        <v>1</v>
      </c>
      <c r="DE22" s="111">
        <v>2</v>
      </c>
      <c r="DF22" s="111">
        <v>3</v>
      </c>
      <c r="DG22" s="111">
        <v>2</v>
      </c>
      <c r="DH22" s="111">
        <v>1</v>
      </c>
      <c r="DI22" s="111">
        <v>2</v>
      </c>
      <c r="DJ22" s="111">
        <v>2</v>
      </c>
      <c r="DK22" s="111">
        <v>2</v>
      </c>
      <c r="DL22" s="111" t="s">
        <v>937</v>
      </c>
      <c r="DM22" s="171" t="s">
        <v>926</v>
      </c>
      <c r="DN22" s="111" t="s">
        <v>1144</v>
      </c>
      <c r="DO22" s="2" t="s">
        <v>926</v>
      </c>
      <c r="DP22" s="111" t="s">
        <v>926</v>
      </c>
      <c r="DQ22" s="111" t="s">
        <v>926</v>
      </c>
      <c r="DR22" s="111">
        <v>2</v>
      </c>
      <c r="DS22" s="111">
        <v>1</v>
      </c>
      <c r="DT22" s="111" t="s">
        <v>1236</v>
      </c>
      <c r="DU22" s="178" t="s">
        <v>941</v>
      </c>
      <c r="DV22" s="111" t="s">
        <v>1148</v>
      </c>
      <c r="DW22" s="111" t="s">
        <v>1148</v>
      </c>
      <c r="DX22" s="167">
        <v>0.5</v>
      </c>
      <c r="DY22" s="111">
        <v>1</v>
      </c>
      <c r="DZ22" s="124"/>
    </row>
    <row r="23" spans="1:130" ht="12" hidden="1" customHeight="1">
      <c r="A23" s="165">
        <v>45756</v>
      </c>
      <c r="B23" s="2" t="s">
        <v>1244</v>
      </c>
      <c r="C23" s="111" t="s">
        <v>926</v>
      </c>
      <c r="D23" s="111" t="s">
        <v>1214</v>
      </c>
      <c r="E23" s="111" t="s">
        <v>1215</v>
      </c>
      <c r="F23" s="111" t="s">
        <v>1216</v>
      </c>
      <c r="G23" s="111" t="s">
        <v>1729</v>
      </c>
      <c r="H23" s="111" t="s">
        <v>1730</v>
      </c>
      <c r="I23" s="111" t="s">
        <v>1666</v>
      </c>
      <c r="J23" s="111" t="s">
        <v>1148</v>
      </c>
      <c r="K23" s="111">
        <v>4</v>
      </c>
      <c r="L23" s="111">
        <v>4</v>
      </c>
      <c r="M23" s="111">
        <v>2</v>
      </c>
      <c r="N23" s="111">
        <v>3</v>
      </c>
      <c r="O23" s="111">
        <v>3</v>
      </c>
      <c r="P23" s="111">
        <v>3</v>
      </c>
      <c r="Q23" s="111">
        <v>3</v>
      </c>
      <c r="R23" s="111">
        <v>2</v>
      </c>
      <c r="S23" s="111">
        <v>2</v>
      </c>
      <c r="T23" s="111">
        <v>4</v>
      </c>
      <c r="U23" s="111">
        <v>4</v>
      </c>
      <c r="V23" s="111">
        <v>3</v>
      </c>
      <c r="W23" s="111">
        <v>2</v>
      </c>
      <c r="X23" s="111">
        <v>2</v>
      </c>
      <c r="Y23" s="111">
        <v>1</v>
      </c>
      <c r="Z23" s="166">
        <v>13139747</v>
      </c>
      <c r="AA23" s="167">
        <v>13.139747</v>
      </c>
      <c r="AB23" s="111">
        <v>4</v>
      </c>
      <c r="AC23" s="111">
        <v>4</v>
      </c>
      <c r="AD23" s="168">
        <v>4</v>
      </c>
      <c r="AE23" s="111">
        <v>3</v>
      </c>
      <c r="AF23" s="111">
        <v>1</v>
      </c>
      <c r="AG23" s="111">
        <v>1</v>
      </c>
      <c r="AH23" s="111">
        <v>1</v>
      </c>
      <c r="AI23" s="111">
        <v>4</v>
      </c>
      <c r="AJ23" s="111">
        <v>4</v>
      </c>
      <c r="AK23" s="111">
        <v>1</v>
      </c>
      <c r="AL23" s="111">
        <v>1</v>
      </c>
      <c r="AM23" s="111">
        <v>3</v>
      </c>
      <c r="AN23" s="111">
        <v>4</v>
      </c>
      <c r="AO23" s="111">
        <v>4</v>
      </c>
      <c r="AP23" s="111">
        <v>1</v>
      </c>
      <c r="AQ23" s="111">
        <v>1</v>
      </c>
      <c r="AR23" s="111">
        <v>1</v>
      </c>
      <c r="AS23" s="111">
        <v>1</v>
      </c>
      <c r="AT23" s="111">
        <v>1</v>
      </c>
      <c r="AU23" s="111">
        <v>1</v>
      </c>
      <c r="AV23" s="111">
        <v>2</v>
      </c>
      <c r="AW23" s="111">
        <v>1</v>
      </c>
      <c r="AX23" s="111" t="s">
        <v>926</v>
      </c>
      <c r="AY23" s="169">
        <v>16.5</v>
      </c>
      <c r="AZ23" s="169">
        <v>16.5</v>
      </c>
      <c r="BA23" s="166">
        <v>21996</v>
      </c>
      <c r="BB23" s="166">
        <v>2192</v>
      </c>
      <c r="BC23" s="169" t="s">
        <v>926</v>
      </c>
      <c r="BD23" s="166" t="s">
        <v>926</v>
      </c>
      <c r="BE23" s="166" t="s">
        <v>926</v>
      </c>
      <c r="BF23" s="169">
        <v>29.639747</v>
      </c>
      <c r="BG23" s="166">
        <v>21996</v>
      </c>
      <c r="BH23" s="166">
        <v>2192</v>
      </c>
      <c r="BI23" s="111" t="s">
        <v>926</v>
      </c>
      <c r="BJ23" s="111">
        <v>1</v>
      </c>
      <c r="BK23" s="111">
        <v>2</v>
      </c>
      <c r="BL23" s="111">
        <v>2</v>
      </c>
      <c r="BM23" s="111">
        <v>1</v>
      </c>
      <c r="BN23" s="111">
        <v>1</v>
      </c>
      <c r="BO23" s="170" t="s">
        <v>1211</v>
      </c>
      <c r="BP23" s="111" t="s">
        <v>470</v>
      </c>
      <c r="BQ23" s="111" t="s">
        <v>1670</v>
      </c>
      <c r="BR23" s="111" t="s">
        <v>926</v>
      </c>
      <c r="BS23" s="111" t="s">
        <v>926</v>
      </c>
      <c r="BT23" s="111" t="s">
        <v>926</v>
      </c>
      <c r="BU23" s="111" t="s">
        <v>926</v>
      </c>
      <c r="BV23" s="111">
        <v>3</v>
      </c>
      <c r="BW23" s="2" t="s">
        <v>1182</v>
      </c>
      <c r="BX23" s="2" t="s">
        <v>1731</v>
      </c>
      <c r="BY23" s="2" t="s">
        <v>1218</v>
      </c>
      <c r="BZ23" s="2" t="s">
        <v>1219</v>
      </c>
      <c r="CA23" s="2" t="s">
        <v>1245</v>
      </c>
      <c r="CB23" s="2" t="s">
        <v>1246</v>
      </c>
      <c r="CC23" s="2" t="s">
        <v>1137</v>
      </c>
      <c r="CD23" s="2" t="s">
        <v>1247</v>
      </c>
      <c r="CE23" s="2" t="s">
        <v>1182</v>
      </c>
      <c r="CF23" s="111" t="s">
        <v>1183</v>
      </c>
      <c r="CG23" s="111" t="s">
        <v>1184</v>
      </c>
      <c r="CH23" s="111" t="s">
        <v>1248</v>
      </c>
      <c r="CI23" s="111">
        <v>26100.347600000001</v>
      </c>
      <c r="CJ23" s="111" t="s">
        <v>1732</v>
      </c>
      <c r="CK23" s="2" t="s">
        <v>1198</v>
      </c>
      <c r="CL23" s="111">
        <v>1</v>
      </c>
      <c r="CM23" s="111">
        <v>1</v>
      </c>
      <c r="CN23" s="111">
        <v>1</v>
      </c>
      <c r="CO23" s="111" t="s">
        <v>926</v>
      </c>
      <c r="CP23" s="111">
        <v>1</v>
      </c>
      <c r="CQ23" s="111">
        <v>4</v>
      </c>
      <c r="CR23" s="111">
        <v>1</v>
      </c>
      <c r="CS23" s="111">
        <v>1</v>
      </c>
      <c r="CT23" s="111">
        <v>2</v>
      </c>
      <c r="CU23" s="111">
        <v>2</v>
      </c>
      <c r="CV23" s="111">
        <v>2</v>
      </c>
      <c r="CW23" s="111">
        <v>4</v>
      </c>
      <c r="CX23" s="111">
        <v>1</v>
      </c>
      <c r="CY23" s="111">
        <v>2</v>
      </c>
      <c r="CZ23" s="111">
        <v>1</v>
      </c>
      <c r="DA23" s="111">
        <v>2</v>
      </c>
      <c r="DB23" s="111">
        <v>2</v>
      </c>
      <c r="DC23" s="111">
        <v>1</v>
      </c>
      <c r="DD23" s="111">
        <v>1</v>
      </c>
      <c r="DE23" s="111">
        <v>2</v>
      </c>
      <c r="DF23" s="111">
        <v>3</v>
      </c>
      <c r="DG23" s="111">
        <v>2</v>
      </c>
      <c r="DH23" s="111">
        <v>1</v>
      </c>
      <c r="DI23" s="111">
        <v>2</v>
      </c>
      <c r="DJ23" s="111">
        <v>2</v>
      </c>
      <c r="DK23" s="111">
        <v>2</v>
      </c>
      <c r="DL23" s="111" t="s">
        <v>937</v>
      </c>
      <c r="DM23" s="171" t="s">
        <v>926</v>
      </c>
      <c r="DN23" s="111" t="s">
        <v>1224</v>
      </c>
      <c r="DO23" s="2" t="s">
        <v>1249</v>
      </c>
      <c r="DP23" s="111" t="s">
        <v>926</v>
      </c>
      <c r="DQ23" s="111" t="s">
        <v>926</v>
      </c>
      <c r="DR23" s="111">
        <v>2</v>
      </c>
      <c r="DS23" s="111">
        <v>1</v>
      </c>
      <c r="DT23" s="111" t="s">
        <v>1236</v>
      </c>
      <c r="DU23" s="178" t="s">
        <v>941</v>
      </c>
      <c r="DV23" s="111" t="s">
        <v>1148</v>
      </c>
      <c r="DW23" s="111" t="s">
        <v>1148</v>
      </c>
      <c r="DX23" s="167">
        <v>0.5</v>
      </c>
      <c r="DY23" s="111">
        <v>1</v>
      </c>
      <c r="DZ23" s="124"/>
    </row>
    <row r="24" spans="1:130" ht="12" hidden="1" customHeight="1">
      <c r="A24" s="165">
        <v>45756</v>
      </c>
      <c r="B24" s="2" t="s">
        <v>1250</v>
      </c>
      <c r="C24" s="111" t="s">
        <v>926</v>
      </c>
      <c r="D24" s="111" t="s">
        <v>1214</v>
      </c>
      <c r="E24" s="111" t="s">
        <v>1215</v>
      </c>
      <c r="F24" s="111" t="s">
        <v>1251</v>
      </c>
      <c r="G24" s="111" t="s">
        <v>1733</v>
      </c>
      <c r="H24" s="111" t="s">
        <v>1734</v>
      </c>
      <c r="I24" s="111" t="s">
        <v>1666</v>
      </c>
      <c r="J24" s="111" t="s">
        <v>1148</v>
      </c>
      <c r="K24" s="111">
        <v>4</v>
      </c>
      <c r="L24" s="111">
        <v>4</v>
      </c>
      <c r="M24" s="111">
        <v>2</v>
      </c>
      <c r="N24" s="170">
        <v>3</v>
      </c>
      <c r="O24" s="111">
        <v>3</v>
      </c>
      <c r="P24" s="111">
        <v>3</v>
      </c>
      <c r="Q24" s="111">
        <v>2</v>
      </c>
      <c r="R24" s="111">
        <v>2</v>
      </c>
      <c r="S24" s="111">
        <v>2</v>
      </c>
      <c r="T24" s="111">
        <v>4</v>
      </c>
      <c r="U24" s="111">
        <v>4</v>
      </c>
      <c r="V24" s="111">
        <v>4</v>
      </c>
      <c r="W24" s="111">
        <v>3</v>
      </c>
      <c r="X24" s="111">
        <v>4</v>
      </c>
      <c r="Y24" s="111">
        <v>1</v>
      </c>
      <c r="Z24" s="166">
        <v>17163849</v>
      </c>
      <c r="AA24" s="167">
        <v>17.163848999999999</v>
      </c>
      <c r="AB24" s="111">
        <v>4</v>
      </c>
      <c r="AC24" s="111">
        <v>4</v>
      </c>
      <c r="AD24" s="168">
        <v>1</v>
      </c>
      <c r="AE24" s="111">
        <v>4</v>
      </c>
      <c r="AF24" s="111">
        <v>3</v>
      </c>
      <c r="AG24" s="111">
        <v>1</v>
      </c>
      <c r="AH24" s="111">
        <v>1</v>
      </c>
      <c r="AI24" s="111">
        <v>4</v>
      </c>
      <c r="AJ24" s="111">
        <v>4</v>
      </c>
      <c r="AK24" s="111">
        <v>2</v>
      </c>
      <c r="AL24" s="111">
        <v>4</v>
      </c>
      <c r="AM24" s="111">
        <v>4</v>
      </c>
      <c r="AN24" s="170">
        <v>4</v>
      </c>
      <c r="AO24" s="111">
        <v>1</v>
      </c>
      <c r="AP24" s="111">
        <v>2</v>
      </c>
      <c r="AQ24" s="111">
        <v>1</v>
      </c>
      <c r="AR24" s="111">
        <v>2</v>
      </c>
      <c r="AS24" s="111">
        <v>1</v>
      </c>
      <c r="AT24" s="111">
        <v>1</v>
      </c>
      <c r="AU24" s="111">
        <v>1</v>
      </c>
      <c r="AV24" s="111">
        <v>1</v>
      </c>
      <c r="AW24" s="111">
        <v>1</v>
      </c>
      <c r="AX24" s="111" t="s">
        <v>926</v>
      </c>
      <c r="AY24" s="169">
        <v>30.3</v>
      </c>
      <c r="AZ24" s="169">
        <v>30.5</v>
      </c>
      <c r="BA24" s="166">
        <v>61</v>
      </c>
      <c r="BB24" s="166">
        <v>7</v>
      </c>
      <c r="BC24" s="169">
        <v>3.0600000000000002E-2</v>
      </c>
      <c r="BD24" s="166">
        <v>61</v>
      </c>
      <c r="BE24" s="166">
        <v>7</v>
      </c>
      <c r="BF24" s="169">
        <v>47.694448999999999</v>
      </c>
      <c r="BG24" s="166">
        <v>122</v>
      </c>
      <c r="BH24" s="166">
        <v>14</v>
      </c>
      <c r="BI24" s="111" t="s">
        <v>926</v>
      </c>
      <c r="BJ24" s="111">
        <v>1</v>
      </c>
      <c r="BK24" s="111">
        <v>2</v>
      </c>
      <c r="BL24" s="111">
        <v>1</v>
      </c>
      <c r="BM24" s="111">
        <v>1</v>
      </c>
      <c r="BN24" s="111">
        <v>1</v>
      </c>
      <c r="BO24" s="111" t="s">
        <v>1211</v>
      </c>
      <c r="BP24" s="111" t="s">
        <v>470</v>
      </c>
      <c r="BQ24" s="111" t="s">
        <v>1670</v>
      </c>
      <c r="BR24" s="111" t="s">
        <v>926</v>
      </c>
      <c r="BS24" s="111" t="s">
        <v>926</v>
      </c>
      <c r="BT24" s="111" t="s">
        <v>926</v>
      </c>
      <c r="BU24" s="111" t="s">
        <v>926</v>
      </c>
      <c r="BV24" s="170">
        <v>1</v>
      </c>
      <c r="BW24" s="2" t="s">
        <v>1182</v>
      </c>
      <c r="BX24" s="2" t="s">
        <v>1735</v>
      </c>
      <c r="BY24" s="2" t="s">
        <v>1736</v>
      </c>
      <c r="BZ24" s="2" t="s">
        <v>1605</v>
      </c>
      <c r="CA24" s="2" t="s">
        <v>1737</v>
      </c>
      <c r="CB24" s="2" t="s">
        <v>1738</v>
      </c>
      <c r="CC24" s="2" t="s">
        <v>1137</v>
      </c>
      <c r="CD24" s="2" t="s">
        <v>1167</v>
      </c>
      <c r="CE24" s="2" t="s">
        <v>1182</v>
      </c>
      <c r="CF24" s="111" t="s">
        <v>1168</v>
      </c>
      <c r="CG24" s="111" t="s">
        <v>1140</v>
      </c>
      <c r="CH24" s="111" t="s">
        <v>1440</v>
      </c>
      <c r="CI24" s="111">
        <v>22621.431700000001</v>
      </c>
      <c r="CJ24" s="111" t="s">
        <v>1739</v>
      </c>
      <c r="CK24" s="2" t="s">
        <v>1366</v>
      </c>
      <c r="CL24" s="172">
        <v>2</v>
      </c>
      <c r="CM24" s="111">
        <v>1</v>
      </c>
      <c r="CN24" s="111">
        <v>1</v>
      </c>
      <c r="CO24" s="111" t="s">
        <v>926</v>
      </c>
      <c r="CP24" s="111">
        <v>2</v>
      </c>
      <c r="CQ24" s="111">
        <v>2</v>
      </c>
      <c r="CR24" s="111">
        <v>2</v>
      </c>
      <c r="CS24" s="111">
        <v>1</v>
      </c>
      <c r="CT24" s="111">
        <v>4</v>
      </c>
      <c r="CU24" s="111">
        <v>2</v>
      </c>
      <c r="CV24" s="111">
        <v>2</v>
      </c>
      <c r="CW24" s="111">
        <v>4</v>
      </c>
      <c r="CX24" s="111">
        <v>2</v>
      </c>
      <c r="CY24" s="111">
        <v>2</v>
      </c>
      <c r="CZ24" s="111">
        <v>1</v>
      </c>
      <c r="DA24" s="111">
        <v>2</v>
      </c>
      <c r="DB24" s="111">
        <v>2</v>
      </c>
      <c r="DC24" s="111">
        <v>1</v>
      </c>
      <c r="DD24" s="111">
        <v>1</v>
      </c>
      <c r="DE24" s="111">
        <v>2</v>
      </c>
      <c r="DF24" s="111">
        <v>4</v>
      </c>
      <c r="DG24" s="111">
        <v>2</v>
      </c>
      <c r="DH24" s="111">
        <v>1</v>
      </c>
      <c r="DI24" s="111">
        <v>2</v>
      </c>
      <c r="DJ24" s="111">
        <v>2</v>
      </c>
      <c r="DK24" s="111">
        <v>2</v>
      </c>
      <c r="DL24" s="111" t="s">
        <v>967</v>
      </c>
      <c r="DM24" s="171"/>
      <c r="DN24" s="111" t="s">
        <v>1144</v>
      </c>
      <c r="DO24" s="2" t="s">
        <v>926</v>
      </c>
      <c r="DP24" s="111" t="s">
        <v>1173</v>
      </c>
      <c r="DQ24" s="111" t="s">
        <v>1252</v>
      </c>
      <c r="DR24" s="111">
        <v>2</v>
      </c>
      <c r="DS24" s="111">
        <v>1</v>
      </c>
      <c r="DT24" s="111" t="s">
        <v>1226</v>
      </c>
      <c r="DU24" s="178" t="s">
        <v>941</v>
      </c>
      <c r="DV24" s="111" t="s">
        <v>1148</v>
      </c>
      <c r="DW24" s="111" t="s">
        <v>1148</v>
      </c>
      <c r="DX24" s="167">
        <v>0.5</v>
      </c>
      <c r="DY24" s="111">
        <v>1</v>
      </c>
      <c r="DZ24" s="124" t="s">
        <v>1253</v>
      </c>
    </row>
    <row r="25" spans="1:130" ht="12" hidden="1" customHeight="1">
      <c r="A25" s="165">
        <v>45756</v>
      </c>
      <c r="B25" s="2" t="s">
        <v>1254</v>
      </c>
      <c r="C25" s="111" t="s">
        <v>926</v>
      </c>
      <c r="D25" s="111" t="s">
        <v>1214</v>
      </c>
      <c r="E25" s="111" t="s">
        <v>1215</v>
      </c>
      <c r="F25" s="111" t="s">
        <v>1251</v>
      </c>
      <c r="G25" s="111" t="s">
        <v>1740</v>
      </c>
      <c r="H25" s="111" t="s">
        <v>1741</v>
      </c>
      <c r="I25" s="111" t="s">
        <v>1666</v>
      </c>
      <c r="J25" s="111" t="s">
        <v>1148</v>
      </c>
      <c r="K25" s="111">
        <v>4</v>
      </c>
      <c r="L25" s="111">
        <v>4</v>
      </c>
      <c r="M25" s="111">
        <v>2</v>
      </c>
      <c r="N25" s="170">
        <v>3</v>
      </c>
      <c r="O25" s="111">
        <v>3</v>
      </c>
      <c r="P25" s="111">
        <v>3</v>
      </c>
      <c r="Q25" s="111">
        <v>3</v>
      </c>
      <c r="R25" s="111">
        <v>2</v>
      </c>
      <c r="S25" s="111">
        <v>2</v>
      </c>
      <c r="T25" s="111">
        <v>4</v>
      </c>
      <c r="U25" s="111">
        <v>4</v>
      </c>
      <c r="V25" s="111">
        <v>3</v>
      </c>
      <c r="W25" s="111">
        <v>3</v>
      </c>
      <c r="X25" s="111">
        <v>2</v>
      </c>
      <c r="Y25" s="111">
        <v>1</v>
      </c>
      <c r="Z25" s="166">
        <v>16415137</v>
      </c>
      <c r="AA25" s="167">
        <v>16.415137000000001</v>
      </c>
      <c r="AB25" s="111">
        <v>4</v>
      </c>
      <c r="AC25" s="111">
        <v>4</v>
      </c>
      <c r="AD25" s="168">
        <v>1</v>
      </c>
      <c r="AE25" s="111">
        <v>4</v>
      </c>
      <c r="AF25" s="111">
        <v>3</v>
      </c>
      <c r="AG25" s="111">
        <v>1</v>
      </c>
      <c r="AH25" s="111">
        <v>1</v>
      </c>
      <c r="AI25" s="111">
        <v>4</v>
      </c>
      <c r="AJ25" s="111">
        <v>4</v>
      </c>
      <c r="AK25" s="111">
        <v>2</v>
      </c>
      <c r="AL25" s="111">
        <v>2</v>
      </c>
      <c r="AM25" s="111">
        <v>4</v>
      </c>
      <c r="AN25" s="170">
        <v>4</v>
      </c>
      <c r="AO25" s="111">
        <v>1</v>
      </c>
      <c r="AP25" s="111">
        <v>2</v>
      </c>
      <c r="AQ25" s="111">
        <v>1</v>
      </c>
      <c r="AR25" s="111">
        <v>1</v>
      </c>
      <c r="AS25" s="111">
        <v>1</v>
      </c>
      <c r="AT25" s="111">
        <v>1</v>
      </c>
      <c r="AU25" s="111">
        <v>1</v>
      </c>
      <c r="AV25" s="111">
        <v>1</v>
      </c>
      <c r="AW25" s="111">
        <v>1</v>
      </c>
      <c r="AX25" s="111" t="s">
        <v>926</v>
      </c>
      <c r="AY25" s="169">
        <v>0.36</v>
      </c>
      <c r="AZ25" s="169">
        <v>0.36</v>
      </c>
      <c r="BA25" s="166">
        <v>513</v>
      </c>
      <c r="BB25" s="166">
        <v>76</v>
      </c>
      <c r="BC25" s="169">
        <v>0.36499999999999999</v>
      </c>
      <c r="BD25" s="166">
        <v>513</v>
      </c>
      <c r="BE25" s="166">
        <v>76</v>
      </c>
      <c r="BF25" s="169">
        <v>17.140136999999999</v>
      </c>
      <c r="BG25" s="166">
        <v>1026</v>
      </c>
      <c r="BH25" s="166">
        <v>152</v>
      </c>
      <c r="BI25" s="111" t="s">
        <v>926</v>
      </c>
      <c r="BJ25" s="111">
        <v>2</v>
      </c>
      <c r="BK25" s="111">
        <v>2</v>
      </c>
      <c r="BL25" s="111">
        <v>2</v>
      </c>
      <c r="BM25" s="111">
        <v>1</v>
      </c>
      <c r="BN25" s="111">
        <v>1</v>
      </c>
      <c r="BO25" s="111" t="s">
        <v>1211</v>
      </c>
      <c r="BP25" s="111" t="s">
        <v>470</v>
      </c>
      <c r="BQ25" s="111" t="s">
        <v>1670</v>
      </c>
      <c r="BR25" s="111" t="s">
        <v>926</v>
      </c>
      <c r="BS25" s="111" t="s">
        <v>926</v>
      </c>
      <c r="BT25" s="111" t="s">
        <v>926</v>
      </c>
      <c r="BU25" s="111" t="s">
        <v>926</v>
      </c>
      <c r="BV25" s="111">
        <v>2</v>
      </c>
      <c r="BW25" s="2" t="s">
        <v>1182</v>
      </c>
      <c r="BX25" s="2" t="s">
        <v>1742</v>
      </c>
      <c r="BY25" s="2" t="s">
        <v>1255</v>
      </c>
      <c r="BZ25" s="2" t="s">
        <v>1256</v>
      </c>
      <c r="CA25" s="2" t="s">
        <v>1257</v>
      </c>
      <c r="CB25" s="2" t="s">
        <v>1258</v>
      </c>
      <c r="CC25" s="2" t="s">
        <v>1137</v>
      </c>
      <c r="CD25" s="2" t="s">
        <v>1167</v>
      </c>
      <c r="CE25" s="2" t="s">
        <v>1182</v>
      </c>
      <c r="CF25" s="111" t="s">
        <v>1183</v>
      </c>
      <c r="CG25" s="111" t="s">
        <v>1184</v>
      </c>
      <c r="CH25" s="111" t="s">
        <v>1243</v>
      </c>
      <c r="CI25" s="111">
        <v>26100.347600000001</v>
      </c>
      <c r="CJ25" s="111" t="s">
        <v>1259</v>
      </c>
      <c r="CK25" s="2" t="s">
        <v>1198</v>
      </c>
      <c r="CL25" s="111">
        <v>1</v>
      </c>
      <c r="CM25" s="111">
        <v>1</v>
      </c>
      <c r="CN25" s="111">
        <v>1</v>
      </c>
      <c r="CO25" s="111" t="s">
        <v>926</v>
      </c>
      <c r="CP25" s="111">
        <v>2</v>
      </c>
      <c r="CQ25" s="111">
        <v>3</v>
      </c>
      <c r="CR25" s="111">
        <v>2</v>
      </c>
      <c r="CS25" s="111">
        <v>1</v>
      </c>
      <c r="CT25" s="111">
        <v>3</v>
      </c>
      <c r="CU25" s="111">
        <v>2</v>
      </c>
      <c r="CV25" s="111">
        <v>2</v>
      </c>
      <c r="CW25" s="111">
        <v>3</v>
      </c>
      <c r="CX25" s="111">
        <v>2</v>
      </c>
      <c r="CY25" s="111">
        <v>2</v>
      </c>
      <c r="CZ25" s="111">
        <v>1</v>
      </c>
      <c r="DA25" s="111">
        <v>2</v>
      </c>
      <c r="DB25" s="111">
        <v>3</v>
      </c>
      <c r="DC25" s="111">
        <v>2</v>
      </c>
      <c r="DD25" s="111">
        <v>1</v>
      </c>
      <c r="DE25" s="111">
        <v>2</v>
      </c>
      <c r="DF25" s="111">
        <v>4</v>
      </c>
      <c r="DG25" s="111">
        <v>2</v>
      </c>
      <c r="DH25" s="111">
        <v>1</v>
      </c>
      <c r="DI25" s="111">
        <v>2</v>
      </c>
      <c r="DJ25" s="111">
        <v>2</v>
      </c>
      <c r="DK25" s="111">
        <v>2</v>
      </c>
      <c r="DL25" s="111" t="s">
        <v>937</v>
      </c>
      <c r="DM25" s="171" t="s">
        <v>926</v>
      </c>
      <c r="DN25" s="111" t="s">
        <v>1224</v>
      </c>
      <c r="DO25" s="2" t="s">
        <v>1260</v>
      </c>
      <c r="DP25" s="111" t="s">
        <v>926</v>
      </c>
      <c r="DQ25" s="111" t="s">
        <v>926</v>
      </c>
      <c r="DR25" s="111">
        <v>2</v>
      </c>
      <c r="DS25" s="111">
        <v>1</v>
      </c>
      <c r="DT25" s="111" t="s">
        <v>1226</v>
      </c>
      <c r="DU25" s="178" t="s">
        <v>941</v>
      </c>
      <c r="DV25" s="111" t="s">
        <v>1148</v>
      </c>
      <c r="DW25" s="111" t="s">
        <v>1148</v>
      </c>
      <c r="DX25" s="167">
        <v>0.5</v>
      </c>
      <c r="DY25" s="111">
        <v>1</v>
      </c>
      <c r="DZ25" s="124"/>
    </row>
    <row r="26" spans="1:130" ht="12" hidden="1" customHeight="1">
      <c r="A26" s="165">
        <v>45756</v>
      </c>
      <c r="B26" s="2" t="s">
        <v>1261</v>
      </c>
      <c r="C26" s="111" t="s">
        <v>926</v>
      </c>
      <c r="D26" s="111" t="s">
        <v>1214</v>
      </c>
      <c r="E26" s="111" t="s">
        <v>1215</v>
      </c>
      <c r="F26" s="111" t="s">
        <v>1262</v>
      </c>
      <c r="G26" s="111" t="s">
        <v>1743</v>
      </c>
      <c r="H26" s="111" t="s">
        <v>1744</v>
      </c>
      <c r="I26" s="111" t="s">
        <v>1396</v>
      </c>
      <c r="J26" s="111" t="s">
        <v>1269</v>
      </c>
      <c r="K26" s="111">
        <v>4</v>
      </c>
      <c r="L26" s="111">
        <v>4</v>
      </c>
      <c r="M26" s="111">
        <v>2</v>
      </c>
      <c r="N26" s="111">
        <v>2</v>
      </c>
      <c r="O26" s="111">
        <v>2</v>
      </c>
      <c r="P26" s="111">
        <v>2</v>
      </c>
      <c r="Q26" s="111">
        <v>3</v>
      </c>
      <c r="R26" s="111">
        <v>3</v>
      </c>
      <c r="S26" s="111">
        <v>2</v>
      </c>
      <c r="T26" s="111">
        <v>4</v>
      </c>
      <c r="U26" s="111">
        <v>4</v>
      </c>
      <c r="V26" s="111">
        <v>3</v>
      </c>
      <c r="W26" s="111">
        <v>2</v>
      </c>
      <c r="X26" s="111">
        <v>2</v>
      </c>
      <c r="Y26" s="111">
        <v>1</v>
      </c>
      <c r="Z26" s="166">
        <v>19567961</v>
      </c>
      <c r="AA26" s="167">
        <v>19.567961</v>
      </c>
      <c r="AB26" s="111">
        <v>4</v>
      </c>
      <c r="AC26" s="111">
        <v>4</v>
      </c>
      <c r="AD26" s="168">
        <v>1</v>
      </c>
      <c r="AE26" s="111">
        <v>1</v>
      </c>
      <c r="AF26" s="111">
        <v>1</v>
      </c>
      <c r="AG26" s="111">
        <v>1</v>
      </c>
      <c r="AH26" s="111">
        <v>1</v>
      </c>
      <c r="AI26" s="111">
        <v>2</v>
      </c>
      <c r="AJ26" s="111">
        <v>1</v>
      </c>
      <c r="AK26" s="111">
        <v>1</v>
      </c>
      <c r="AL26" s="111">
        <v>1</v>
      </c>
      <c r="AM26" s="111">
        <v>4</v>
      </c>
      <c r="AN26" s="170">
        <v>1</v>
      </c>
      <c r="AO26" s="111">
        <v>3</v>
      </c>
      <c r="AP26" s="111">
        <v>1</v>
      </c>
      <c r="AQ26" s="111">
        <v>1</v>
      </c>
      <c r="AR26" s="111">
        <v>1</v>
      </c>
      <c r="AS26" s="111">
        <v>1</v>
      </c>
      <c r="AT26" s="111">
        <v>1</v>
      </c>
      <c r="AU26" s="111">
        <v>1</v>
      </c>
      <c r="AV26" s="111">
        <v>1</v>
      </c>
      <c r="AW26" s="111">
        <v>1</v>
      </c>
      <c r="AX26" s="111" t="s">
        <v>926</v>
      </c>
      <c r="AY26" s="169">
        <v>21.4</v>
      </c>
      <c r="AZ26" s="169">
        <v>21.6</v>
      </c>
      <c r="BA26" s="166">
        <v>69193</v>
      </c>
      <c r="BB26" s="166">
        <v>2173</v>
      </c>
      <c r="BC26" s="169">
        <v>23.4</v>
      </c>
      <c r="BD26" s="166">
        <v>34070</v>
      </c>
      <c r="BE26" s="166">
        <v>2581</v>
      </c>
      <c r="BF26" s="169">
        <v>64.567960999999997</v>
      </c>
      <c r="BG26" s="166">
        <v>103263</v>
      </c>
      <c r="BH26" s="166">
        <v>4754</v>
      </c>
      <c r="BI26" s="111" t="s">
        <v>926</v>
      </c>
      <c r="BJ26" s="111">
        <v>2</v>
      </c>
      <c r="BK26" s="111">
        <v>1</v>
      </c>
      <c r="BL26" s="111">
        <v>2</v>
      </c>
      <c r="BM26" s="111">
        <v>2</v>
      </c>
      <c r="BN26" s="111">
        <v>2</v>
      </c>
      <c r="BO26" s="111" t="s">
        <v>1263</v>
      </c>
      <c r="BP26" s="111" t="s">
        <v>1745</v>
      </c>
      <c r="BQ26" s="111" t="s">
        <v>1746</v>
      </c>
      <c r="BR26" s="111" t="s">
        <v>926</v>
      </c>
      <c r="BS26" s="111" t="s">
        <v>926</v>
      </c>
      <c r="BT26" s="111" t="s">
        <v>926</v>
      </c>
      <c r="BU26" s="111" t="s">
        <v>926</v>
      </c>
      <c r="BV26" s="111">
        <v>1</v>
      </c>
      <c r="BW26" s="2" t="s">
        <v>1182</v>
      </c>
      <c r="BX26" s="2" t="s">
        <v>1264</v>
      </c>
      <c r="BY26" s="2" t="s">
        <v>1265</v>
      </c>
      <c r="BZ26" s="2" t="s">
        <v>1134</v>
      </c>
      <c r="CA26" s="2" t="s">
        <v>1266</v>
      </c>
      <c r="CB26" s="2" t="s">
        <v>1267</v>
      </c>
      <c r="CC26" s="2" t="s">
        <v>1137</v>
      </c>
      <c r="CD26" s="2" t="s">
        <v>1167</v>
      </c>
      <c r="CE26" s="2" t="s">
        <v>1182</v>
      </c>
      <c r="CF26" s="111" t="s">
        <v>1268</v>
      </c>
      <c r="CG26" s="111" t="s">
        <v>1140</v>
      </c>
      <c r="CH26" s="111" t="s">
        <v>1747</v>
      </c>
      <c r="CI26" s="179" t="s">
        <v>1748</v>
      </c>
      <c r="CJ26" s="111" t="s">
        <v>1749</v>
      </c>
      <c r="CK26" s="2" t="s">
        <v>1143</v>
      </c>
      <c r="CL26" s="111">
        <v>2</v>
      </c>
      <c r="CM26" s="111">
        <v>1</v>
      </c>
      <c r="CN26" s="111">
        <v>2</v>
      </c>
      <c r="CO26" s="111" t="s">
        <v>926</v>
      </c>
      <c r="CP26" s="111">
        <v>1</v>
      </c>
      <c r="CQ26" s="111">
        <v>2</v>
      </c>
      <c r="CR26" s="111">
        <v>1</v>
      </c>
      <c r="CS26" s="111">
        <v>1</v>
      </c>
      <c r="CT26" s="111">
        <v>1</v>
      </c>
      <c r="CU26" s="111">
        <v>4</v>
      </c>
      <c r="CV26" s="111">
        <v>2</v>
      </c>
      <c r="CW26" s="111">
        <v>3</v>
      </c>
      <c r="CX26" s="111">
        <v>1</v>
      </c>
      <c r="CY26" s="111">
        <v>2</v>
      </c>
      <c r="CZ26" s="111">
        <v>1</v>
      </c>
      <c r="DA26" s="111">
        <v>2</v>
      </c>
      <c r="DB26" s="111">
        <v>4</v>
      </c>
      <c r="DC26" s="111">
        <v>1</v>
      </c>
      <c r="DD26" s="111">
        <v>1</v>
      </c>
      <c r="DE26" s="111">
        <v>2</v>
      </c>
      <c r="DF26" s="111">
        <v>2</v>
      </c>
      <c r="DG26" s="111">
        <v>2</v>
      </c>
      <c r="DH26" s="111">
        <v>1</v>
      </c>
      <c r="DI26" s="111">
        <v>2</v>
      </c>
      <c r="DJ26" s="111">
        <v>2</v>
      </c>
      <c r="DK26" s="111">
        <v>2</v>
      </c>
      <c r="DL26" s="111" t="s">
        <v>967</v>
      </c>
      <c r="DM26" s="171">
        <v>45943</v>
      </c>
      <c r="DN26" s="111" t="s">
        <v>1144</v>
      </c>
      <c r="DO26" s="2" t="s">
        <v>926</v>
      </c>
      <c r="DP26" s="111" t="s">
        <v>1145</v>
      </c>
      <c r="DQ26" s="111" t="s">
        <v>1174</v>
      </c>
      <c r="DR26" s="170">
        <v>1</v>
      </c>
      <c r="DS26" s="111">
        <v>1</v>
      </c>
      <c r="DT26" s="111" t="s">
        <v>1155</v>
      </c>
      <c r="DU26" s="111" t="s">
        <v>971</v>
      </c>
      <c r="DV26" s="111" t="s">
        <v>1269</v>
      </c>
      <c r="DW26" s="173" t="s">
        <v>1148</v>
      </c>
      <c r="DX26" s="167">
        <v>0.5</v>
      </c>
      <c r="DY26" s="111">
        <v>1</v>
      </c>
      <c r="DZ26" s="124"/>
    </row>
    <row r="27" spans="1:130" ht="12" hidden="1" customHeight="1">
      <c r="A27" s="165">
        <v>45754</v>
      </c>
      <c r="B27" s="2" t="s">
        <v>1270</v>
      </c>
      <c r="C27" s="111" t="s">
        <v>1271</v>
      </c>
      <c r="D27" s="111" t="s">
        <v>1214</v>
      </c>
      <c r="E27" s="111" t="s">
        <v>1215</v>
      </c>
      <c r="F27" s="111" t="s">
        <v>1262</v>
      </c>
      <c r="G27" s="111" t="s">
        <v>1750</v>
      </c>
      <c r="H27" s="111" t="s">
        <v>1751</v>
      </c>
      <c r="I27" s="111" t="s">
        <v>1396</v>
      </c>
      <c r="J27" s="111" t="s">
        <v>1269</v>
      </c>
      <c r="K27" s="111">
        <v>4</v>
      </c>
      <c r="L27" s="111">
        <v>4</v>
      </c>
      <c r="M27" s="111">
        <v>2</v>
      </c>
      <c r="N27" s="111">
        <v>2</v>
      </c>
      <c r="O27" s="111">
        <v>2</v>
      </c>
      <c r="P27" s="111">
        <v>1</v>
      </c>
      <c r="Q27" s="111">
        <v>3</v>
      </c>
      <c r="R27" s="111">
        <v>2</v>
      </c>
      <c r="S27" s="111">
        <v>1</v>
      </c>
      <c r="T27" s="111">
        <v>4</v>
      </c>
      <c r="U27" s="111">
        <v>4</v>
      </c>
      <c r="V27" s="111">
        <v>2</v>
      </c>
      <c r="W27" s="111">
        <v>2</v>
      </c>
      <c r="X27" s="111">
        <v>2</v>
      </c>
      <c r="Y27" s="111">
        <v>1</v>
      </c>
      <c r="Z27" s="166">
        <v>13016793</v>
      </c>
      <c r="AA27" s="167">
        <v>13.016793</v>
      </c>
      <c r="AB27" s="111">
        <v>2</v>
      </c>
      <c r="AC27" s="111">
        <v>2</v>
      </c>
      <c r="AD27" s="168">
        <v>1</v>
      </c>
      <c r="AE27" s="111">
        <v>2</v>
      </c>
      <c r="AF27" s="111">
        <v>1</v>
      </c>
      <c r="AG27" s="111">
        <v>1</v>
      </c>
      <c r="AH27" s="111">
        <v>1</v>
      </c>
      <c r="AI27" s="111">
        <v>1</v>
      </c>
      <c r="AJ27" s="111">
        <v>1</v>
      </c>
      <c r="AK27" s="111">
        <v>1</v>
      </c>
      <c r="AL27" s="111">
        <v>1</v>
      </c>
      <c r="AM27" s="111">
        <v>4</v>
      </c>
      <c r="AN27" s="170">
        <v>1</v>
      </c>
      <c r="AO27" s="111">
        <v>3</v>
      </c>
      <c r="AP27" s="111">
        <v>1</v>
      </c>
      <c r="AQ27" s="111">
        <v>1</v>
      </c>
      <c r="AR27" s="111">
        <v>1</v>
      </c>
      <c r="AS27" s="111">
        <v>1</v>
      </c>
      <c r="AT27" s="111">
        <v>2</v>
      </c>
      <c r="AU27" s="111">
        <v>1</v>
      </c>
      <c r="AV27" s="111">
        <v>1</v>
      </c>
      <c r="AW27" s="111">
        <v>1</v>
      </c>
      <c r="AX27" s="111" t="s">
        <v>926</v>
      </c>
      <c r="AY27" s="169">
        <v>14.8</v>
      </c>
      <c r="AZ27" s="169">
        <v>14.9</v>
      </c>
      <c r="BA27" s="166">
        <v>31709</v>
      </c>
      <c r="BB27" s="166">
        <v>1896</v>
      </c>
      <c r="BC27" s="169" t="s">
        <v>926</v>
      </c>
      <c r="BD27" s="166" t="s">
        <v>926</v>
      </c>
      <c r="BE27" s="166" t="s">
        <v>926</v>
      </c>
      <c r="BF27" s="169">
        <v>27.916792999999998</v>
      </c>
      <c r="BG27" s="166">
        <v>31709</v>
      </c>
      <c r="BH27" s="166">
        <v>1896</v>
      </c>
      <c r="BI27" s="111" t="s">
        <v>926</v>
      </c>
      <c r="BJ27" s="111">
        <v>2</v>
      </c>
      <c r="BK27" s="170">
        <v>3</v>
      </c>
      <c r="BL27" s="111">
        <v>1</v>
      </c>
      <c r="BM27" s="111">
        <v>2</v>
      </c>
      <c r="BN27" s="111">
        <v>2</v>
      </c>
      <c r="BO27" s="111" t="s">
        <v>1555</v>
      </c>
      <c r="BP27" s="111" t="s">
        <v>1752</v>
      </c>
      <c r="BQ27" s="111" t="s">
        <v>1753</v>
      </c>
      <c r="BR27" s="111" t="s">
        <v>926</v>
      </c>
      <c r="BS27" s="111" t="s">
        <v>926</v>
      </c>
      <c r="BT27" s="111" t="s">
        <v>926</v>
      </c>
      <c r="BU27" s="111" t="s">
        <v>926</v>
      </c>
      <c r="BV27" s="111">
        <v>1</v>
      </c>
      <c r="BW27" s="2" t="s">
        <v>1182</v>
      </c>
      <c r="BX27" s="2" t="s">
        <v>1272</v>
      </c>
      <c r="BY27" s="2" t="s">
        <v>1273</v>
      </c>
      <c r="BZ27" s="2" t="s">
        <v>1274</v>
      </c>
      <c r="CA27" s="2" t="s">
        <v>1275</v>
      </c>
      <c r="CB27" s="2" t="s">
        <v>1276</v>
      </c>
      <c r="CC27" s="2" t="s">
        <v>1137</v>
      </c>
      <c r="CD27" s="2" t="s">
        <v>1138</v>
      </c>
      <c r="CE27" s="2" t="s">
        <v>1182</v>
      </c>
      <c r="CF27" s="111" t="s">
        <v>1183</v>
      </c>
      <c r="CG27" s="111" t="s">
        <v>1184</v>
      </c>
      <c r="CH27" s="111" t="s">
        <v>1277</v>
      </c>
      <c r="CI27" s="111">
        <v>26100.347600000001</v>
      </c>
      <c r="CJ27" s="111" t="s">
        <v>1754</v>
      </c>
      <c r="CK27" s="2" t="s">
        <v>1198</v>
      </c>
      <c r="CL27" s="111">
        <v>2</v>
      </c>
      <c r="CM27" s="111">
        <v>2</v>
      </c>
      <c r="CN27" s="111">
        <v>2</v>
      </c>
      <c r="CO27" s="111" t="s">
        <v>926</v>
      </c>
      <c r="CP27" s="111">
        <v>1</v>
      </c>
      <c r="CQ27" s="111">
        <v>3</v>
      </c>
      <c r="CR27" s="111">
        <v>1</v>
      </c>
      <c r="CS27" s="111">
        <v>1</v>
      </c>
      <c r="CT27" s="111">
        <v>1</v>
      </c>
      <c r="CU27" s="111">
        <v>3</v>
      </c>
      <c r="CV27" s="111">
        <v>2</v>
      </c>
      <c r="CW27" s="111">
        <v>4</v>
      </c>
      <c r="CX27" s="111">
        <v>1</v>
      </c>
      <c r="CY27" s="111">
        <v>2</v>
      </c>
      <c r="CZ27" s="111">
        <v>1</v>
      </c>
      <c r="DA27" s="111">
        <v>2</v>
      </c>
      <c r="DB27" s="111">
        <v>3</v>
      </c>
      <c r="DC27" s="111">
        <v>1</v>
      </c>
      <c r="DD27" s="111">
        <v>1</v>
      </c>
      <c r="DE27" s="111">
        <v>2</v>
      </c>
      <c r="DF27" s="111">
        <v>2</v>
      </c>
      <c r="DG27" s="111">
        <v>2</v>
      </c>
      <c r="DH27" s="111">
        <v>1</v>
      </c>
      <c r="DI27" s="111">
        <v>2</v>
      </c>
      <c r="DJ27" s="111">
        <v>2</v>
      </c>
      <c r="DK27" s="111">
        <v>2</v>
      </c>
      <c r="DL27" s="111" t="s">
        <v>926</v>
      </c>
      <c r="DM27" s="171" t="s">
        <v>926</v>
      </c>
      <c r="DN27" s="111" t="s">
        <v>926</v>
      </c>
      <c r="DO27" s="2" t="s">
        <v>926</v>
      </c>
      <c r="DP27" s="111" t="s">
        <v>926</v>
      </c>
      <c r="DQ27" s="111" t="s">
        <v>926</v>
      </c>
      <c r="DR27" s="170">
        <v>1</v>
      </c>
      <c r="DS27" s="111">
        <v>1</v>
      </c>
      <c r="DT27" s="111" t="s">
        <v>1155</v>
      </c>
      <c r="DU27" s="111" t="s">
        <v>971</v>
      </c>
      <c r="DV27" s="111" t="s">
        <v>1269</v>
      </c>
      <c r="DW27" s="173" t="s">
        <v>1148</v>
      </c>
      <c r="DX27" s="167">
        <v>0.5</v>
      </c>
      <c r="DY27" s="111">
        <v>1</v>
      </c>
      <c r="DZ27" s="124"/>
    </row>
    <row r="28" spans="1:130" ht="12" hidden="1" customHeight="1">
      <c r="A28" s="165">
        <v>45755</v>
      </c>
      <c r="B28" s="2" t="s">
        <v>1278</v>
      </c>
      <c r="C28" s="111" t="s">
        <v>926</v>
      </c>
      <c r="D28" s="111" t="s">
        <v>1214</v>
      </c>
      <c r="E28" s="111" t="s">
        <v>1215</v>
      </c>
      <c r="F28" s="111" t="s">
        <v>1262</v>
      </c>
      <c r="G28" s="111" t="s">
        <v>1755</v>
      </c>
      <c r="H28" s="111" t="s">
        <v>1756</v>
      </c>
      <c r="I28" s="111" t="s">
        <v>1396</v>
      </c>
      <c r="J28" s="111" t="s">
        <v>1269</v>
      </c>
      <c r="K28" s="111">
        <v>4</v>
      </c>
      <c r="L28" s="111">
        <v>3</v>
      </c>
      <c r="M28" s="111">
        <v>2</v>
      </c>
      <c r="N28" s="111">
        <v>1</v>
      </c>
      <c r="O28" s="111">
        <v>2</v>
      </c>
      <c r="P28" s="111">
        <v>2</v>
      </c>
      <c r="Q28" s="111">
        <v>3</v>
      </c>
      <c r="R28" s="111">
        <v>2</v>
      </c>
      <c r="S28" s="111">
        <v>1</v>
      </c>
      <c r="T28" s="111">
        <v>4</v>
      </c>
      <c r="U28" s="111">
        <v>3</v>
      </c>
      <c r="V28" s="111">
        <v>1</v>
      </c>
      <c r="W28" s="111">
        <v>1</v>
      </c>
      <c r="X28" s="111">
        <v>1</v>
      </c>
      <c r="Y28" s="111">
        <v>1</v>
      </c>
      <c r="Z28" s="166">
        <v>11365857</v>
      </c>
      <c r="AA28" s="167">
        <v>11.365857</v>
      </c>
      <c r="AB28" s="111">
        <v>1</v>
      </c>
      <c r="AC28" s="111">
        <v>1</v>
      </c>
      <c r="AD28" s="168">
        <v>1</v>
      </c>
      <c r="AE28" s="111">
        <v>1</v>
      </c>
      <c r="AF28" s="111">
        <v>1</v>
      </c>
      <c r="AG28" s="111">
        <v>1</v>
      </c>
      <c r="AH28" s="111">
        <v>1</v>
      </c>
      <c r="AI28" s="111">
        <v>1</v>
      </c>
      <c r="AJ28" s="111">
        <v>1</v>
      </c>
      <c r="AK28" s="111">
        <v>1</v>
      </c>
      <c r="AL28" s="111">
        <v>1</v>
      </c>
      <c r="AM28" s="111">
        <v>2</v>
      </c>
      <c r="AN28" s="170">
        <v>1</v>
      </c>
      <c r="AO28" s="170">
        <v>3</v>
      </c>
      <c r="AP28" s="111">
        <v>1</v>
      </c>
      <c r="AQ28" s="111">
        <v>1</v>
      </c>
      <c r="AR28" s="111">
        <v>1</v>
      </c>
      <c r="AS28" s="111">
        <v>1</v>
      </c>
      <c r="AT28" s="111">
        <v>1</v>
      </c>
      <c r="AU28" s="111">
        <v>1</v>
      </c>
      <c r="AV28" s="111">
        <v>1</v>
      </c>
      <c r="AW28" s="111">
        <v>1</v>
      </c>
      <c r="AX28" s="111" t="s">
        <v>926</v>
      </c>
      <c r="AY28" s="169">
        <v>13.5</v>
      </c>
      <c r="AZ28" s="169">
        <v>13.6</v>
      </c>
      <c r="BA28" s="166">
        <v>51377</v>
      </c>
      <c r="BB28" s="166">
        <v>2710</v>
      </c>
      <c r="BC28" s="169" t="s">
        <v>926</v>
      </c>
      <c r="BD28" s="166" t="s">
        <v>926</v>
      </c>
      <c r="BE28" s="166" t="s">
        <v>926</v>
      </c>
      <c r="BF28" s="169">
        <v>24.965857</v>
      </c>
      <c r="BG28" s="166">
        <v>51377</v>
      </c>
      <c r="BH28" s="166">
        <v>2710</v>
      </c>
      <c r="BI28" s="111" t="s">
        <v>926</v>
      </c>
      <c r="BJ28" s="111">
        <v>2</v>
      </c>
      <c r="BK28" s="111">
        <v>1</v>
      </c>
      <c r="BL28" s="111">
        <v>2</v>
      </c>
      <c r="BM28" s="111">
        <v>1</v>
      </c>
      <c r="BN28" s="111">
        <v>1</v>
      </c>
      <c r="BO28" s="170" t="s">
        <v>1211</v>
      </c>
      <c r="BP28" s="111" t="s">
        <v>470</v>
      </c>
      <c r="BQ28" s="111" t="s">
        <v>1670</v>
      </c>
      <c r="BR28" s="111" t="s">
        <v>926</v>
      </c>
      <c r="BS28" s="111" t="s">
        <v>926</v>
      </c>
      <c r="BT28" s="111" t="s">
        <v>926</v>
      </c>
      <c r="BU28" s="111" t="s">
        <v>926</v>
      </c>
      <c r="BV28" s="111">
        <v>1</v>
      </c>
      <c r="BW28" s="2" t="s">
        <v>1182</v>
      </c>
      <c r="BX28" s="2" t="s">
        <v>1279</v>
      </c>
      <c r="BY28" s="2" t="s">
        <v>1280</v>
      </c>
      <c r="BZ28" s="2" t="s">
        <v>1204</v>
      </c>
      <c r="CA28" s="2" t="s">
        <v>1281</v>
      </c>
      <c r="CB28" s="2" t="s">
        <v>1282</v>
      </c>
      <c r="CC28" s="2" t="s">
        <v>1137</v>
      </c>
      <c r="CD28" s="2" t="s">
        <v>1167</v>
      </c>
      <c r="CE28" s="2" t="s">
        <v>1182</v>
      </c>
      <c r="CF28" s="111" t="s">
        <v>1268</v>
      </c>
      <c r="CG28" s="111" t="s">
        <v>1140</v>
      </c>
      <c r="CH28" s="111" t="s">
        <v>1283</v>
      </c>
      <c r="CI28" s="111">
        <v>19045.560799999999</v>
      </c>
      <c r="CJ28" s="111" t="s">
        <v>1757</v>
      </c>
      <c r="CK28" s="2" t="s">
        <v>1143</v>
      </c>
      <c r="CL28" s="111">
        <v>2</v>
      </c>
      <c r="CM28" s="111">
        <v>1</v>
      </c>
      <c r="CN28" s="170">
        <v>2</v>
      </c>
      <c r="CO28" s="111" t="s">
        <v>926</v>
      </c>
      <c r="CP28" s="111">
        <v>1</v>
      </c>
      <c r="CQ28" s="111">
        <v>2</v>
      </c>
      <c r="CR28" s="111">
        <v>1</v>
      </c>
      <c r="CS28" s="111">
        <v>1</v>
      </c>
      <c r="CT28" s="111">
        <v>1</v>
      </c>
      <c r="CU28" s="111">
        <v>2</v>
      </c>
      <c r="CV28" s="111">
        <v>2</v>
      </c>
      <c r="CW28" s="111">
        <v>3</v>
      </c>
      <c r="CX28" s="111">
        <v>1</v>
      </c>
      <c r="CY28" s="111">
        <v>2</v>
      </c>
      <c r="CZ28" s="111">
        <v>1</v>
      </c>
      <c r="DA28" s="111">
        <v>2</v>
      </c>
      <c r="DB28" s="111">
        <v>2</v>
      </c>
      <c r="DC28" s="111">
        <v>1</v>
      </c>
      <c r="DD28" s="111">
        <v>1</v>
      </c>
      <c r="DE28" s="111">
        <v>2</v>
      </c>
      <c r="DF28" s="111">
        <v>2</v>
      </c>
      <c r="DG28" s="111">
        <v>2</v>
      </c>
      <c r="DH28" s="111">
        <v>1</v>
      </c>
      <c r="DI28" s="111">
        <v>2</v>
      </c>
      <c r="DJ28" s="111">
        <v>2</v>
      </c>
      <c r="DK28" s="111">
        <v>2</v>
      </c>
      <c r="DL28" s="111" t="s">
        <v>967</v>
      </c>
      <c r="DM28" s="171">
        <v>45943</v>
      </c>
      <c r="DN28" s="111" t="s">
        <v>1224</v>
      </c>
      <c r="DO28" s="2" t="s">
        <v>1284</v>
      </c>
      <c r="DP28" s="111" t="s">
        <v>1173</v>
      </c>
      <c r="DQ28" s="111" t="s">
        <v>1252</v>
      </c>
      <c r="DR28" s="170">
        <v>1</v>
      </c>
      <c r="DS28" s="111">
        <v>1</v>
      </c>
      <c r="DT28" s="111" t="s">
        <v>1155</v>
      </c>
      <c r="DU28" s="111" t="s">
        <v>971</v>
      </c>
      <c r="DV28" s="111" t="s">
        <v>1269</v>
      </c>
      <c r="DW28" s="173" t="s">
        <v>1148</v>
      </c>
      <c r="DX28" s="167">
        <v>0.5</v>
      </c>
      <c r="DY28" s="111">
        <v>1</v>
      </c>
      <c r="DZ28" s="124"/>
    </row>
    <row r="29" spans="1:130" ht="12" hidden="1" customHeight="1">
      <c r="A29" s="165">
        <v>45756</v>
      </c>
      <c r="B29" s="2" t="s">
        <v>1285</v>
      </c>
      <c r="C29" s="111" t="s">
        <v>1286</v>
      </c>
      <c r="D29" s="111" t="s">
        <v>1214</v>
      </c>
      <c r="E29" s="111" t="s">
        <v>1215</v>
      </c>
      <c r="F29" s="111" t="s">
        <v>1216</v>
      </c>
      <c r="G29" s="111" t="s">
        <v>1615</v>
      </c>
      <c r="H29" s="111" t="s">
        <v>1615</v>
      </c>
      <c r="I29" s="111" t="s">
        <v>1615</v>
      </c>
      <c r="J29" s="111" t="s">
        <v>926</v>
      </c>
      <c r="K29" s="111" t="s">
        <v>926</v>
      </c>
      <c r="L29" s="111" t="s">
        <v>926</v>
      </c>
      <c r="M29" s="111" t="s">
        <v>926</v>
      </c>
      <c r="N29" s="111" t="s">
        <v>926</v>
      </c>
      <c r="O29" s="111" t="s">
        <v>926</v>
      </c>
      <c r="P29" s="111" t="s">
        <v>926</v>
      </c>
      <c r="Q29" s="111" t="s">
        <v>926</v>
      </c>
      <c r="R29" s="111" t="s">
        <v>926</v>
      </c>
      <c r="S29" s="111" t="s">
        <v>926</v>
      </c>
      <c r="T29" s="111" t="s">
        <v>926</v>
      </c>
      <c r="U29" s="111" t="s">
        <v>926</v>
      </c>
      <c r="V29" s="111" t="s">
        <v>926</v>
      </c>
      <c r="W29" s="111" t="s">
        <v>926</v>
      </c>
      <c r="X29" s="111" t="s">
        <v>926</v>
      </c>
      <c r="Y29" s="111" t="s">
        <v>926</v>
      </c>
      <c r="Z29" s="166" t="s">
        <v>926</v>
      </c>
      <c r="AA29" s="167" t="s">
        <v>926</v>
      </c>
      <c r="AB29" s="111" t="s">
        <v>926</v>
      </c>
      <c r="AC29" s="111" t="s">
        <v>926</v>
      </c>
      <c r="AD29" s="168" t="s">
        <v>926</v>
      </c>
      <c r="AE29" s="111" t="s">
        <v>926</v>
      </c>
      <c r="AF29" s="111" t="s">
        <v>926</v>
      </c>
      <c r="AG29" s="111" t="s">
        <v>926</v>
      </c>
      <c r="AH29" s="111" t="s">
        <v>926</v>
      </c>
      <c r="AI29" s="111" t="s">
        <v>926</v>
      </c>
      <c r="AJ29" s="111" t="s">
        <v>926</v>
      </c>
      <c r="AK29" s="111" t="s">
        <v>926</v>
      </c>
      <c r="AL29" s="111" t="s">
        <v>926</v>
      </c>
      <c r="AM29" s="111" t="s">
        <v>926</v>
      </c>
      <c r="AN29" s="111" t="s">
        <v>926</v>
      </c>
      <c r="AO29" s="111" t="s">
        <v>926</v>
      </c>
      <c r="AP29" s="111" t="s">
        <v>926</v>
      </c>
      <c r="AQ29" s="111" t="s">
        <v>926</v>
      </c>
      <c r="AR29" s="111" t="s">
        <v>926</v>
      </c>
      <c r="AS29" s="111" t="s">
        <v>926</v>
      </c>
      <c r="AT29" s="111" t="s">
        <v>926</v>
      </c>
      <c r="AU29" s="111" t="s">
        <v>926</v>
      </c>
      <c r="AV29" s="111" t="s">
        <v>926</v>
      </c>
      <c r="AW29" s="111" t="s">
        <v>926</v>
      </c>
      <c r="AX29" s="111" t="s">
        <v>926</v>
      </c>
      <c r="AY29" s="169" t="s">
        <v>926</v>
      </c>
      <c r="AZ29" s="169" t="s">
        <v>926</v>
      </c>
      <c r="BA29" s="166" t="s">
        <v>926</v>
      </c>
      <c r="BB29" s="166" t="s">
        <v>926</v>
      </c>
      <c r="BC29" s="169" t="s">
        <v>926</v>
      </c>
      <c r="BD29" s="166" t="s">
        <v>926</v>
      </c>
      <c r="BE29" s="166" t="s">
        <v>926</v>
      </c>
      <c r="BF29" s="169">
        <v>0</v>
      </c>
      <c r="BG29" s="166">
        <v>0</v>
      </c>
      <c r="BH29" s="166">
        <v>0</v>
      </c>
      <c r="BI29" s="111" t="s">
        <v>926</v>
      </c>
      <c r="BJ29" s="111" t="s">
        <v>926</v>
      </c>
      <c r="BK29" s="170">
        <v>3</v>
      </c>
      <c r="BL29" s="111">
        <v>1</v>
      </c>
      <c r="BM29" s="111">
        <v>2</v>
      </c>
      <c r="BN29" s="111">
        <v>2</v>
      </c>
      <c r="BO29" s="111" t="s">
        <v>1304</v>
      </c>
      <c r="BP29" s="111" t="s">
        <v>470</v>
      </c>
      <c r="BQ29" s="111" t="s">
        <v>1670</v>
      </c>
      <c r="BR29" s="111" t="s">
        <v>926</v>
      </c>
      <c r="BS29" s="111" t="s">
        <v>926</v>
      </c>
      <c r="BT29" s="111" t="s">
        <v>926</v>
      </c>
      <c r="BU29" s="111" t="s">
        <v>926</v>
      </c>
      <c r="BV29" s="111">
        <v>1</v>
      </c>
      <c r="BW29" s="2" t="s">
        <v>1182</v>
      </c>
      <c r="BX29" s="2" t="s">
        <v>1758</v>
      </c>
      <c r="BY29" s="2" t="s">
        <v>1371</v>
      </c>
      <c r="BZ29" s="2" t="s">
        <v>1759</v>
      </c>
      <c r="CA29" s="2" t="s">
        <v>1760</v>
      </c>
      <c r="CB29" s="2" t="s">
        <v>1761</v>
      </c>
      <c r="CC29" s="2" t="s">
        <v>1137</v>
      </c>
      <c r="CD29" s="2" t="s">
        <v>1138</v>
      </c>
      <c r="CE29" s="2" t="s">
        <v>1182</v>
      </c>
      <c r="CF29" s="111" t="s">
        <v>1139</v>
      </c>
      <c r="CG29" s="111" t="s">
        <v>1140</v>
      </c>
      <c r="CH29" s="177">
        <v>44524</v>
      </c>
      <c r="CI29" s="111">
        <v>19045.441200000001</v>
      </c>
      <c r="CJ29" s="111" t="s">
        <v>1762</v>
      </c>
      <c r="CK29" s="2" t="s">
        <v>1763</v>
      </c>
      <c r="CL29" s="111" t="s">
        <v>926</v>
      </c>
      <c r="CM29" s="111" t="s">
        <v>926</v>
      </c>
      <c r="CN29" s="111" t="s">
        <v>926</v>
      </c>
      <c r="CO29" s="111" t="s">
        <v>926</v>
      </c>
      <c r="CP29" s="111" t="s">
        <v>926</v>
      </c>
      <c r="CQ29" s="111" t="s">
        <v>926</v>
      </c>
      <c r="CR29" s="111" t="s">
        <v>926</v>
      </c>
      <c r="CS29" s="111" t="s">
        <v>926</v>
      </c>
      <c r="CT29" s="111" t="s">
        <v>926</v>
      </c>
      <c r="CU29" s="111" t="s">
        <v>926</v>
      </c>
      <c r="CV29" s="111" t="s">
        <v>926</v>
      </c>
      <c r="CW29" s="111" t="s">
        <v>926</v>
      </c>
      <c r="CX29" s="111" t="s">
        <v>926</v>
      </c>
      <c r="CY29" s="111" t="s">
        <v>926</v>
      </c>
      <c r="CZ29" s="111" t="s">
        <v>926</v>
      </c>
      <c r="DA29" s="111" t="s">
        <v>926</v>
      </c>
      <c r="DB29" s="111" t="s">
        <v>926</v>
      </c>
      <c r="DC29" s="111" t="s">
        <v>926</v>
      </c>
      <c r="DD29" s="111" t="s">
        <v>926</v>
      </c>
      <c r="DE29" s="111" t="s">
        <v>926</v>
      </c>
      <c r="DF29" s="111" t="s">
        <v>926</v>
      </c>
      <c r="DG29" s="111" t="s">
        <v>926</v>
      </c>
      <c r="DH29" s="111" t="s">
        <v>926</v>
      </c>
      <c r="DI29" s="111" t="s">
        <v>926</v>
      </c>
      <c r="DJ29" s="111" t="s">
        <v>926</v>
      </c>
      <c r="DK29" s="111" t="s">
        <v>926</v>
      </c>
      <c r="DL29" s="111" t="s">
        <v>926</v>
      </c>
      <c r="DM29" s="171" t="s">
        <v>926</v>
      </c>
      <c r="DN29" s="111" t="s">
        <v>926</v>
      </c>
      <c r="DO29" s="2" t="s">
        <v>926</v>
      </c>
      <c r="DP29" s="111" t="s">
        <v>926</v>
      </c>
      <c r="DQ29" s="111" t="s">
        <v>926</v>
      </c>
      <c r="DR29" s="111" t="s">
        <v>926</v>
      </c>
      <c r="DS29" s="111" t="s">
        <v>926</v>
      </c>
      <c r="DT29" s="111" t="s">
        <v>926</v>
      </c>
      <c r="DU29" s="111" t="s">
        <v>926</v>
      </c>
      <c r="DV29" s="111" t="s">
        <v>926</v>
      </c>
      <c r="DW29" s="111" t="s">
        <v>926</v>
      </c>
      <c r="DX29" s="167" t="s">
        <v>926</v>
      </c>
      <c r="DY29" s="111" t="s">
        <v>926</v>
      </c>
      <c r="DZ29" s="124" t="s">
        <v>1287</v>
      </c>
    </row>
    <row r="30" spans="1:130" ht="12" hidden="1" customHeight="1">
      <c r="A30" s="165">
        <v>45756</v>
      </c>
      <c r="B30" s="2" t="s">
        <v>1288</v>
      </c>
      <c r="C30" s="111" t="s">
        <v>1289</v>
      </c>
      <c r="D30" s="111" t="s">
        <v>1290</v>
      </c>
      <c r="E30" s="111" t="s">
        <v>1291</v>
      </c>
      <c r="F30" s="111" t="s">
        <v>926</v>
      </c>
      <c r="G30" s="111" t="s">
        <v>1615</v>
      </c>
      <c r="H30" s="111" t="s">
        <v>1615</v>
      </c>
      <c r="I30" s="111" t="s">
        <v>1615</v>
      </c>
      <c r="J30" s="111" t="s">
        <v>926</v>
      </c>
      <c r="K30" s="111" t="s">
        <v>926</v>
      </c>
      <c r="L30" s="111" t="s">
        <v>926</v>
      </c>
      <c r="M30" s="111" t="s">
        <v>926</v>
      </c>
      <c r="N30" s="111" t="s">
        <v>926</v>
      </c>
      <c r="O30" s="111" t="s">
        <v>926</v>
      </c>
      <c r="P30" s="111" t="s">
        <v>926</v>
      </c>
      <c r="Q30" s="111" t="s">
        <v>926</v>
      </c>
      <c r="R30" s="111" t="s">
        <v>926</v>
      </c>
      <c r="S30" s="111" t="s">
        <v>926</v>
      </c>
      <c r="T30" s="111" t="s">
        <v>926</v>
      </c>
      <c r="U30" s="111" t="s">
        <v>926</v>
      </c>
      <c r="V30" s="111" t="s">
        <v>926</v>
      </c>
      <c r="W30" s="111" t="s">
        <v>926</v>
      </c>
      <c r="X30" s="111" t="s">
        <v>926</v>
      </c>
      <c r="Y30" s="111" t="s">
        <v>926</v>
      </c>
      <c r="Z30" s="166" t="s">
        <v>926</v>
      </c>
      <c r="AA30" s="167" t="s">
        <v>926</v>
      </c>
      <c r="AB30" s="111" t="s">
        <v>926</v>
      </c>
      <c r="AC30" s="111" t="s">
        <v>926</v>
      </c>
      <c r="AD30" s="168" t="s">
        <v>926</v>
      </c>
      <c r="AE30" s="111" t="s">
        <v>926</v>
      </c>
      <c r="AF30" s="111" t="s">
        <v>926</v>
      </c>
      <c r="AG30" s="111" t="s">
        <v>926</v>
      </c>
      <c r="AH30" s="111" t="s">
        <v>926</v>
      </c>
      <c r="AI30" s="111" t="s">
        <v>926</v>
      </c>
      <c r="AJ30" s="111" t="s">
        <v>926</v>
      </c>
      <c r="AK30" s="111" t="s">
        <v>926</v>
      </c>
      <c r="AL30" s="111" t="s">
        <v>926</v>
      </c>
      <c r="AM30" s="111" t="s">
        <v>926</v>
      </c>
      <c r="AN30" s="111" t="s">
        <v>926</v>
      </c>
      <c r="AO30" s="111" t="s">
        <v>926</v>
      </c>
      <c r="AP30" s="111" t="s">
        <v>926</v>
      </c>
      <c r="AQ30" s="111" t="s">
        <v>926</v>
      </c>
      <c r="AR30" s="111" t="s">
        <v>926</v>
      </c>
      <c r="AS30" s="111" t="s">
        <v>926</v>
      </c>
      <c r="AT30" s="111" t="s">
        <v>926</v>
      </c>
      <c r="AU30" s="111" t="s">
        <v>926</v>
      </c>
      <c r="AV30" s="111" t="s">
        <v>926</v>
      </c>
      <c r="AW30" s="111" t="s">
        <v>926</v>
      </c>
      <c r="AX30" s="111" t="s">
        <v>926</v>
      </c>
      <c r="AY30" s="169" t="s">
        <v>926</v>
      </c>
      <c r="AZ30" s="169" t="s">
        <v>926</v>
      </c>
      <c r="BA30" s="166" t="s">
        <v>926</v>
      </c>
      <c r="BB30" s="166" t="s">
        <v>926</v>
      </c>
      <c r="BC30" s="169" t="s">
        <v>926</v>
      </c>
      <c r="BD30" s="166" t="s">
        <v>926</v>
      </c>
      <c r="BE30" s="166" t="s">
        <v>926</v>
      </c>
      <c r="BF30" s="169">
        <v>0</v>
      </c>
      <c r="BG30" s="166">
        <v>0</v>
      </c>
      <c r="BH30" s="166">
        <v>0</v>
      </c>
      <c r="BI30" s="111" t="s">
        <v>926</v>
      </c>
      <c r="BJ30" s="111">
        <v>2</v>
      </c>
      <c r="BK30" s="170">
        <v>3</v>
      </c>
      <c r="BL30" s="111">
        <v>1</v>
      </c>
      <c r="BM30" s="111">
        <v>2</v>
      </c>
      <c r="BN30" s="111">
        <v>2</v>
      </c>
      <c r="BO30" s="111" t="s">
        <v>1304</v>
      </c>
      <c r="BP30" s="111" t="s">
        <v>470</v>
      </c>
      <c r="BQ30" s="111" t="s">
        <v>1670</v>
      </c>
      <c r="BR30" s="111" t="s">
        <v>926</v>
      </c>
      <c r="BS30" s="111" t="s">
        <v>926</v>
      </c>
      <c r="BT30" s="111" t="s">
        <v>926</v>
      </c>
      <c r="BU30" s="111" t="s">
        <v>926</v>
      </c>
      <c r="BV30" s="111">
        <v>1</v>
      </c>
      <c r="BW30" s="2" t="s">
        <v>1182</v>
      </c>
      <c r="BX30" s="2" t="s">
        <v>1292</v>
      </c>
      <c r="BY30" s="2" t="s">
        <v>1293</v>
      </c>
      <c r="BZ30" s="2" t="s">
        <v>1294</v>
      </c>
      <c r="CA30" s="2" t="s">
        <v>1295</v>
      </c>
      <c r="CB30" s="2" t="s">
        <v>1296</v>
      </c>
      <c r="CC30" s="2" t="s">
        <v>1297</v>
      </c>
      <c r="CD30" s="2" t="s">
        <v>1247</v>
      </c>
      <c r="CE30" s="2" t="s">
        <v>1182</v>
      </c>
      <c r="CF30" s="111" t="s">
        <v>1298</v>
      </c>
      <c r="CG30" s="111" t="s">
        <v>1299</v>
      </c>
      <c r="CH30" s="177" t="s">
        <v>1300</v>
      </c>
      <c r="CI30" s="111">
        <v>22000.2176</v>
      </c>
      <c r="CJ30" s="111" t="s">
        <v>1764</v>
      </c>
      <c r="CK30" s="2" t="s">
        <v>1301</v>
      </c>
      <c r="CL30" s="111" t="s">
        <v>926</v>
      </c>
      <c r="CM30" s="111" t="s">
        <v>926</v>
      </c>
      <c r="CN30" s="111" t="s">
        <v>926</v>
      </c>
      <c r="CO30" s="111" t="s">
        <v>926</v>
      </c>
      <c r="CP30" s="111" t="s">
        <v>926</v>
      </c>
      <c r="CQ30" s="111" t="s">
        <v>926</v>
      </c>
      <c r="CR30" s="111" t="s">
        <v>926</v>
      </c>
      <c r="CS30" s="111" t="s">
        <v>926</v>
      </c>
      <c r="CT30" s="111" t="s">
        <v>926</v>
      </c>
      <c r="CU30" s="111" t="s">
        <v>926</v>
      </c>
      <c r="CV30" s="111" t="s">
        <v>926</v>
      </c>
      <c r="CW30" s="111" t="s">
        <v>926</v>
      </c>
      <c r="CX30" s="111" t="s">
        <v>926</v>
      </c>
      <c r="CY30" s="111" t="s">
        <v>926</v>
      </c>
      <c r="CZ30" s="111" t="s">
        <v>926</v>
      </c>
      <c r="DA30" s="111" t="s">
        <v>926</v>
      </c>
      <c r="DB30" s="111" t="s">
        <v>926</v>
      </c>
      <c r="DC30" s="111" t="s">
        <v>926</v>
      </c>
      <c r="DD30" s="111" t="s">
        <v>926</v>
      </c>
      <c r="DE30" s="111" t="s">
        <v>926</v>
      </c>
      <c r="DF30" s="111" t="s">
        <v>926</v>
      </c>
      <c r="DG30" s="111" t="s">
        <v>926</v>
      </c>
      <c r="DH30" s="111" t="s">
        <v>926</v>
      </c>
      <c r="DI30" s="111" t="s">
        <v>926</v>
      </c>
      <c r="DJ30" s="111" t="s">
        <v>926</v>
      </c>
      <c r="DK30" s="111" t="s">
        <v>926</v>
      </c>
      <c r="DL30" s="111" t="s">
        <v>926</v>
      </c>
      <c r="DM30" s="171" t="s">
        <v>926</v>
      </c>
      <c r="DN30" s="111" t="s">
        <v>926</v>
      </c>
      <c r="DO30" s="2" t="s">
        <v>926</v>
      </c>
      <c r="DP30" s="111" t="s">
        <v>926</v>
      </c>
      <c r="DQ30" s="111" t="s">
        <v>926</v>
      </c>
      <c r="DR30" s="111" t="s">
        <v>926</v>
      </c>
      <c r="DS30" s="111" t="s">
        <v>926</v>
      </c>
      <c r="DT30" s="111" t="s">
        <v>926</v>
      </c>
      <c r="DU30" s="111" t="s">
        <v>926</v>
      </c>
      <c r="DV30" s="111" t="s">
        <v>926</v>
      </c>
      <c r="DW30" s="111" t="s">
        <v>926</v>
      </c>
      <c r="DX30" s="167" t="s">
        <v>926</v>
      </c>
      <c r="DY30" s="111" t="s">
        <v>926</v>
      </c>
      <c r="DZ30" s="124" t="s">
        <v>1302</v>
      </c>
    </row>
    <row r="31" spans="1:130" ht="12" hidden="1" customHeight="1">
      <c r="A31" s="165">
        <v>45756</v>
      </c>
      <c r="B31" s="2" t="s">
        <v>1303</v>
      </c>
      <c r="C31" s="111" t="s">
        <v>926</v>
      </c>
      <c r="D31" s="111" t="s">
        <v>1214</v>
      </c>
      <c r="E31" s="111" t="s">
        <v>1215</v>
      </c>
      <c r="F31" s="111" t="s">
        <v>1216</v>
      </c>
      <c r="G31" s="111" t="s">
        <v>1615</v>
      </c>
      <c r="H31" s="111" t="s">
        <v>1615</v>
      </c>
      <c r="I31" s="111" t="s">
        <v>1615</v>
      </c>
      <c r="J31" s="111" t="s">
        <v>926</v>
      </c>
      <c r="K31" s="111" t="s">
        <v>926</v>
      </c>
      <c r="L31" s="111" t="s">
        <v>926</v>
      </c>
      <c r="M31" s="111" t="s">
        <v>926</v>
      </c>
      <c r="N31" s="111" t="s">
        <v>926</v>
      </c>
      <c r="O31" s="111" t="s">
        <v>926</v>
      </c>
      <c r="P31" s="111" t="s">
        <v>926</v>
      </c>
      <c r="Q31" s="111" t="s">
        <v>926</v>
      </c>
      <c r="R31" s="111" t="s">
        <v>926</v>
      </c>
      <c r="S31" s="111" t="s">
        <v>926</v>
      </c>
      <c r="T31" s="111" t="s">
        <v>926</v>
      </c>
      <c r="U31" s="111" t="s">
        <v>926</v>
      </c>
      <c r="V31" s="111" t="s">
        <v>926</v>
      </c>
      <c r="W31" s="111" t="s">
        <v>926</v>
      </c>
      <c r="X31" s="111" t="s">
        <v>926</v>
      </c>
      <c r="Y31" s="111" t="s">
        <v>926</v>
      </c>
      <c r="Z31" s="166" t="s">
        <v>926</v>
      </c>
      <c r="AA31" s="167" t="s">
        <v>926</v>
      </c>
      <c r="AB31" s="111" t="s">
        <v>926</v>
      </c>
      <c r="AC31" s="111" t="s">
        <v>926</v>
      </c>
      <c r="AD31" s="168" t="s">
        <v>926</v>
      </c>
      <c r="AE31" s="111" t="s">
        <v>926</v>
      </c>
      <c r="AF31" s="111" t="s">
        <v>926</v>
      </c>
      <c r="AG31" s="111" t="s">
        <v>926</v>
      </c>
      <c r="AH31" s="111" t="s">
        <v>926</v>
      </c>
      <c r="AI31" s="111" t="s">
        <v>926</v>
      </c>
      <c r="AJ31" s="111" t="s">
        <v>926</v>
      </c>
      <c r="AK31" s="111" t="s">
        <v>926</v>
      </c>
      <c r="AL31" s="111" t="s">
        <v>926</v>
      </c>
      <c r="AM31" s="111" t="s">
        <v>926</v>
      </c>
      <c r="AN31" s="111" t="s">
        <v>926</v>
      </c>
      <c r="AO31" s="111" t="s">
        <v>926</v>
      </c>
      <c r="AP31" s="111" t="s">
        <v>926</v>
      </c>
      <c r="AQ31" s="111" t="s">
        <v>926</v>
      </c>
      <c r="AR31" s="111" t="s">
        <v>926</v>
      </c>
      <c r="AS31" s="111" t="s">
        <v>926</v>
      </c>
      <c r="AT31" s="111" t="s">
        <v>926</v>
      </c>
      <c r="AU31" s="111" t="s">
        <v>926</v>
      </c>
      <c r="AV31" s="111" t="s">
        <v>926</v>
      </c>
      <c r="AW31" s="111" t="s">
        <v>926</v>
      </c>
      <c r="AX31" s="111" t="s">
        <v>926</v>
      </c>
      <c r="AY31" s="169" t="s">
        <v>926</v>
      </c>
      <c r="AZ31" s="169" t="s">
        <v>926</v>
      </c>
      <c r="BA31" s="166" t="s">
        <v>926</v>
      </c>
      <c r="BB31" s="166" t="s">
        <v>926</v>
      </c>
      <c r="BC31" s="169" t="s">
        <v>926</v>
      </c>
      <c r="BD31" s="166" t="s">
        <v>926</v>
      </c>
      <c r="BE31" s="166" t="s">
        <v>926</v>
      </c>
      <c r="BF31" s="169">
        <v>0</v>
      </c>
      <c r="BG31" s="166">
        <v>0</v>
      </c>
      <c r="BH31" s="166">
        <v>0</v>
      </c>
      <c r="BI31" s="111" t="s">
        <v>926</v>
      </c>
      <c r="BJ31" s="111">
        <v>2</v>
      </c>
      <c r="BK31" s="111">
        <v>1</v>
      </c>
      <c r="BL31" s="111">
        <v>1</v>
      </c>
      <c r="BM31" s="111">
        <v>2</v>
      </c>
      <c r="BN31" s="111">
        <v>2</v>
      </c>
      <c r="BO31" s="111" t="s">
        <v>1304</v>
      </c>
      <c r="BP31" s="111" t="s">
        <v>470</v>
      </c>
      <c r="BQ31" s="111" t="s">
        <v>1670</v>
      </c>
      <c r="BR31" s="111" t="s">
        <v>926</v>
      </c>
      <c r="BS31" s="111" t="s">
        <v>926</v>
      </c>
      <c r="BT31" s="111" t="s">
        <v>926</v>
      </c>
      <c r="BU31" s="111" t="s">
        <v>926</v>
      </c>
      <c r="BV31" s="111">
        <v>1</v>
      </c>
      <c r="BW31" s="2" t="s">
        <v>1182</v>
      </c>
      <c r="BX31" s="2" t="s">
        <v>1305</v>
      </c>
      <c r="BY31" s="2" t="s">
        <v>1306</v>
      </c>
      <c r="BZ31" s="2" t="s">
        <v>1307</v>
      </c>
      <c r="CA31" s="2" t="s">
        <v>1308</v>
      </c>
      <c r="CB31" s="2" t="s">
        <v>1309</v>
      </c>
      <c r="CC31" s="2" t="s">
        <v>1137</v>
      </c>
      <c r="CD31" s="2" t="s">
        <v>1167</v>
      </c>
      <c r="CE31" s="2" t="s">
        <v>1182</v>
      </c>
      <c r="CF31" s="111" t="s">
        <v>1268</v>
      </c>
      <c r="CG31" s="111" t="s">
        <v>1140</v>
      </c>
      <c r="CH31" s="111" t="s">
        <v>1310</v>
      </c>
      <c r="CI31" s="111">
        <v>19045.524700000002</v>
      </c>
      <c r="CJ31" s="111" t="s">
        <v>1765</v>
      </c>
      <c r="CK31" s="2" t="s">
        <v>1311</v>
      </c>
      <c r="CL31" s="111" t="s">
        <v>926</v>
      </c>
      <c r="CM31" s="111" t="s">
        <v>926</v>
      </c>
      <c r="CN31" s="111" t="s">
        <v>926</v>
      </c>
      <c r="CO31" s="111" t="s">
        <v>926</v>
      </c>
      <c r="CP31" s="111" t="s">
        <v>926</v>
      </c>
      <c r="CQ31" s="111" t="s">
        <v>926</v>
      </c>
      <c r="CR31" s="111" t="s">
        <v>926</v>
      </c>
      <c r="CS31" s="111" t="s">
        <v>926</v>
      </c>
      <c r="CT31" s="111" t="s">
        <v>926</v>
      </c>
      <c r="CU31" s="111" t="s">
        <v>926</v>
      </c>
      <c r="CV31" s="111" t="s">
        <v>926</v>
      </c>
      <c r="CW31" s="111" t="s">
        <v>926</v>
      </c>
      <c r="CX31" s="111" t="s">
        <v>926</v>
      </c>
      <c r="CY31" s="111" t="s">
        <v>926</v>
      </c>
      <c r="CZ31" s="111" t="s">
        <v>926</v>
      </c>
      <c r="DA31" s="111" t="s">
        <v>926</v>
      </c>
      <c r="DB31" s="111" t="s">
        <v>926</v>
      </c>
      <c r="DC31" s="111" t="s">
        <v>926</v>
      </c>
      <c r="DD31" s="111" t="s">
        <v>926</v>
      </c>
      <c r="DE31" s="111" t="s">
        <v>926</v>
      </c>
      <c r="DF31" s="111" t="s">
        <v>926</v>
      </c>
      <c r="DG31" s="111" t="s">
        <v>926</v>
      </c>
      <c r="DH31" s="111" t="s">
        <v>926</v>
      </c>
      <c r="DI31" s="111" t="s">
        <v>926</v>
      </c>
      <c r="DJ31" s="111" t="s">
        <v>926</v>
      </c>
      <c r="DK31" s="111" t="s">
        <v>926</v>
      </c>
      <c r="DL31" s="111" t="s">
        <v>967</v>
      </c>
      <c r="DM31" s="171">
        <v>45943</v>
      </c>
      <c r="DN31" s="111" t="s">
        <v>1224</v>
      </c>
      <c r="DO31" s="2" t="s">
        <v>1312</v>
      </c>
      <c r="DP31" s="111" t="s">
        <v>1173</v>
      </c>
      <c r="DQ31" s="111" t="s">
        <v>1252</v>
      </c>
      <c r="DR31" s="111" t="s">
        <v>926</v>
      </c>
      <c r="DS31" s="111" t="s">
        <v>926</v>
      </c>
      <c r="DT31" s="111" t="s">
        <v>926</v>
      </c>
      <c r="DU31" s="111" t="s">
        <v>926</v>
      </c>
      <c r="DV31" s="111" t="s">
        <v>926</v>
      </c>
      <c r="DW31" s="111" t="s">
        <v>926</v>
      </c>
      <c r="DX31" s="167" t="s">
        <v>926</v>
      </c>
      <c r="DY31" s="111" t="s">
        <v>926</v>
      </c>
      <c r="DZ31" s="180" t="s">
        <v>1313</v>
      </c>
    </row>
    <row r="32" spans="1:130" ht="12" hidden="1" customHeight="1">
      <c r="A32" s="165">
        <v>45756</v>
      </c>
      <c r="B32" s="2" t="s">
        <v>1314</v>
      </c>
      <c r="C32" s="111" t="s">
        <v>1315</v>
      </c>
      <c r="D32" s="111" t="s">
        <v>1214</v>
      </c>
      <c r="E32" s="111" t="s">
        <v>1215</v>
      </c>
      <c r="F32" s="111" t="s">
        <v>1262</v>
      </c>
      <c r="G32" s="111" t="s">
        <v>1615</v>
      </c>
      <c r="H32" s="111" t="s">
        <v>1615</v>
      </c>
      <c r="I32" s="111" t="s">
        <v>1615</v>
      </c>
      <c r="J32" s="111" t="s">
        <v>926</v>
      </c>
      <c r="K32" s="111" t="s">
        <v>926</v>
      </c>
      <c r="L32" s="111" t="s">
        <v>926</v>
      </c>
      <c r="M32" s="111" t="s">
        <v>926</v>
      </c>
      <c r="N32" s="111" t="s">
        <v>926</v>
      </c>
      <c r="O32" s="111" t="s">
        <v>926</v>
      </c>
      <c r="P32" s="111" t="s">
        <v>926</v>
      </c>
      <c r="Q32" s="111" t="s">
        <v>926</v>
      </c>
      <c r="R32" s="111" t="s">
        <v>926</v>
      </c>
      <c r="S32" s="111" t="s">
        <v>926</v>
      </c>
      <c r="T32" s="111" t="s">
        <v>926</v>
      </c>
      <c r="U32" s="111" t="s">
        <v>926</v>
      </c>
      <c r="V32" s="111" t="s">
        <v>926</v>
      </c>
      <c r="W32" s="111" t="s">
        <v>926</v>
      </c>
      <c r="X32" s="111" t="s">
        <v>926</v>
      </c>
      <c r="Y32" s="111" t="s">
        <v>926</v>
      </c>
      <c r="Z32" s="166" t="s">
        <v>926</v>
      </c>
      <c r="AA32" s="167" t="s">
        <v>926</v>
      </c>
      <c r="AB32" s="111" t="s">
        <v>926</v>
      </c>
      <c r="AC32" s="111" t="s">
        <v>926</v>
      </c>
      <c r="AD32" s="168" t="s">
        <v>926</v>
      </c>
      <c r="AE32" s="111" t="s">
        <v>926</v>
      </c>
      <c r="AF32" s="111" t="s">
        <v>926</v>
      </c>
      <c r="AG32" s="111" t="s">
        <v>926</v>
      </c>
      <c r="AH32" s="111" t="s">
        <v>926</v>
      </c>
      <c r="AI32" s="111" t="s">
        <v>926</v>
      </c>
      <c r="AJ32" s="111" t="s">
        <v>926</v>
      </c>
      <c r="AK32" s="111" t="s">
        <v>926</v>
      </c>
      <c r="AL32" s="111" t="s">
        <v>926</v>
      </c>
      <c r="AM32" s="111" t="s">
        <v>926</v>
      </c>
      <c r="AN32" s="111" t="s">
        <v>926</v>
      </c>
      <c r="AO32" s="111">
        <v>3</v>
      </c>
      <c r="AP32" s="111" t="s">
        <v>926</v>
      </c>
      <c r="AQ32" s="111" t="s">
        <v>926</v>
      </c>
      <c r="AR32" s="111" t="s">
        <v>926</v>
      </c>
      <c r="AS32" s="111" t="s">
        <v>926</v>
      </c>
      <c r="AT32" s="111" t="s">
        <v>926</v>
      </c>
      <c r="AU32" s="111" t="s">
        <v>926</v>
      </c>
      <c r="AV32" s="111" t="s">
        <v>926</v>
      </c>
      <c r="AW32" s="111" t="s">
        <v>926</v>
      </c>
      <c r="AX32" s="111" t="s">
        <v>926</v>
      </c>
      <c r="AY32" s="169" t="s">
        <v>926</v>
      </c>
      <c r="AZ32" s="169" t="s">
        <v>926</v>
      </c>
      <c r="BA32" s="166" t="s">
        <v>926</v>
      </c>
      <c r="BB32" s="166" t="s">
        <v>926</v>
      </c>
      <c r="BC32" s="169" t="s">
        <v>926</v>
      </c>
      <c r="BD32" s="166" t="s">
        <v>926</v>
      </c>
      <c r="BE32" s="166" t="s">
        <v>926</v>
      </c>
      <c r="BF32" s="169">
        <v>0</v>
      </c>
      <c r="BG32" s="166">
        <v>0</v>
      </c>
      <c r="BH32" s="166">
        <v>0</v>
      </c>
      <c r="BI32" s="111" t="s">
        <v>926</v>
      </c>
      <c r="BJ32" s="111" t="s">
        <v>926</v>
      </c>
      <c r="BK32" s="170">
        <v>3</v>
      </c>
      <c r="BL32" s="111">
        <v>1</v>
      </c>
      <c r="BM32" s="111">
        <v>2</v>
      </c>
      <c r="BN32" s="111">
        <v>2</v>
      </c>
      <c r="BO32" s="111" t="s">
        <v>1555</v>
      </c>
      <c r="BP32" s="111" t="s">
        <v>1752</v>
      </c>
      <c r="BQ32" s="111" t="s">
        <v>1753</v>
      </c>
      <c r="BR32" s="111" t="s">
        <v>926</v>
      </c>
      <c r="BS32" s="111" t="s">
        <v>926</v>
      </c>
      <c r="BT32" s="111" t="s">
        <v>926</v>
      </c>
      <c r="BU32" s="111" t="s">
        <v>926</v>
      </c>
      <c r="BV32" s="111" t="s">
        <v>926</v>
      </c>
      <c r="BW32" s="2" t="s">
        <v>1182</v>
      </c>
      <c r="BX32" s="2" t="s">
        <v>1766</v>
      </c>
      <c r="BY32" s="2" t="s">
        <v>1371</v>
      </c>
      <c r="BZ32" s="2" t="s">
        <v>1372</v>
      </c>
      <c r="CA32" s="2" t="s">
        <v>1767</v>
      </c>
      <c r="CB32" s="2" t="s">
        <v>1768</v>
      </c>
      <c r="CC32" s="2" t="s">
        <v>1137</v>
      </c>
      <c r="CD32" s="2" t="s">
        <v>1138</v>
      </c>
      <c r="CE32" s="2" t="s">
        <v>1182</v>
      </c>
      <c r="CF32" s="111" t="s">
        <v>1168</v>
      </c>
      <c r="CG32" s="111" t="s">
        <v>1184</v>
      </c>
      <c r="CH32" s="177">
        <v>45708</v>
      </c>
      <c r="CI32" s="111">
        <v>26100.347600000001</v>
      </c>
      <c r="CJ32" s="111" t="s">
        <v>1769</v>
      </c>
      <c r="CK32" s="2" t="s">
        <v>1209</v>
      </c>
      <c r="CL32" s="111" t="s">
        <v>926</v>
      </c>
      <c r="CM32" s="111" t="s">
        <v>926</v>
      </c>
      <c r="CN32" s="111" t="s">
        <v>926</v>
      </c>
      <c r="CO32" s="111" t="s">
        <v>926</v>
      </c>
      <c r="CP32" s="111" t="s">
        <v>926</v>
      </c>
      <c r="CQ32" s="111" t="s">
        <v>926</v>
      </c>
      <c r="CR32" s="111" t="s">
        <v>926</v>
      </c>
      <c r="CS32" s="111" t="s">
        <v>926</v>
      </c>
      <c r="CT32" s="111" t="s">
        <v>926</v>
      </c>
      <c r="CU32" s="111" t="s">
        <v>926</v>
      </c>
      <c r="CV32" s="111" t="s">
        <v>926</v>
      </c>
      <c r="CW32" s="111" t="s">
        <v>926</v>
      </c>
      <c r="CX32" s="111" t="s">
        <v>926</v>
      </c>
      <c r="CY32" s="111" t="s">
        <v>926</v>
      </c>
      <c r="CZ32" s="111" t="s">
        <v>926</v>
      </c>
      <c r="DA32" s="111" t="s">
        <v>926</v>
      </c>
      <c r="DB32" s="111" t="s">
        <v>926</v>
      </c>
      <c r="DC32" s="111" t="s">
        <v>926</v>
      </c>
      <c r="DD32" s="111" t="s">
        <v>926</v>
      </c>
      <c r="DE32" s="111" t="s">
        <v>926</v>
      </c>
      <c r="DF32" s="111" t="s">
        <v>926</v>
      </c>
      <c r="DG32" s="111" t="s">
        <v>926</v>
      </c>
      <c r="DH32" s="111" t="s">
        <v>926</v>
      </c>
      <c r="DI32" s="111" t="s">
        <v>926</v>
      </c>
      <c r="DJ32" s="111" t="s">
        <v>926</v>
      </c>
      <c r="DK32" s="111" t="s">
        <v>926</v>
      </c>
      <c r="DL32" s="111" t="s">
        <v>926</v>
      </c>
      <c r="DM32" s="171" t="s">
        <v>926</v>
      </c>
      <c r="DN32" s="111" t="s">
        <v>926</v>
      </c>
      <c r="DO32" s="2" t="s">
        <v>926</v>
      </c>
      <c r="DP32" s="111" t="s">
        <v>926</v>
      </c>
      <c r="DQ32" s="111" t="s">
        <v>926</v>
      </c>
      <c r="DR32" s="111" t="s">
        <v>926</v>
      </c>
      <c r="DS32" s="111" t="s">
        <v>926</v>
      </c>
      <c r="DT32" s="111" t="s">
        <v>926</v>
      </c>
      <c r="DU32" s="111" t="s">
        <v>926</v>
      </c>
      <c r="DV32" s="111" t="s">
        <v>926</v>
      </c>
      <c r="DW32" s="111" t="s">
        <v>926</v>
      </c>
      <c r="DX32" s="167" t="s">
        <v>926</v>
      </c>
      <c r="DY32" s="111" t="s">
        <v>926</v>
      </c>
      <c r="DZ32" s="124" t="s">
        <v>1316</v>
      </c>
    </row>
    <row r="33" spans="1:130" ht="12" customHeight="1">
      <c r="A33" s="165">
        <v>45755</v>
      </c>
      <c r="B33" s="2" t="s">
        <v>1317</v>
      </c>
      <c r="C33" s="111" t="s">
        <v>926</v>
      </c>
      <c r="D33" s="111" t="s">
        <v>1214</v>
      </c>
      <c r="E33" s="111" t="s">
        <v>926</v>
      </c>
      <c r="F33" s="111" t="s">
        <v>926</v>
      </c>
      <c r="G33" s="111" t="s">
        <v>1770</v>
      </c>
      <c r="H33" s="111" t="s">
        <v>1771</v>
      </c>
      <c r="I33" s="111" t="s">
        <v>1666</v>
      </c>
      <c r="J33" s="111" t="s">
        <v>1148</v>
      </c>
      <c r="K33" s="111">
        <v>4</v>
      </c>
      <c r="L33" s="111">
        <v>4</v>
      </c>
      <c r="M33" s="111">
        <v>2</v>
      </c>
      <c r="N33" s="111">
        <v>1</v>
      </c>
      <c r="O33" s="111">
        <v>4</v>
      </c>
      <c r="P33" s="111">
        <v>1</v>
      </c>
      <c r="Q33" s="111">
        <v>4</v>
      </c>
      <c r="R33" s="111">
        <v>4</v>
      </c>
      <c r="S33" s="111">
        <v>1</v>
      </c>
      <c r="T33" s="111">
        <v>4</v>
      </c>
      <c r="U33" s="111">
        <v>4</v>
      </c>
      <c r="V33" s="111">
        <v>3</v>
      </c>
      <c r="W33" s="111">
        <v>3</v>
      </c>
      <c r="X33" s="111">
        <v>1</v>
      </c>
      <c r="Y33" s="111">
        <v>1</v>
      </c>
      <c r="Z33" s="166">
        <v>10365921</v>
      </c>
      <c r="AA33" s="167">
        <v>10.365921</v>
      </c>
      <c r="AB33" s="111">
        <v>1</v>
      </c>
      <c r="AC33" s="111">
        <v>4</v>
      </c>
      <c r="AD33" s="168">
        <v>1</v>
      </c>
      <c r="AE33" s="111">
        <v>1</v>
      </c>
      <c r="AF33" s="111">
        <v>1</v>
      </c>
      <c r="AG33" s="111">
        <v>1</v>
      </c>
      <c r="AH33" s="111">
        <v>1</v>
      </c>
      <c r="AI33" s="111">
        <v>1</v>
      </c>
      <c r="AJ33" s="111">
        <v>1</v>
      </c>
      <c r="AK33" s="111">
        <v>1</v>
      </c>
      <c r="AL33" s="111">
        <v>1</v>
      </c>
      <c r="AM33" s="111">
        <v>4</v>
      </c>
      <c r="AN33" s="170">
        <v>1</v>
      </c>
      <c r="AO33" s="111">
        <v>2</v>
      </c>
      <c r="AP33" s="111">
        <v>1</v>
      </c>
      <c r="AQ33" s="111">
        <v>1</v>
      </c>
      <c r="AR33" s="111">
        <v>1</v>
      </c>
      <c r="AS33" s="111">
        <v>1</v>
      </c>
      <c r="AT33" s="111">
        <v>2</v>
      </c>
      <c r="AU33" s="111">
        <v>2</v>
      </c>
      <c r="AV33" s="111">
        <v>1</v>
      </c>
      <c r="AW33" s="111">
        <v>1</v>
      </c>
      <c r="AX33" s="111" t="s">
        <v>926</v>
      </c>
      <c r="AY33" s="169">
        <v>14.7</v>
      </c>
      <c r="AZ33" s="169">
        <v>14.8</v>
      </c>
      <c r="BA33" s="166">
        <v>51164</v>
      </c>
      <c r="BB33" s="166">
        <v>4015</v>
      </c>
      <c r="BC33" s="169">
        <v>3</v>
      </c>
      <c r="BD33" s="166">
        <v>3291</v>
      </c>
      <c r="BE33" s="166">
        <v>39</v>
      </c>
      <c r="BF33" s="169">
        <v>28.165921000000001</v>
      </c>
      <c r="BG33" s="166">
        <v>54455</v>
      </c>
      <c r="BH33" s="166">
        <v>4054</v>
      </c>
      <c r="BI33" s="111" t="s">
        <v>926</v>
      </c>
      <c r="BJ33" s="111">
        <v>1</v>
      </c>
      <c r="BK33" s="111">
        <v>1</v>
      </c>
      <c r="BL33" s="111">
        <v>1</v>
      </c>
      <c r="BM33" s="111">
        <v>2</v>
      </c>
      <c r="BN33" s="111">
        <v>3</v>
      </c>
      <c r="BO33" s="111" t="s">
        <v>1318</v>
      </c>
      <c r="BP33" s="111" t="s">
        <v>1683</v>
      </c>
      <c r="BQ33" s="111" t="s">
        <v>1772</v>
      </c>
      <c r="BR33" s="111" t="s">
        <v>926</v>
      </c>
      <c r="BS33" s="111" t="s">
        <v>926</v>
      </c>
      <c r="BT33" s="111" t="s">
        <v>926</v>
      </c>
      <c r="BU33" s="111" t="s">
        <v>926</v>
      </c>
      <c r="BV33" s="111">
        <v>1</v>
      </c>
      <c r="BW33" s="2" t="s">
        <v>1182</v>
      </c>
      <c r="BX33" s="2" t="s">
        <v>1319</v>
      </c>
      <c r="BY33" s="2" t="s">
        <v>1320</v>
      </c>
      <c r="BZ33" s="2" t="s">
        <v>1134</v>
      </c>
      <c r="CA33" s="2" t="s">
        <v>1321</v>
      </c>
      <c r="CB33" s="2" t="s">
        <v>1322</v>
      </c>
      <c r="CC33" s="2" t="s">
        <v>1137</v>
      </c>
      <c r="CD33" s="2" t="s">
        <v>1167</v>
      </c>
      <c r="CE33" s="2" t="s">
        <v>1182</v>
      </c>
      <c r="CF33" s="111" t="s">
        <v>1139</v>
      </c>
      <c r="CG33" s="111">
        <v>2009</v>
      </c>
      <c r="CH33" s="111" t="s">
        <v>1323</v>
      </c>
      <c r="CI33" s="111">
        <v>19045.560799999999</v>
      </c>
      <c r="CJ33" s="111" t="s">
        <v>1773</v>
      </c>
      <c r="CK33" s="2" t="s">
        <v>1171</v>
      </c>
      <c r="CL33" s="111">
        <v>2</v>
      </c>
      <c r="CM33" s="111">
        <v>1</v>
      </c>
      <c r="CN33" s="111">
        <v>1</v>
      </c>
      <c r="CO33" s="111" t="s">
        <v>926</v>
      </c>
      <c r="CP33" s="111">
        <v>2</v>
      </c>
      <c r="CQ33" s="111">
        <v>4</v>
      </c>
      <c r="CR33" s="111">
        <v>2</v>
      </c>
      <c r="CS33" s="111">
        <v>1</v>
      </c>
      <c r="CT33" s="111">
        <v>2</v>
      </c>
      <c r="CU33" s="111">
        <v>2</v>
      </c>
      <c r="CV33" s="111">
        <v>2</v>
      </c>
      <c r="CW33" s="111">
        <v>4</v>
      </c>
      <c r="CX33" s="111">
        <v>2</v>
      </c>
      <c r="CY33" s="111">
        <v>2</v>
      </c>
      <c r="CZ33" s="111">
        <v>2</v>
      </c>
      <c r="DA33" s="111">
        <v>2</v>
      </c>
      <c r="DB33" s="111">
        <v>2</v>
      </c>
      <c r="DC33" s="111">
        <v>2</v>
      </c>
      <c r="DD33" s="111">
        <v>2</v>
      </c>
      <c r="DE33" s="111">
        <v>2</v>
      </c>
      <c r="DF33" s="111">
        <v>4</v>
      </c>
      <c r="DG33" s="111">
        <v>2</v>
      </c>
      <c r="DH33" s="111">
        <v>2</v>
      </c>
      <c r="DI33" s="111">
        <v>2</v>
      </c>
      <c r="DJ33" s="111">
        <v>2</v>
      </c>
      <c r="DK33" s="111">
        <v>2</v>
      </c>
      <c r="DL33" s="111" t="s">
        <v>967</v>
      </c>
      <c r="DM33" s="171">
        <v>45943</v>
      </c>
      <c r="DN33" s="111" t="s">
        <v>1144</v>
      </c>
      <c r="DO33" s="2" t="s">
        <v>926</v>
      </c>
      <c r="DP33" s="111" t="s">
        <v>1145</v>
      </c>
      <c r="DQ33" s="111" t="s">
        <v>1174</v>
      </c>
      <c r="DR33" s="111">
        <v>1</v>
      </c>
      <c r="DS33" s="111">
        <v>1</v>
      </c>
      <c r="DT33" s="111" t="s">
        <v>1324</v>
      </c>
      <c r="DU33" s="111" t="s">
        <v>971</v>
      </c>
      <c r="DV33" s="111" t="s">
        <v>1148</v>
      </c>
      <c r="DW33" s="111" t="s">
        <v>1148</v>
      </c>
      <c r="DX33" s="167">
        <v>1</v>
      </c>
      <c r="DY33" s="111">
        <v>1</v>
      </c>
      <c r="DZ33" s="124"/>
    </row>
    <row r="34" spans="1:130" ht="12" hidden="1" customHeight="1">
      <c r="A34" s="165">
        <v>45755</v>
      </c>
      <c r="B34" s="2" t="s">
        <v>1325</v>
      </c>
      <c r="C34" s="111" t="s">
        <v>926</v>
      </c>
      <c r="D34" s="111" t="s">
        <v>1214</v>
      </c>
      <c r="E34" s="111" t="s">
        <v>1326</v>
      </c>
      <c r="F34" s="111" t="s">
        <v>1327</v>
      </c>
      <c r="G34" s="111" t="s">
        <v>1774</v>
      </c>
      <c r="H34" s="111" t="s">
        <v>1775</v>
      </c>
      <c r="I34" s="111" t="s">
        <v>1666</v>
      </c>
      <c r="J34" s="111" t="s">
        <v>1269</v>
      </c>
      <c r="K34" s="111">
        <v>4</v>
      </c>
      <c r="L34" s="111">
        <v>4</v>
      </c>
      <c r="M34" s="111">
        <v>2</v>
      </c>
      <c r="N34" s="111">
        <v>1</v>
      </c>
      <c r="O34" s="111">
        <v>2</v>
      </c>
      <c r="P34" s="111">
        <v>1</v>
      </c>
      <c r="Q34" s="111">
        <v>4</v>
      </c>
      <c r="R34" s="111">
        <v>4</v>
      </c>
      <c r="S34" s="111">
        <v>1</v>
      </c>
      <c r="T34" s="111">
        <v>4</v>
      </c>
      <c r="U34" s="111">
        <v>4</v>
      </c>
      <c r="V34" s="111">
        <v>3</v>
      </c>
      <c r="W34" s="111">
        <v>3</v>
      </c>
      <c r="X34" s="111">
        <v>1</v>
      </c>
      <c r="Y34" s="111">
        <v>1</v>
      </c>
      <c r="Z34" s="166">
        <v>4458809</v>
      </c>
      <c r="AA34" s="167">
        <v>4.4588089999999996</v>
      </c>
      <c r="AB34" s="111">
        <v>2</v>
      </c>
      <c r="AC34" s="111">
        <v>2</v>
      </c>
      <c r="AD34" s="168">
        <v>1</v>
      </c>
      <c r="AE34" s="111">
        <v>1</v>
      </c>
      <c r="AF34" s="111">
        <v>1</v>
      </c>
      <c r="AG34" s="111">
        <v>1</v>
      </c>
      <c r="AH34" s="111">
        <v>1</v>
      </c>
      <c r="AI34" s="111">
        <v>1</v>
      </c>
      <c r="AJ34" s="111">
        <v>1</v>
      </c>
      <c r="AK34" s="111">
        <v>1</v>
      </c>
      <c r="AL34" s="111">
        <v>1</v>
      </c>
      <c r="AM34" s="111">
        <v>3</v>
      </c>
      <c r="AN34" s="170">
        <v>1</v>
      </c>
      <c r="AO34" s="111">
        <v>3</v>
      </c>
      <c r="AP34" s="111">
        <v>1</v>
      </c>
      <c r="AQ34" s="111">
        <v>1</v>
      </c>
      <c r="AR34" s="111">
        <v>1</v>
      </c>
      <c r="AS34" s="111">
        <v>1</v>
      </c>
      <c r="AT34" s="111">
        <v>1</v>
      </c>
      <c r="AU34" s="111">
        <v>1</v>
      </c>
      <c r="AV34" s="111">
        <v>1</v>
      </c>
      <c r="AW34" s="111">
        <v>1</v>
      </c>
      <c r="AX34" s="111" t="s">
        <v>926</v>
      </c>
      <c r="AY34" s="169">
        <v>8.3699999999999992</v>
      </c>
      <c r="AZ34" s="169">
        <v>8.4600000000000009</v>
      </c>
      <c r="BA34" s="166">
        <v>50788</v>
      </c>
      <c r="BB34" s="166">
        <v>4263</v>
      </c>
      <c r="BC34" s="169">
        <v>6.6099999999999992E-2</v>
      </c>
      <c r="BD34" s="166">
        <v>178</v>
      </c>
      <c r="BE34" s="166">
        <v>6</v>
      </c>
      <c r="BF34" s="169">
        <v>12.984909</v>
      </c>
      <c r="BG34" s="166">
        <v>50966</v>
      </c>
      <c r="BH34" s="166">
        <v>4269</v>
      </c>
      <c r="BI34" s="111" t="s">
        <v>926</v>
      </c>
      <c r="BJ34" s="170">
        <v>1</v>
      </c>
      <c r="BK34" s="111">
        <v>1</v>
      </c>
      <c r="BL34" s="111">
        <v>1</v>
      </c>
      <c r="BM34" s="111">
        <v>2</v>
      </c>
      <c r="BN34" s="111">
        <v>2</v>
      </c>
      <c r="BO34" s="111" t="s">
        <v>1328</v>
      </c>
      <c r="BP34" s="111" t="s">
        <v>1683</v>
      </c>
      <c r="BQ34" s="111" t="s">
        <v>1772</v>
      </c>
      <c r="BR34" s="111" t="s">
        <v>926</v>
      </c>
      <c r="BS34" s="111" t="s">
        <v>926</v>
      </c>
      <c r="BT34" s="111" t="s">
        <v>926</v>
      </c>
      <c r="BU34" s="111" t="s">
        <v>926</v>
      </c>
      <c r="BV34" s="111">
        <v>1</v>
      </c>
      <c r="BW34" s="2" t="s">
        <v>1182</v>
      </c>
      <c r="BX34" s="2" t="s">
        <v>1279</v>
      </c>
      <c r="BY34" s="2" t="s">
        <v>1133</v>
      </c>
      <c r="BZ34" s="2" t="s">
        <v>1329</v>
      </c>
      <c r="CA34" s="2" t="s">
        <v>1330</v>
      </c>
      <c r="CB34" s="2" t="s">
        <v>1331</v>
      </c>
      <c r="CC34" s="2" t="s">
        <v>1137</v>
      </c>
      <c r="CD34" s="2" t="s">
        <v>1167</v>
      </c>
      <c r="CE34" s="2" t="s">
        <v>1182</v>
      </c>
      <c r="CF34" s="111" t="s">
        <v>1268</v>
      </c>
      <c r="CG34" s="111" t="s">
        <v>1140</v>
      </c>
      <c r="CH34" s="111" t="s">
        <v>1332</v>
      </c>
      <c r="CI34" s="111">
        <v>19045.560799999999</v>
      </c>
      <c r="CJ34" s="111" t="s">
        <v>1776</v>
      </c>
      <c r="CK34" s="2" t="s">
        <v>1143</v>
      </c>
      <c r="CL34" s="111">
        <v>2</v>
      </c>
      <c r="CM34" s="111">
        <v>2</v>
      </c>
      <c r="CN34" s="111">
        <v>2</v>
      </c>
      <c r="CO34" s="111" t="s">
        <v>926</v>
      </c>
      <c r="CP34" s="111">
        <v>1</v>
      </c>
      <c r="CQ34" s="111">
        <v>4</v>
      </c>
      <c r="CR34" s="111">
        <v>1</v>
      </c>
      <c r="CS34" s="111">
        <v>1</v>
      </c>
      <c r="CT34" s="111">
        <v>1</v>
      </c>
      <c r="CU34" s="111">
        <v>2</v>
      </c>
      <c r="CV34" s="111">
        <v>2</v>
      </c>
      <c r="CW34" s="111">
        <v>3</v>
      </c>
      <c r="CX34" s="111">
        <v>1</v>
      </c>
      <c r="CY34" s="111">
        <v>2</v>
      </c>
      <c r="CZ34" s="111">
        <v>1</v>
      </c>
      <c r="DA34" s="111">
        <v>2</v>
      </c>
      <c r="DB34" s="111">
        <v>1</v>
      </c>
      <c r="DC34" s="111">
        <v>2</v>
      </c>
      <c r="DD34" s="111">
        <v>2</v>
      </c>
      <c r="DE34" s="111">
        <v>1</v>
      </c>
      <c r="DF34" s="111">
        <v>2</v>
      </c>
      <c r="DG34" s="111">
        <v>2</v>
      </c>
      <c r="DH34" s="111">
        <v>1</v>
      </c>
      <c r="DI34" s="111">
        <v>2</v>
      </c>
      <c r="DJ34" s="111">
        <v>2</v>
      </c>
      <c r="DK34" s="111">
        <v>2</v>
      </c>
      <c r="DL34" s="111" t="s">
        <v>967</v>
      </c>
      <c r="DM34" s="171">
        <v>45943</v>
      </c>
      <c r="DN34" s="111" t="s">
        <v>1144</v>
      </c>
      <c r="DO34" s="2" t="s">
        <v>926</v>
      </c>
      <c r="DP34" s="111" t="s">
        <v>1173</v>
      </c>
      <c r="DQ34" s="111" t="s">
        <v>1174</v>
      </c>
      <c r="DR34" s="111">
        <v>1</v>
      </c>
      <c r="DS34" s="111">
        <v>1</v>
      </c>
      <c r="DT34" s="111" t="s">
        <v>1324</v>
      </c>
      <c r="DU34" s="111" t="s">
        <v>971</v>
      </c>
      <c r="DV34" s="111" t="s">
        <v>1269</v>
      </c>
      <c r="DW34" s="170" t="s">
        <v>1646</v>
      </c>
      <c r="DX34" s="167">
        <v>0.5</v>
      </c>
      <c r="DY34" s="111">
        <v>1</v>
      </c>
      <c r="DZ34" s="124"/>
    </row>
    <row r="35" spans="1:130" ht="12" hidden="1" customHeight="1">
      <c r="A35" s="165">
        <v>45757</v>
      </c>
      <c r="B35" s="181" t="s">
        <v>1333</v>
      </c>
      <c r="C35" s="111" t="s">
        <v>1334</v>
      </c>
      <c r="D35" s="111" t="s">
        <v>1214</v>
      </c>
      <c r="E35" s="111" t="s">
        <v>1326</v>
      </c>
      <c r="F35" s="111" t="s">
        <v>1327</v>
      </c>
      <c r="G35" s="111" t="s">
        <v>1777</v>
      </c>
      <c r="H35" s="111" t="s">
        <v>1778</v>
      </c>
      <c r="I35" s="111" t="s">
        <v>1396</v>
      </c>
      <c r="J35" s="111" t="s">
        <v>1269</v>
      </c>
      <c r="K35" s="111">
        <v>4</v>
      </c>
      <c r="L35" s="111">
        <v>4</v>
      </c>
      <c r="M35" s="111">
        <v>2</v>
      </c>
      <c r="N35" s="111">
        <v>1</v>
      </c>
      <c r="O35" s="111">
        <v>3</v>
      </c>
      <c r="P35" s="111">
        <v>3</v>
      </c>
      <c r="Q35" s="111">
        <v>3</v>
      </c>
      <c r="R35" s="111">
        <v>3</v>
      </c>
      <c r="S35" s="111">
        <v>1</v>
      </c>
      <c r="T35" s="111">
        <v>4</v>
      </c>
      <c r="U35" s="111">
        <v>4</v>
      </c>
      <c r="V35" s="111">
        <v>2</v>
      </c>
      <c r="W35" s="111">
        <v>2</v>
      </c>
      <c r="X35" s="111">
        <v>1</v>
      </c>
      <c r="Y35" s="111">
        <v>1</v>
      </c>
      <c r="Z35" s="166">
        <v>10238</v>
      </c>
      <c r="AA35" s="167">
        <v>1.0238000000000001E-2</v>
      </c>
      <c r="AB35" s="111">
        <v>2</v>
      </c>
      <c r="AC35" s="111">
        <v>4</v>
      </c>
      <c r="AD35" s="168">
        <v>1</v>
      </c>
      <c r="AE35" s="111">
        <v>1</v>
      </c>
      <c r="AF35" s="111">
        <v>1</v>
      </c>
      <c r="AG35" s="111">
        <v>1</v>
      </c>
      <c r="AH35" s="111">
        <v>1</v>
      </c>
      <c r="AI35" s="111">
        <v>1</v>
      </c>
      <c r="AJ35" s="111">
        <v>1</v>
      </c>
      <c r="AK35" s="111">
        <v>1</v>
      </c>
      <c r="AL35" s="111">
        <v>1</v>
      </c>
      <c r="AM35" s="111">
        <v>1</v>
      </c>
      <c r="AN35" s="170">
        <v>1</v>
      </c>
      <c r="AO35" s="111">
        <v>3</v>
      </c>
      <c r="AP35" s="111">
        <v>1</v>
      </c>
      <c r="AQ35" s="111">
        <v>1</v>
      </c>
      <c r="AR35" s="111">
        <v>1</v>
      </c>
      <c r="AS35" s="111">
        <v>1</v>
      </c>
      <c r="AT35" s="111">
        <v>1</v>
      </c>
      <c r="AU35" s="111">
        <v>1</v>
      </c>
      <c r="AV35" s="111">
        <v>1</v>
      </c>
      <c r="AW35" s="111">
        <v>1</v>
      </c>
      <c r="AX35" s="111" t="s">
        <v>926</v>
      </c>
      <c r="AY35" s="169">
        <v>10.7</v>
      </c>
      <c r="AZ35" s="169">
        <v>10.7</v>
      </c>
      <c r="BA35" s="166">
        <v>8134</v>
      </c>
      <c r="BB35" s="166">
        <v>1356</v>
      </c>
      <c r="BC35" s="169" t="s">
        <v>926</v>
      </c>
      <c r="BD35" s="166" t="s">
        <v>926</v>
      </c>
      <c r="BE35" s="166" t="s">
        <v>926</v>
      </c>
      <c r="BF35" s="169">
        <v>10.710237999999999</v>
      </c>
      <c r="BG35" s="166">
        <v>8134</v>
      </c>
      <c r="BH35" s="166">
        <v>1356</v>
      </c>
      <c r="BI35" s="111" t="s">
        <v>926</v>
      </c>
      <c r="BJ35" s="111">
        <v>2</v>
      </c>
      <c r="BK35" s="170">
        <v>3</v>
      </c>
      <c r="BL35" s="111">
        <v>1</v>
      </c>
      <c r="BM35" s="111">
        <v>2</v>
      </c>
      <c r="BN35" s="111">
        <v>2</v>
      </c>
      <c r="BO35" s="182" t="s">
        <v>1335</v>
      </c>
      <c r="BP35" s="111" t="s">
        <v>1745</v>
      </c>
      <c r="BQ35" s="111" t="s">
        <v>1779</v>
      </c>
      <c r="BR35" s="111" t="s">
        <v>926</v>
      </c>
      <c r="BS35" s="111" t="s">
        <v>926</v>
      </c>
      <c r="BT35" s="111" t="s">
        <v>926</v>
      </c>
      <c r="BU35" s="111" t="s">
        <v>926</v>
      </c>
      <c r="BV35" s="111">
        <v>1</v>
      </c>
      <c r="BW35" s="2" t="s">
        <v>1182</v>
      </c>
      <c r="BX35" s="2" t="s">
        <v>1336</v>
      </c>
      <c r="BY35" s="2" t="s">
        <v>1337</v>
      </c>
      <c r="BZ35" s="2" t="s">
        <v>1338</v>
      </c>
      <c r="CA35" s="2" t="s">
        <v>1339</v>
      </c>
      <c r="CB35" s="2" t="s">
        <v>1340</v>
      </c>
      <c r="CC35" s="2" t="s">
        <v>1137</v>
      </c>
      <c r="CD35" s="2" t="s">
        <v>1138</v>
      </c>
      <c r="CE35" s="2" t="s">
        <v>1182</v>
      </c>
      <c r="CF35" s="111" t="s">
        <v>1168</v>
      </c>
      <c r="CG35" s="111" t="s">
        <v>1169</v>
      </c>
      <c r="CH35" s="177">
        <v>44902</v>
      </c>
      <c r="CI35" s="111">
        <v>22631.5039</v>
      </c>
      <c r="CJ35" s="111" t="s">
        <v>1341</v>
      </c>
      <c r="CK35" s="2" t="s">
        <v>1342</v>
      </c>
      <c r="CL35" s="111">
        <v>1</v>
      </c>
      <c r="CM35" s="111">
        <v>2</v>
      </c>
      <c r="CN35" s="183">
        <v>1</v>
      </c>
      <c r="CO35" s="111" t="s">
        <v>926</v>
      </c>
      <c r="CP35" s="111">
        <v>1</v>
      </c>
      <c r="CQ35" s="111">
        <v>3</v>
      </c>
      <c r="CR35" s="111">
        <v>1</v>
      </c>
      <c r="CS35" s="111">
        <v>1</v>
      </c>
      <c r="CT35" s="111">
        <v>1</v>
      </c>
      <c r="CU35" s="111">
        <v>1</v>
      </c>
      <c r="CV35" s="111">
        <v>3</v>
      </c>
      <c r="CW35" s="111">
        <v>3</v>
      </c>
      <c r="CX35" s="111">
        <v>1</v>
      </c>
      <c r="CY35" s="111">
        <v>3</v>
      </c>
      <c r="CZ35" s="111">
        <v>1</v>
      </c>
      <c r="DA35" s="111">
        <v>3</v>
      </c>
      <c r="DB35" s="111">
        <v>3</v>
      </c>
      <c r="DC35" s="111">
        <v>1</v>
      </c>
      <c r="DD35" s="111">
        <v>1</v>
      </c>
      <c r="DE35" s="111">
        <v>1</v>
      </c>
      <c r="DF35" s="111">
        <v>1</v>
      </c>
      <c r="DG35" s="111">
        <v>1</v>
      </c>
      <c r="DH35" s="111">
        <v>1</v>
      </c>
      <c r="DI35" s="111">
        <v>1</v>
      </c>
      <c r="DJ35" s="111">
        <v>1</v>
      </c>
      <c r="DK35" s="111">
        <v>1</v>
      </c>
      <c r="DL35" s="111" t="s">
        <v>926</v>
      </c>
      <c r="DM35" s="171" t="s">
        <v>926</v>
      </c>
      <c r="DN35" s="111" t="s">
        <v>926</v>
      </c>
      <c r="DO35" s="2" t="s">
        <v>926</v>
      </c>
      <c r="DP35" s="111" t="s">
        <v>926</v>
      </c>
      <c r="DQ35" s="111" t="s">
        <v>926</v>
      </c>
      <c r="DR35" s="111" t="s">
        <v>926</v>
      </c>
      <c r="DS35" s="111" t="s">
        <v>926</v>
      </c>
      <c r="DT35" s="111" t="s">
        <v>926</v>
      </c>
      <c r="DU35" s="111" t="s">
        <v>926</v>
      </c>
      <c r="DV35" s="111" t="s">
        <v>926</v>
      </c>
      <c r="DW35" s="111" t="s">
        <v>926</v>
      </c>
      <c r="DX35" s="167" t="s">
        <v>926</v>
      </c>
      <c r="DY35" s="184" t="s">
        <v>926</v>
      </c>
      <c r="DZ35" s="124"/>
    </row>
    <row r="36" spans="1:130" ht="12" customHeight="1">
      <c r="A36" s="165">
        <v>45757</v>
      </c>
      <c r="B36" s="2" t="s">
        <v>1343</v>
      </c>
      <c r="C36" s="111" t="s">
        <v>1334</v>
      </c>
      <c r="D36" s="111" t="s">
        <v>1214</v>
      </c>
      <c r="E36" s="111" t="s">
        <v>1326</v>
      </c>
      <c r="F36" s="111" t="s">
        <v>1327</v>
      </c>
      <c r="G36" s="111" t="s">
        <v>1780</v>
      </c>
      <c r="H36" s="111" t="s">
        <v>1781</v>
      </c>
      <c r="I36" s="111" t="s">
        <v>1396</v>
      </c>
      <c r="J36" s="111" t="s">
        <v>1269</v>
      </c>
      <c r="K36" s="111">
        <v>1</v>
      </c>
      <c r="L36" s="111">
        <v>1</v>
      </c>
      <c r="M36" s="111">
        <v>1</v>
      </c>
      <c r="N36" s="111">
        <v>1</v>
      </c>
      <c r="O36" s="111">
        <v>1</v>
      </c>
      <c r="P36" s="111">
        <v>1</v>
      </c>
      <c r="Q36" s="111">
        <v>3</v>
      </c>
      <c r="R36" s="111">
        <v>1</v>
      </c>
      <c r="S36" s="111">
        <v>1</v>
      </c>
      <c r="T36" s="111">
        <v>4</v>
      </c>
      <c r="U36" s="111">
        <v>3</v>
      </c>
      <c r="V36" s="111">
        <v>1</v>
      </c>
      <c r="W36" s="111">
        <v>2</v>
      </c>
      <c r="X36" s="111">
        <v>2</v>
      </c>
      <c r="Y36" s="111">
        <v>1</v>
      </c>
      <c r="Z36" s="166">
        <v>2552433</v>
      </c>
      <c r="AA36" s="167">
        <v>2.5524330000000002</v>
      </c>
      <c r="AB36" s="111">
        <v>4</v>
      </c>
      <c r="AC36" s="111">
        <v>3</v>
      </c>
      <c r="AD36" s="168">
        <v>1</v>
      </c>
      <c r="AE36" s="111">
        <v>2</v>
      </c>
      <c r="AF36" s="111">
        <v>1</v>
      </c>
      <c r="AG36" s="111">
        <v>1</v>
      </c>
      <c r="AH36" s="111">
        <v>1</v>
      </c>
      <c r="AI36" s="111">
        <v>1</v>
      </c>
      <c r="AJ36" s="111">
        <v>1</v>
      </c>
      <c r="AK36" s="111">
        <v>1</v>
      </c>
      <c r="AL36" s="111">
        <v>1</v>
      </c>
      <c r="AM36" s="111">
        <v>1</v>
      </c>
      <c r="AN36" s="170">
        <v>1</v>
      </c>
      <c r="AO36" s="111">
        <v>2</v>
      </c>
      <c r="AP36" s="111">
        <v>1</v>
      </c>
      <c r="AQ36" s="111">
        <v>1</v>
      </c>
      <c r="AR36" s="111">
        <v>1</v>
      </c>
      <c r="AS36" s="111">
        <v>1</v>
      </c>
      <c r="AT36" s="111">
        <v>1</v>
      </c>
      <c r="AU36" s="111">
        <v>1</v>
      </c>
      <c r="AV36" s="111">
        <v>1</v>
      </c>
      <c r="AW36" s="111">
        <v>1</v>
      </c>
      <c r="AX36" s="111" t="s">
        <v>926</v>
      </c>
      <c r="AY36" s="169">
        <v>3.71</v>
      </c>
      <c r="AZ36" s="169">
        <v>3.73</v>
      </c>
      <c r="BA36" s="166">
        <v>12036</v>
      </c>
      <c r="BB36" s="166">
        <v>1535</v>
      </c>
      <c r="BC36" s="169" t="s">
        <v>926</v>
      </c>
      <c r="BD36" s="166" t="s">
        <v>926</v>
      </c>
      <c r="BE36" s="166" t="s">
        <v>926</v>
      </c>
      <c r="BF36" s="169">
        <v>6.2824330000000002</v>
      </c>
      <c r="BG36" s="166">
        <v>12036</v>
      </c>
      <c r="BH36" s="166">
        <v>1535</v>
      </c>
      <c r="BI36" s="111" t="s">
        <v>926</v>
      </c>
      <c r="BJ36" s="111">
        <v>2</v>
      </c>
      <c r="BK36" s="170">
        <v>3</v>
      </c>
      <c r="BL36" s="111">
        <v>1</v>
      </c>
      <c r="BM36" s="111">
        <v>2</v>
      </c>
      <c r="BN36" s="111">
        <v>4</v>
      </c>
      <c r="BO36" s="111" t="s">
        <v>1335</v>
      </c>
      <c r="BP36" s="111" t="s">
        <v>1745</v>
      </c>
      <c r="BQ36" s="111" t="s">
        <v>1779</v>
      </c>
      <c r="BR36" s="111" t="s">
        <v>926</v>
      </c>
      <c r="BS36" s="111" t="s">
        <v>926</v>
      </c>
      <c r="BT36" s="111" t="s">
        <v>926</v>
      </c>
      <c r="BU36" s="111" t="s">
        <v>926</v>
      </c>
      <c r="BV36" s="111">
        <v>1</v>
      </c>
      <c r="BW36" s="2" t="s">
        <v>1182</v>
      </c>
      <c r="BX36" s="2" t="s">
        <v>1336</v>
      </c>
      <c r="BY36" s="2" t="s">
        <v>1337</v>
      </c>
      <c r="BZ36" s="2" t="s">
        <v>1338</v>
      </c>
      <c r="CA36" s="2" t="s">
        <v>1339</v>
      </c>
      <c r="CB36" s="2" t="s">
        <v>1340</v>
      </c>
      <c r="CC36" s="2" t="s">
        <v>1137</v>
      </c>
      <c r="CD36" s="2" t="s">
        <v>1138</v>
      </c>
      <c r="CE36" s="2" t="s">
        <v>1182</v>
      </c>
      <c r="CF36" s="111" t="s">
        <v>1168</v>
      </c>
      <c r="CG36" s="111" t="s">
        <v>1169</v>
      </c>
      <c r="CH36" s="177">
        <v>44902</v>
      </c>
      <c r="CI36" s="111">
        <v>22631.5039</v>
      </c>
      <c r="CJ36" s="111" t="s">
        <v>1341</v>
      </c>
      <c r="CK36" s="2" t="s">
        <v>1342</v>
      </c>
      <c r="CL36" s="111">
        <v>1</v>
      </c>
      <c r="CM36" s="183">
        <v>1</v>
      </c>
      <c r="CN36" s="183">
        <v>1</v>
      </c>
      <c r="CO36" s="111" t="s">
        <v>926</v>
      </c>
      <c r="CP36" s="111">
        <v>2</v>
      </c>
      <c r="CQ36" s="111">
        <v>3</v>
      </c>
      <c r="CR36" s="111">
        <v>2</v>
      </c>
      <c r="CS36" s="111">
        <v>2</v>
      </c>
      <c r="CT36" s="111">
        <v>2</v>
      </c>
      <c r="CU36" s="111">
        <v>2</v>
      </c>
      <c r="CV36" s="111">
        <v>2</v>
      </c>
      <c r="CW36" s="111">
        <v>2</v>
      </c>
      <c r="CX36" s="111">
        <v>2</v>
      </c>
      <c r="CY36" s="111">
        <v>2</v>
      </c>
      <c r="CZ36" s="111">
        <v>2</v>
      </c>
      <c r="DA36" s="111">
        <v>2</v>
      </c>
      <c r="DB36" s="111">
        <v>2</v>
      </c>
      <c r="DC36" s="111">
        <v>2</v>
      </c>
      <c r="DD36" s="111">
        <v>2</v>
      </c>
      <c r="DE36" s="111">
        <v>2</v>
      </c>
      <c r="DF36" s="111">
        <v>2</v>
      </c>
      <c r="DG36" s="111">
        <v>2</v>
      </c>
      <c r="DH36" s="111">
        <v>2</v>
      </c>
      <c r="DI36" s="111">
        <v>2</v>
      </c>
      <c r="DJ36" s="111">
        <v>2</v>
      </c>
      <c r="DK36" s="111">
        <v>2</v>
      </c>
      <c r="DL36" s="111" t="s">
        <v>926</v>
      </c>
      <c r="DM36" s="171" t="s">
        <v>926</v>
      </c>
      <c r="DN36" s="111" t="s">
        <v>926</v>
      </c>
      <c r="DO36" s="2" t="s">
        <v>926</v>
      </c>
      <c r="DP36" s="111" t="s">
        <v>926</v>
      </c>
      <c r="DQ36" s="111" t="s">
        <v>926</v>
      </c>
      <c r="DR36" s="111">
        <v>1</v>
      </c>
      <c r="DS36" s="111">
        <v>1</v>
      </c>
      <c r="DT36" s="111" t="s">
        <v>1324</v>
      </c>
      <c r="DU36" s="111" t="s">
        <v>971</v>
      </c>
      <c r="DV36" s="111" t="s">
        <v>1269</v>
      </c>
      <c r="DW36" s="111" t="s">
        <v>1269</v>
      </c>
      <c r="DX36" s="167">
        <v>0</v>
      </c>
      <c r="DY36" s="111">
        <v>1</v>
      </c>
      <c r="DZ36" s="124"/>
    </row>
    <row r="37" spans="1:130" ht="12" customHeight="1">
      <c r="A37" s="165">
        <v>45757</v>
      </c>
      <c r="B37" s="2" t="s">
        <v>1344</v>
      </c>
      <c r="C37" s="111" t="s">
        <v>1345</v>
      </c>
      <c r="D37" s="111" t="s">
        <v>1214</v>
      </c>
      <c r="E37" s="111" t="s">
        <v>1326</v>
      </c>
      <c r="F37" s="111" t="s">
        <v>1327</v>
      </c>
      <c r="G37" s="111" t="s">
        <v>1782</v>
      </c>
      <c r="H37" s="111" t="s">
        <v>1783</v>
      </c>
      <c r="I37" s="111" t="s">
        <v>1396</v>
      </c>
      <c r="J37" s="111" t="s">
        <v>1269</v>
      </c>
      <c r="K37" s="111">
        <v>1</v>
      </c>
      <c r="L37" s="111">
        <v>1</v>
      </c>
      <c r="M37" s="111">
        <v>1</v>
      </c>
      <c r="N37" s="111">
        <v>1</v>
      </c>
      <c r="O37" s="111">
        <v>4</v>
      </c>
      <c r="P37" s="111">
        <v>1</v>
      </c>
      <c r="Q37" s="111">
        <v>4</v>
      </c>
      <c r="R37" s="111">
        <v>4</v>
      </c>
      <c r="S37" s="111">
        <v>1</v>
      </c>
      <c r="T37" s="111">
        <v>4</v>
      </c>
      <c r="U37" s="111">
        <v>2</v>
      </c>
      <c r="V37" s="111">
        <v>3</v>
      </c>
      <c r="W37" s="111">
        <v>2</v>
      </c>
      <c r="X37" s="111">
        <v>1</v>
      </c>
      <c r="Y37" s="111">
        <v>1</v>
      </c>
      <c r="Z37" s="166">
        <v>336553</v>
      </c>
      <c r="AA37" s="167">
        <v>0.33655299999999999</v>
      </c>
      <c r="AB37" s="111">
        <v>1</v>
      </c>
      <c r="AC37" s="111">
        <v>1</v>
      </c>
      <c r="AD37" s="168">
        <v>1</v>
      </c>
      <c r="AE37" s="111">
        <v>1</v>
      </c>
      <c r="AF37" s="111">
        <v>1</v>
      </c>
      <c r="AG37" s="111">
        <v>1</v>
      </c>
      <c r="AH37" s="111">
        <v>1</v>
      </c>
      <c r="AI37" s="111">
        <v>1</v>
      </c>
      <c r="AJ37" s="111">
        <v>1</v>
      </c>
      <c r="AK37" s="111">
        <v>1</v>
      </c>
      <c r="AL37" s="111">
        <v>1</v>
      </c>
      <c r="AM37" s="111">
        <v>1</v>
      </c>
      <c r="AN37" s="111">
        <v>1</v>
      </c>
      <c r="AO37" s="111">
        <v>1</v>
      </c>
      <c r="AP37" s="111">
        <v>1</v>
      </c>
      <c r="AQ37" s="111">
        <v>1</v>
      </c>
      <c r="AR37" s="111">
        <v>1</v>
      </c>
      <c r="AS37" s="111">
        <v>1</v>
      </c>
      <c r="AT37" s="111">
        <v>1</v>
      </c>
      <c r="AU37" s="111">
        <v>1</v>
      </c>
      <c r="AV37" s="111">
        <v>1</v>
      </c>
      <c r="AW37" s="111">
        <v>1</v>
      </c>
      <c r="AX37" s="111" t="s">
        <v>926</v>
      </c>
      <c r="AY37" s="169">
        <v>4.2700000000000001E-5</v>
      </c>
      <c r="AZ37" s="169">
        <v>4.8000000000000001E-5</v>
      </c>
      <c r="BA37" s="166">
        <v>5</v>
      </c>
      <c r="BB37" s="166">
        <v>0</v>
      </c>
      <c r="BC37" s="169">
        <v>0</v>
      </c>
      <c r="BD37" s="166">
        <v>0</v>
      </c>
      <c r="BE37" s="166">
        <v>0</v>
      </c>
      <c r="BF37" s="169">
        <v>0.33660099999999998</v>
      </c>
      <c r="BG37" s="166">
        <v>5</v>
      </c>
      <c r="BH37" s="166">
        <v>0</v>
      </c>
      <c r="BI37" s="111" t="s">
        <v>926</v>
      </c>
      <c r="BJ37" s="111">
        <v>2</v>
      </c>
      <c r="BK37" s="170">
        <v>3</v>
      </c>
      <c r="BL37" s="111">
        <v>1</v>
      </c>
      <c r="BM37" s="111">
        <v>2</v>
      </c>
      <c r="BN37" s="111">
        <v>3</v>
      </c>
      <c r="BO37" s="111" t="s">
        <v>1335</v>
      </c>
      <c r="BP37" s="111" t="s">
        <v>1745</v>
      </c>
      <c r="BQ37" s="111" t="s">
        <v>1779</v>
      </c>
      <c r="BR37" s="111" t="s">
        <v>926</v>
      </c>
      <c r="BS37" s="111" t="s">
        <v>926</v>
      </c>
      <c r="BT37" s="111" t="s">
        <v>926</v>
      </c>
      <c r="BU37" s="111" t="s">
        <v>926</v>
      </c>
      <c r="BV37" s="111">
        <v>1</v>
      </c>
      <c r="BW37" s="2" t="s">
        <v>1182</v>
      </c>
      <c r="BX37" s="2" t="s">
        <v>1557</v>
      </c>
      <c r="BY37" s="2" t="s">
        <v>1337</v>
      </c>
      <c r="BZ37" s="2" t="s">
        <v>1338</v>
      </c>
      <c r="CA37" s="2" t="s">
        <v>1559</v>
      </c>
      <c r="CB37" s="2" t="s">
        <v>1340</v>
      </c>
      <c r="CC37" s="2" t="s">
        <v>1137</v>
      </c>
      <c r="CD37" s="2" t="s">
        <v>1138</v>
      </c>
      <c r="CE37" s="2" t="s">
        <v>1182</v>
      </c>
      <c r="CF37" s="111" t="s">
        <v>1139</v>
      </c>
      <c r="CG37" s="111" t="s">
        <v>1169</v>
      </c>
      <c r="CH37" s="177">
        <v>44917</v>
      </c>
      <c r="CI37" s="111">
        <v>22631.518899999999</v>
      </c>
      <c r="CJ37" s="111" t="s">
        <v>1560</v>
      </c>
      <c r="CK37" s="2" t="s">
        <v>1346</v>
      </c>
      <c r="CL37" s="111">
        <v>1</v>
      </c>
      <c r="CM37" s="183">
        <v>1</v>
      </c>
      <c r="CN37" s="183">
        <v>1</v>
      </c>
      <c r="CO37" s="111" t="s">
        <v>926</v>
      </c>
      <c r="CP37" s="111">
        <v>1</v>
      </c>
      <c r="CQ37" s="111">
        <v>3</v>
      </c>
      <c r="CR37" s="111">
        <v>1</v>
      </c>
      <c r="CS37" s="111">
        <v>1</v>
      </c>
      <c r="CT37" s="111">
        <v>1</v>
      </c>
      <c r="CU37" s="111">
        <v>2</v>
      </c>
      <c r="CV37" s="111">
        <v>2</v>
      </c>
      <c r="CW37" s="111">
        <v>2</v>
      </c>
      <c r="CX37" s="111">
        <v>1</v>
      </c>
      <c r="CY37" s="111">
        <v>2</v>
      </c>
      <c r="CZ37" s="111">
        <v>2</v>
      </c>
      <c r="DA37" s="111">
        <v>2</v>
      </c>
      <c r="DB37" s="111">
        <v>2</v>
      </c>
      <c r="DC37" s="111">
        <v>1</v>
      </c>
      <c r="DD37" s="111">
        <v>1</v>
      </c>
      <c r="DE37" s="111">
        <v>2</v>
      </c>
      <c r="DF37" s="111">
        <v>2</v>
      </c>
      <c r="DG37" s="111">
        <v>2</v>
      </c>
      <c r="DH37" s="111">
        <v>1</v>
      </c>
      <c r="DI37" s="111">
        <v>3</v>
      </c>
      <c r="DJ37" s="111">
        <v>2</v>
      </c>
      <c r="DK37" s="111">
        <v>2</v>
      </c>
      <c r="DL37" s="111" t="s">
        <v>926</v>
      </c>
      <c r="DM37" s="171" t="s">
        <v>926</v>
      </c>
      <c r="DN37" s="111" t="s">
        <v>926</v>
      </c>
      <c r="DO37" s="2" t="s">
        <v>926</v>
      </c>
      <c r="DP37" s="111" t="s">
        <v>926</v>
      </c>
      <c r="DQ37" s="111" t="s">
        <v>926</v>
      </c>
      <c r="DR37" s="111">
        <v>1</v>
      </c>
      <c r="DS37" s="111">
        <v>1</v>
      </c>
      <c r="DT37" s="111" t="s">
        <v>1324</v>
      </c>
      <c r="DU37" s="111" t="s">
        <v>971</v>
      </c>
      <c r="DV37" s="111" t="s">
        <v>1269</v>
      </c>
      <c r="DW37" s="111" t="s">
        <v>1269</v>
      </c>
      <c r="DX37" s="167">
        <v>0</v>
      </c>
      <c r="DY37" s="111">
        <v>1</v>
      </c>
      <c r="DZ37" s="124"/>
    </row>
    <row r="38" spans="1:130" ht="12" customHeight="1">
      <c r="A38" s="165">
        <v>45755</v>
      </c>
      <c r="B38" s="2" t="s">
        <v>1347</v>
      </c>
      <c r="C38" s="111" t="s">
        <v>926</v>
      </c>
      <c r="D38" s="111" t="s">
        <v>1214</v>
      </c>
      <c r="E38" s="111" t="s">
        <v>1326</v>
      </c>
      <c r="F38" s="111" t="s">
        <v>1348</v>
      </c>
      <c r="G38" s="111" t="s">
        <v>1784</v>
      </c>
      <c r="H38" s="111" t="s">
        <v>1785</v>
      </c>
      <c r="I38" s="111" t="s">
        <v>1666</v>
      </c>
      <c r="J38" s="111" t="s">
        <v>1269</v>
      </c>
      <c r="K38" s="111">
        <v>4</v>
      </c>
      <c r="L38" s="111">
        <v>3</v>
      </c>
      <c r="M38" s="111">
        <v>3</v>
      </c>
      <c r="N38" s="111">
        <v>4</v>
      </c>
      <c r="O38" s="111">
        <v>2</v>
      </c>
      <c r="P38" s="111">
        <v>2</v>
      </c>
      <c r="Q38" s="111">
        <v>2</v>
      </c>
      <c r="R38" s="111">
        <v>1</v>
      </c>
      <c r="S38" s="111">
        <v>4</v>
      </c>
      <c r="T38" s="111">
        <v>4</v>
      </c>
      <c r="U38" s="111">
        <v>3</v>
      </c>
      <c r="V38" s="111">
        <v>4</v>
      </c>
      <c r="W38" s="111">
        <v>3</v>
      </c>
      <c r="X38" s="111">
        <v>4</v>
      </c>
      <c r="Y38" s="111">
        <v>1</v>
      </c>
      <c r="Z38" s="166">
        <v>11753233</v>
      </c>
      <c r="AA38" s="167">
        <v>11.753233</v>
      </c>
      <c r="AB38" s="111">
        <v>1</v>
      </c>
      <c r="AC38" s="111">
        <v>1</v>
      </c>
      <c r="AD38" s="168">
        <v>1</v>
      </c>
      <c r="AE38" s="111">
        <v>1</v>
      </c>
      <c r="AF38" s="111">
        <v>1</v>
      </c>
      <c r="AG38" s="111">
        <v>1</v>
      </c>
      <c r="AH38" s="111">
        <v>1</v>
      </c>
      <c r="AI38" s="111">
        <v>1</v>
      </c>
      <c r="AJ38" s="111">
        <v>1</v>
      </c>
      <c r="AK38" s="111">
        <v>1</v>
      </c>
      <c r="AL38" s="111">
        <v>1</v>
      </c>
      <c r="AM38" s="111">
        <v>4</v>
      </c>
      <c r="AN38" s="111">
        <v>1</v>
      </c>
      <c r="AO38" s="111">
        <v>3</v>
      </c>
      <c r="AP38" s="111">
        <v>1</v>
      </c>
      <c r="AQ38" s="111">
        <v>1</v>
      </c>
      <c r="AR38" s="111">
        <v>1</v>
      </c>
      <c r="AS38" s="111">
        <v>1</v>
      </c>
      <c r="AT38" s="111">
        <v>1</v>
      </c>
      <c r="AU38" s="111">
        <v>1</v>
      </c>
      <c r="AV38" s="111">
        <v>1</v>
      </c>
      <c r="AW38" s="111">
        <v>1</v>
      </c>
      <c r="AX38" s="111" t="s">
        <v>926</v>
      </c>
      <c r="AY38" s="169">
        <v>17.2</v>
      </c>
      <c r="AZ38" s="169">
        <v>17.3</v>
      </c>
      <c r="BA38" s="166">
        <v>67197</v>
      </c>
      <c r="BB38" s="166">
        <v>3068</v>
      </c>
      <c r="BC38" s="169">
        <v>0.214</v>
      </c>
      <c r="BD38" s="166">
        <v>466</v>
      </c>
      <c r="BE38" s="166">
        <v>59</v>
      </c>
      <c r="BF38" s="169">
        <v>29.267232999999997</v>
      </c>
      <c r="BG38" s="166">
        <v>67663</v>
      </c>
      <c r="BH38" s="166">
        <v>3127</v>
      </c>
      <c r="BI38" s="111" t="s">
        <v>926</v>
      </c>
      <c r="BJ38" s="111">
        <v>1</v>
      </c>
      <c r="BK38" s="111">
        <v>1</v>
      </c>
      <c r="BL38" s="111">
        <v>1</v>
      </c>
      <c r="BM38" s="111">
        <v>2</v>
      </c>
      <c r="BN38" s="111">
        <v>3</v>
      </c>
      <c r="BO38" s="182" t="s">
        <v>1318</v>
      </c>
      <c r="BP38" s="111" t="s">
        <v>1683</v>
      </c>
      <c r="BQ38" s="111" t="s">
        <v>1772</v>
      </c>
      <c r="BR38" s="182" t="s">
        <v>1349</v>
      </c>
      <c r="BS38" s="182" t="s">
        <v>1350</v>
      </c>
      <c r="BT38" s="182" t="s">
        <v>1351</v>
      </c>
      <c r="BU38" s="111" t="s">
        <v>926</v>
      </c>
      <c r="BV38" s="111">
        <v>1</v>
      </c>
      <c r="BW38" s="2" t="s">
        <v>1182</v>
      </c>
      <c r="BX38" s="185" t="s">
        <v>1352</v>
      </c>
      <c r="BY38" s="2" t="s">
        <v>1353</v>
      </c>
      <c r="BZ38" s="2" t="s">
        <v>1354</v>
      </c>
      <c r="CA38" s="2" t="s">
        <v>1355</v>
      </c>
      <c r="CB38" s="2" t="s">
        <v>1356</v>
      </c>
      <c r="CC38" s="2" t="s">
        <v>1137</v>
      </c>
      <c r="CD38" s="2" t="s">
        <v>1167</v>
      </c>
      <c r="CE38" s="2" t="s">
        <v>1182</v>
      </c>
      <c r="CF38" s="111" t="s">
        <v>1168</v>
      </c>
      <c r="CG38" s="111" t="s">
        <v>1299</v>
      </c>
      <c r="CH38" s="111" t="s">
        <v>1357</v>
      </c>
      <c r="CI38" s="111">
        <v>22000.253799999999</v>
      </c>
      <c r="CJ38" s="111" t="s">
        <v>1358</v>
      </c>
      <c r="CK38" s="2" t="s">
        <v>1301</v>
      </c>
      <c r="CL38" s="111">
        <v>2</v>
      </c>
      <c r="CM38" s="183">
        <v>1</v>
      </c>
      <c r="CN38" s="183">
        <v>1</v>
      </c>
      <c r="CO38" s="111" t="s">
        <v>926</v>
      </c>
      <c r="CP38" s="111">
        <v>1</v>
      </c>
      <c r="CQ38" s="111">
        <v>2</v>
      </c>
      <c r="CR38" s="111">
        <v>1</v>
      </c>
      <c r="CS38" s="111">
        <v>1</v>
      </c>
      <c r="CT38" s="111">
        <v>1</v>
      </c>
      <c r="CU38" s="111">
        <v>2</v>
      </c>
      <c r="CV38" s="111">
        <v>2</v>
      </c>
      <c r="CW38" s="111">
        <v>4</v>
      </c>
      <c r="CX38" s="111">
        <v>1</v>
      </c>
      <c r="CY38" s="111">
        <v>2</v>
      </c>
      <c r="CZ38" s="111">
        <v>1</v>
      </c>
      <c r="DA38" s="111">
        <v>2</v>
      </c>
      <c r="DB38" s="111">
        <v>1</v>
      </c>
      <c r="DC38" s="111">
        <v>1</v>
      </c>
      <c r="DD38" s="111">
        <v>1</v>
      </c>
      <c r="DE38" s="111">
        <v>1</v>
      </c>
      <c r="DF38" s="111">
        <v>2</v>
      </c>
      <c r="DG38" s="111">
        <v>2</v>
      </c>
      <c r="DH38" s="111">
        <v>2</v>
      </c>
      <c r="DI38" s="111">
        <v>2</v>
      </c>
      <c r="DJ38" s="111">
        <v>1</v>
      </c>
      <c r="DK38" s="111">
        <v>1</v>
      </c>
      <c r="DL38" s="111" t="s">
        <v>967</v>
      </c>
      <c r="DM38" s="171"/>
      <c r="DN38" s="111" t="s">
        <v>1144</v>
      </c>
      <c r="DO38" s="2" t="s">
        <v>926</v>
      </c>
      <c r="DP38" s="111" t="s">
        <v>1145</v>
      </c>
      <c r="DQ38" s="111" t="s">
        <v>1174</v>
      </c>
      <c r="DR38" s="111">
        <v>1</v>
      </c>
      <c r="DS38" s="111">
        <v>1</v>
      </c>
      <c r="DT38" s="111" t="s">
        <v>1324</v>
      </c>
      <c r="DU38" s="111" t="s">
        <v>971</v>
      </c>
      <c r="DV38" s="111" t="s">
        <v>1269</v>
      </c>
      <c r="DW38" s="170" t="s">
        <v>1646</v>
      </c>
      <c r="DX38" s="167">
        <v>0.5</v>
      </c>
      <c r="DY38" s="111">
        <v>1</v>
      </c>
      <c r="DZ38" s="124"/>
    </row>
    <row r="39" spans="1:130" ht="12" hidden="1" customHeight="1">
      <c r="A39" s="165">
        <v>45756</v>
      </c>
      <c r="B39" s="2" t="s">
        <v>1359</v>
      </c>
      <c r="C39" s="111" t="s">
        <v>926</v>
      </c>
      <c r="D39" s="111" t="s">
        <v>1214</v>
      </c>
      <c r="E39" s="111" t="s">
        <v>1326</v>
      </c>
      <c r="F39" s="111" t="s">
        <v>1348</v>
      </c>
      <c r="G39" s="111" t="s">
        <v>1786</v>
      </c>
      <c r="H39" s="111" t="s">
        <v>1787</v>
      </c>
      <c r="I39" s="111" t="s">
        <v>1666</v>
      </c>
      <c r="J39" s="111" t="s">
        <v>1269</v>
      </c>
      <c r="K39" s="111">
        <v>4</v>
      </c>
      <c r="L39" s="111">
        <v>3</v>
      </c>
      <c r="M39" s="111">
        <v>3</v>
      </c>
      <c r="N39" s="111">
        <v>3</v>
      </c>
      <c r="O39" s="111">
        <v>3</v>
      </c>
      <c r="P39" s="111">
        <v>1</v>
      </c>
      <c r="Q39" s="111">
        <v>3</v>
      </c>
      <c r="R39" s="111">
        <v>1</v>
      </c>
      <c r="S39" s="111">
        <v>2</v>
      </c>
      <c r="T39" s="111">
        <v>4</v>
      </c>
      <c r="U39" s="111">
        <v>2</v>
      </c>
      <c r="V39" s="111">
        <v>2</v>
      </c>
      <c r="W39" s="111">
        <v>2</v>
      </c>
      <c r="X39" s="111">
        <v>2</v>
      </c>
      <c r="Y39" s="111">
        <v>1</v>
      </c>
      <c r="Z39" s="166">
        <v>8126481</v>
      </c>
      <c r="AA39" s="167">
        <v>8.1264810000000001</v>
      </c>
      <c r="AB39" s="111">
        <v>4</v>
      </c>
      <c r="AC39" s="111">
        <v>1</v>
      </c>
      <c r="AD39" s="168">
        <v>1</v>
      </c>
      <c r="AE39" s="111">
        <v>2</v>
      </c>
      <c r="AF39" s="111">
        <v>1</v>
      </c>
      <c r="AG39" s="111">
        <v>1</v>
      </c>
      <c r="AH39" s="111">
        <v>1</v>
      </c>
      <c r="AI39" s="111">
        <v>4</v>
      </c>
      <c r="AJ39" s="111">
        <v>1</v>
      </c>
      <c r="AK39" s="111">
        <v>1</v>
      </c>
      <c r="AL39" s="111">
        <v>1</v>
      </c>
      <c r="AM39" s="111">
        <v>4</v>
      </c>
      <c r="AN39" s="170">
        <v>1</v>
      </c>
      <c r="AO39" s="111">
        <v>1</v>
      </c>
      <c r="AP39" s="111">
        <v>1</v>
      </c>
      <c r="AQ39" s="111">
        <v>1</v>
      </c>
      <c r="AR39" s="111">
        <v>1</v>
      </c>
      <c r="AS39" s="111">
        <v>1</v>
      </c>
      <c r="AT39" s="111">
        <v>2</v>
      </c>
      <c r="AU39" s="111">
        <v>1</v>
      </c>
      <c r="AV39" s="111">
        <v>1</v>
      </c>
      <c r="AW39" s="111">
        <v>1</v>
      </c>
      <c r="AX39" s="111" t="s">
        <v>926</v>
      </c>
      <c r="AY39" s="169">
        <v>12.2</v>
      </c>
      <c r="AZ39" s="169">
        <v>12.2</v>
      </c>
      <c r="BA39" s="166">
        <v>21812</v>
      </c>
      <c r="BB39" s="166">
        <v>1873</v>
      </c>
      <c r="BC39" s="169">
        <v>4.1799999999999997E-2</v>
      </c>
      <c r="BD39" s="166">
        <v>39</v>
      </c>
      <c r="BE39" s="166">
        <v>2</v>
      </c>
      <c r="BF39" s="169">
        <v>20.368281</v>
      </c>
      <c r="BG39" s="166">
        <v>21851</v>
      </c>
      <c r="BH39" s="166">
        <v>1875</v>
      </c>
      <c r="BI39" s="111" t="s">
        <v>926</v>
      </c>
      <c r="BJ39" s="111">
        <v>1</v>
      </c>
      <c r="BK39" s="111">
        <v>1</v>
      </c>
      <c r="BL39" s="111">
        <v>1</v>
      </c>
      <c r="BM39" s="111">
        <v>2</v>
      </c>
      <c r="BN39" s="111">
        <v>2</v>
      </c>
      <c r="BO39" s="111" t="s">
        <v>1360</v>
      </c>
      <c r="BP39" s="111" t="s">
        <v>1745</v>
      </c>
      <c r="BQ39" s="111" t="s">
        <v>1788</v>
      </c>
      <c r="BR39" s="111" t="s">
        <v>926</v>
      </c>
      <c r="BS39" s="111" t="s">
        <v>926</v>
      </c>
      <c r="BT39" s="111" t="s">
        <v>926</v>
      </c>
      <c r="BU39" s="111" t="s">
        <v>926</v>
      </c>
      <c r="BV39" s="111">
        <v>1</v>
      </c>
      <c r="BW39" s="2" t="s">
        <v>1182</v>
      </c>
      <c r="BX39" s="2" t="s">
        <v>1361</v>
      </c>
      <c r="BY39" s="2" t="s">
        <v>1362</v>
      </c>
      <c r="BZ39" s="2" t="s">
        <v>1363</v>
      </c>
      <c r="CA39" s="2" t="s">
        <v>1364</v>
      </c>
      <c r="CB39" s="2" t="s">
        <v>1390</v>
      </c>
      <c r="CC39" s="2" t="s">
        <v>1137</v>
      </c>
      <c r="CD39" s="2" t="s">
        <v>1167</v>
      </c>
      <c r="CE39" s="2" t="s">
        <v>1182</v>
      </c>
      <c r="CF39" s="111" t="s">
        <v>1168</v>
      </c>
      <c r="CG39" s="111" t="s">
        <v>1140</v>
      </c>
      <c r="CH39" s="111" t="s">
        <v>1365</v>
      </c>
      <c r="CI39" s="111">
        <v>22621.431700000001</v>
      </c>
      <c r="CJ39" s="111" t="s">
        <v>1391</v>
      </c>
      <c r="CK39" s="2" t="s">
        <v>1366</v>
      </c>
      <c r="CL39" s="111">
        <v>2</v>
      </c>
      <c r="CM39" s="111">
        <v>2</v>
      </c>
      <c r="CN39" s="111">
        <v>2</v>
      </c>
      <c r="CO39" s="111" t="s">
        <v>926</v>
      </c>
      <c r="CP39" s="111">
        <v>1</v>
      </c>
      <c r="CQ39" s="111">
        <v>2</v>
      </c>
      <c r="CR39" s="111">
        <v>1</v>
      </c>
      <c r="CS39" s="111">
        <v>1</v>
      </c>
      <c r="CT39" s="111">
        <v>1</v>
      </c>
      <c r="CU39" s="111">
        <v>3</v>
      </c>
      <c r="CV39" s="111">
        <v>2</v>
      </c>
      <c r="CW39" s="111">
        <v>4</v>
      </c>
      <c r="CX39" s="111">
        <v>1</v>
      </c>
      <c r="CY39" s="111">
        <v>2</v>
      </c>
      <c r="CZ39" s="111">
        <v>1</v>
      </c>
      <c r="DA39" s="111">
        <v>2</v>
      </c>
      <c r="DB39" s="111">
        <v>2</v>
      </c>
      <c r="DC39" s="111">
        <v>1</v>
      </c>
      <c r="DD39" s="111">
        <v>1</v>
      </c>
      <c r="DE39" s="111">
        <v>2</v>
      </c>
      <c r="DF39" s="111">
        <v>2</v>
      </c>
      <c r="DG39" s="111">
        <v>2</v>
      </c>
      <c r="DH39" s="111">
        <v>1</v>
      </c>
      <c r="DI39" s="111">
        <v>2</v>
      </c>
      <c r="DJ39" s="111">
        <v>2</v>
      </c>
      <c r="DK39" s="111">
        <v>2</v>
      </c>
      <c r="DL39" s="111" t="s">
        <v>967</v>
      </c>
      <c r="DM39" s="171"/>
      <c r="DN39" s="111" t="s">
        <v>1144</v>
      </c>
      <c r="DO39" s="2" t="s">
        <v>926</v>
      </c>
      <c r="DP39" s="111" t="s">
        <v>1145</v>
      </c>
      <c r="DQ39" s="111" t="s">
        <v>1174</v>
      </c>
      <c r="DR39" s="111">
        <v>1</v>
      </c>
      <c r="DS39" s="111">
        <v>1</v>
      </c>
      <c r="DT39" s="111" t="s">
        <v>1324</v>
      </c>
      <c r="DU39" s="111" t="s">
        <v>971</v>
      </c>
      <c r="DV39" s="111" t="s">
        <v>1269</v>
      </c>
      <c r="DW39" s="170" t="s">
        <v>1646</v>
      </c>
      <c r="DX39" s="167">
        <v>0.5</v>
      </c>
      <c r="DY39" s="111">
        <v>1</v>
      </c>
      <c r="DZ39" s="124"/>
    </row>
    <row r="40" spans="1:130" ht="12" customHeight="1">
      <c r="A40" s="165">
        <v>45756</v>
      </c>
      <c r="B40" s="2" t="s">
        <v>1367</v>
      </c>
      <c r="C40" s="111" t="s">
        <v>1368</v>
      </c>
      <c r="D40" s="111" t="s">
        <v>1214</v>
      </c>
      <c r="E40" s="111" t="s">
        <v>1326</v>
      </c>
      <c r="F40" s="111" t="s">
        <v>1348</v>
      </c>
      <c r="G40" s="111" t="s">
        <v>1789</v>
      </c>
      <c r="H40" s="111" t="s">
        <v>1790</v>
      </c>
      <c r="I40" s="111" t="s">
        <v>1396</v>
      </c>
      <c r="J40" s="111" t="s">
        <v>1269</v>
      </c>
      <c r="K40" s="111">
        <v>4</v>
      </c>
      <c r="L40" s="111">
        <v>2</v>
      </c>
      <c r="M40" s="111">
        <v>3</v>
      </c>
      <c r="N40" s="111">
        <v>4</v>
      </c>
      <c r="O40" s="111">
        <v>3</v>
      </c>
      <c r="P40" s="111">
        <v>1</v>
      </c>
      <c r="Q40" s="111">
        <v>4</v>
      </c>
      <c r="R40" s="111">
        <v>4</v>
      </c>
      <c r="S40" s="111">
        <v>4</v>
      </c>
      <c r="T40" s="111">
        <v>4</v>
      </c>
      <c r="U40" s="111">
        <v>2</v>
      </c>
      <c r="V40" s="111">
        <v>4</v>
      </c>
      <c r="W40" s="111">
        <v>2</v>
      </c>
      <c r="X40" s="111">
        <v>1</v>
      </c>
      <c r="Y40" s="111">
        <v>1</v>
      </c>
      <c r="Z40" s="166">
        <v>5777177</v>
      </c>
      <c r="AA40" s="167">
        <v>5.777177</v>
      </c>
      <c r="AB40" s="111">
        <v>4</v>
      </c>
      <c r="AC40" s="111">
        <v>4</v>
      </c>
      <c r="AD40" s="168">
        <v>1</v>
      </c>
      <c r="AE40" s="111">
        <v>4</v>
      </c>
      <c r="AF40" s="111">
        <v>1</v>
      </c>
      <c r="AG40" s="111">
        <v>1</v>
      </c>
      <c r="AH40" s="111">
        <v>1</v>
      </c>
      <c r="AI40" s="111">
        <v>1</v>
      </c>
      <c r="AJ40" s="111">
        <v>1</v>
      </c>
      <c r="AK40" s="111">
        <v>1</v>
      </c>
      <c r="AL40" s="111">
        <v>1</v>
      </c>
      <c r="AM40" s="111">
        <v>3</v>
      </c>
      <c r="AN40" s="170">
        <v>1</v>
      </c>
      <c r="AO40" s="111">
        <v>3</v>
      </c>
      <c r="AP40" s="111">
        <v>1</v>
      </c>
      <c r="AQ40" s="111">
        <v>1</v>
      </c>
      <c r="AR40" s="111">
        <v>1</v>
      </c>
      <c r="AS40" s="111">
        <v>1</v>
      </c>
      <c r="AT40" s="111">
        <v>1</v>
      </c>
      <c r="AU40" s="111">
        <v>1</v>
      </c>
      <c r="AV40" s="111">
        <v>1</v>
      </c>
      <c r="AW40" s="111">
        <v>1</v>
      </c>
      <c r="AX40" s="111" t="s">
        <v>926</v>
      </c>
      <c r="AY40" s="169">
        <v>7.16</v>
      </c>
      <c r="AZ40" s="169">
        <v>7.19</v>
      </c>
      <c r="BA40" s="166">
        <v>14959</v>
      </c>
      <c r="BB40" s="166">
        <v>1468</v>
      </c>
      <c r="BC40" s="169">
        <v>0</v>
      </c>
      <c r="BD40" s="166">
        <v>0</v>
      </c>
      <c r="BE40" s="166">
        <v>0</v>
      </c>
      <c r="BF40" s="169">
        <v>12.967177</v>
      </c>
      <c r="BG40" s="166">
        <v>14959</v>
      </c>
      <c r="BH40" s="166">
        <v>1468</v>
      </c>
      <c r="BI40" s="111" t="s">
        <v>926</v>
      </c>
      <c r="BJ40" s="111">
        <v>2</v>
      </c>
      <c r="BK40" s="170">
        <v>3</v>
      </c>
      <c r="BL40" s="111">
        <v>1</v>
      </c>
      <c r="BM40" s="111">
        <v>2</v>
      </c>
      <c r="BN40" s="111">
        <v>3</v>
      </c>
      <c r="BO40" s="111" t="s">
        <v>1369</v>
      </c>
      <c r="BP40" s="111" t="s">
        <v>1745</v>
      </c>
      <c r="BQ40" s="111" t="s">
        <v>1791</v>
      </c>
      <c r="BR40" s="111" t="s">
        <v>926</v>
      </c>
      <c r="BS40" s="111" t="s">
        <v>926</v>
      </c>
      <c r="BT40" s="111" t="s">
        <v>926</v>
      </c>
      <c r="BU40" s="111" t="s">
        <v>926</v>
      </c>
      <c r="BV40" s="111">
        <v>3</v>
      </c>
      <c r="BW40" s="2" t="s">
        <v>1182</v>
      </c>
      <c r="BX40" s="2" t="s">
        <v>1370</v>
      </c>
      <c r="BY40" s="2" t="s">
        <v>1371</v>
      </c>
      <c r="BZ40" s="2" t="s">
        <v>1372</v>
      </c>
      <c r="CA40" s="2" t="s">
        <v>1373</v>
      </c>
      <c r="CB40" s="2" t="s">
        <v>1374</v>
      </c>
      <c r="CC40" s="2" t="s">
        <v>1137</v>
      </c>
      <c r="CD40" s="2" t="s">
        <v>1138</v>
      </c>
      <c r="CE40" s="2" t="s">
        <v>1182</v>
      </c>
      <c r="CF40" s="111" t="s">
        <v>1168</v>
      </c>
      <c r="CG40" s="111" t="s">
        <v>1184</v>
      </c>
      <c r="CH40" s="111" t="s">
        <v>1375</v>
      </c>
      <c r="CI40" s="111">
        <v>26100.347600000001</v>
      </c>
      <c r="CJ40" s="111" t="s">
        <v>1563</v>
      </c>
      <c r="CK40" s="2" t="s">
        <v>1198</v>
      </c>
      <c r="CL40" s="111">
        <v>1</v>
      </c>
      <c r="CM40" s="111">
        <v>2</v>
      </c>
      <c r="CN40" s="111">
        <v>2</v>
      </c>
      <c r="CO40" s="111" t="s">
        <v>926</v>
      </c>
      <c r="CP40" s="111">
        <v>2</v>
      </c>
      <c r="CQ40" s="111">
        <v>4</v>
      </c>
      <c r="CR40" s="111">
        <v>2</v>
      </c>
      <c r="CS40" s="111">
        <v>2</v>
      </c>
      <c r="CT40" s="111">
        <v>2</v>
      </c>
      <c r="CU40" s="111">
        <v>3</v>
      </c>
      <c r="CV40" s="111">
        <v>3</v>
      </c>
      <c r="CW40" s="111">
        <v>4</v>
      </c>
      <c r="CX40" s="111">
        <v>2</v>
      </c>
      <c r="CY40" s="111">
        <v>2</v>
      </c>
      <c r="CZ40" s="111">
        <v>2</v>
      </c>
      <c r="DA40" s="111">
        <v>2</v>
      </c>
      <c r="DB40" s="111">
        <v>3</v>
      </c>
      <c r="DC40" s="111">
        <v>2</v>
      </c>
      <c r="DD40" s="111">
        <v>2</v>
      </c>
      <c r="DE40" s="111">
        <v>2</v>
      </c>
      <c r="DF40" s="111">
        <v>3</v>
      </c>
      <c r="DG40" s="111">
        <v>2</v>
      </c>
      <c r="DH40" s="111">
        <v>2</v>
      </c>
      <c r="DI40" s="111">
        <v>2</v>
      </c>
      <c r="DJ40" s="111">
        <v>2</v>
      </c>
      <c r="DK40" s="111">
        <v>2</v>
      </c>
      <c r="DL40" s="111" t="s">
        <v>926</v>
      </c>
      <c r="DM40" s="171" t="s">
        <v>926</v>
      </c>
      <c r="DN40" s="111" t="s">
        <v>926</v>
      </c>
      <c r="DO40" s="2" t="s">
        <v>926</v>
      </c>
      <c r="DP40" s="111" t="s">
        <v>926</v>
      </c>
      <c r="DQ40" s="111" t="s">
        <v>926</v>
      </c>
      <c r="DR40" s="111">
        <v>1</v>
      </c>
      <c r="DS40" s="111">
        <v>1</v>
      </c>
      <c r="DT40" s="111" t="s">
        <v>1324</v>
      </c>
      <c r="DU40" s="111" t="s">
        <v>971</v>
      </c>
      <c r="DV40" s="111" t="s">
        <v>1269</v>
      </c>
      <c r="DW40" s="111" t="s">
        <v>1269</v>
      </c>
      <c r="DX40" s="167">
        <v>0</v>
      </c>
      <c r="DY40" s="111">
        <v>1</v>
      </c>
      <c r="DZ40" s="124"/>
    </row>
    <row r="41" spans="1:130" ht="12" hidden="1" customHeight="1">
      <c r="A41" s="165">
        <v>45755</v>
      </c>
      <c r="B41" s="2" t="s">
        <v>1376</v>
      </c>
      <c r="C41" s="111" t="s">
        <v>1377</v>
      </c>
      <c r="D41" s="111" t="s">
        <v>1214</v>
      </c>
      <c r="E41" s="111" t="s">
        <v>1326</v>
      </c>
      <c r="F41" s="111" t="s">
        <v>1348</v>
      </c>
      <c r="G41" s="111" t="s">
        <v>1792</v>
      </c>
      <c r="H41" s="111" t="s">
        <v>1793</v>
      </c>
      <c r="I41" s="111" t="s">
        <v>1396</v>
      </c>
      <c r="J41" s="111" t="s">
        <v>1269</v>
      </c>
      <c r="K41" s="111">
        <v>4</v>
      </c>
      <c r="L41" s="111">
        <v>4</v>
      </c>
      <c r="M41" s="111">
        <v>3</v>
      </c>
      <c r="N41" s="111">
        <v>4</v>
      </c>
      <c r="O41" s="111">
        <v>3</v>
      </c>
      <c r="P41" s="111">
        <v>2</v>
      </c>
      <c r="Q41" s="111">
        <v>3</v>
      </c>
      <c r="R41" s="111">
        <v>2</v>
      </c>
      <c r="S41" s="111">
        <v>2</v>
      </c>
      <c r="T41" s="111">
        <v>4</v>
      </c>
      <c r="U41" s="111">
        <v>4</v>
      </c>
      <c r="V41" s="111">
        <v>2</v>
      </c>
      <c r="W41" s="111">
        <v>3</v>
      </c>
      <c r="X41" s="111">
        <v>2</v>
      </c>
      <c r="Y41" s="111">
        <v>1</v>
      </c>
      <c r="Z41" s="166">
        <v>3828393</v>
      </c>
      <c r="AA41" s="167">
        <v>3.8283930000000002</v>
      </c>
      <c r="AB41" s="111">
        <v>4</v>
      </c>
      <c r="AC41" s="111">
        <v>4</v>
      </c>
      <c r="AD41" s="168">
        <v>1</v>
      </c>
      <c r="AE41" s="111">
        <v>2</v>
      </c>
      <c r="AF41" s="111">
        <v>1</v>
      </c>
      <c r="AG41" s="111">
        <v>1</v>
      </c>
      <c r="AH41" s="111">
        <v>1</v>
      </c>
      <c r="AI41" s="111">
        <v>4</v>
      </c>
      <c r="AJ41" s="111">
        <v>4</v>
      </c>
      <c r="AK41" s="111">
        <v>1</v>
      </c>
      <c r="AL41" s="111">
        <v>2</v>
      </c>
      <c r="AM41" s="111">
        <v>3</v>
      </c>
      <c r="AN41" s="170">
        <v>1</v>
      </c>
      <c r="AO41" s="111">
        <v>3</v>
      </c>
      <c r="AP41" s="111">
        <v>1</v>
      </c>
      <c r="AQ41" s="111">
        <v>1</v>
      </c>
      <c r="AR41" s="111">
        <v>1</v>
      </c>
      <c r="AS41" s="111">
        <v>1</v>
      </c>
      <c r="AT41" s="111">
        <v>1</v>
      </c>
      <c r="AU41" s="111">
        <v>1</v>
      </c>
      <c r="AV41" s="111">
        <v>1</v>
      </c>
      <c r="AW41" s="111">
        <v>1</v>
      </c>
      <c r="AX41" s="111" t="s">
        <v>926</v>
      </c>
      <c r="AY41" s="169">
        <v>6.2</v>
      </c>
      <c r="AZ41" s="169">
        <v>6.25</v>
      </c>
      <c r="BA41" s="166">
        <v>23723</v>
      </c>
      <c r="BB41" s="166">
        <v>1717</v>
      </c>
      <c r="BC41" s="169">
        <v>0</v>
      </c>
      <c r="BD41" s="166">
        <v>0</v>
      </c>
      <c r="BE41" s="166">
        <v>0</v>
      </c>
      <c r="BF41" s="169">
        <v>10.078393</v>
      </c>
      <c r="BG41" s="166">
        <v>23723</v>
      </c>
      <c r="BH41" s="166">
        <v>1717</v>
      </c>
      <c r="BI41" s="111" t="s">
        <v>926</v>
      </c>
      <c r="BJ41" s="111">
        <v>2</v>
      </c>
      <c r="BK41" s="170">
        <v>3</v>
      </c>
      <c r="BL41" s="170">
        <v>1</v>
      </c>
      <c r="BM41" s="111">
        <v>2</v>
      </c>
      <c r="BN41" s="111">
        <v>2</v>
      </c>
      <c r="BO41" s="111" t="s">
        <v>1545</v>
      </c>
      <c r="BP41" s="111" t="s">
        <v>1683</v>
      </c>
      <c r="BQ41" s="111" t="s">
        <v>1794</v>
      </c>
      <c r="BR41" s="111" t="s">
        <v>926</v>
      </c>
      <c r="BS41" s="111" t="s">
        <v>926</v>
      </c>
      <c r="BT41" s="111" t="s">
        <v>926</v>
      </c>
      <c r="BU41" s="111" t="s">
        <v>926</v>
      </c>
      <c r="BV41" s="111">
        <v>1</v>
      </c>
      <c r="BW41" s="2" t="s">
        <v>1182</v>
      </c>
      <c r="BX41" s="2" t="s">
        <v>1378</v>
      </c>
      <c r="BY41" s="2" t="s">
        <v>1371</v>
      </c>
      <c r="BZ41" s="2" t="s">
        <v>1372</v>
      </c>
      <c r="CA41" s="2" t="s">
        <v>1379</v>
      </c>
      <c r="CB41" s="2" t="s">
        <v>1380</v>
      </c>
      <c r="CC41" s="2" t="s">
        <v>1137</v>
      </c>
      <c r="CD41" s="2" t="s">
        <v>1138</v>
      </c>
      <c r="CE41" s="2" t="s">
        <v>1182</v>
      </c>
      <c r="CF41" s="111" t="s">
        <v>1168</v>
      </c>
      <c r="CG41" s="111" t="s">
        <v>1184</v>
      </c>
      <c r="CH41" s="111" t="s">
        <v>1381</v>
      </c>
      <c r="CI41" s="111">
        <v>26100.289400000001</v>
      </c>
      <c r="CJ41" s="111" t="s">
        <v>1382</v>
      </c>
      <c r="CK41" s="2" t="s">
        <v>1383</v>
      </c>
      <c r="CL41" s="111">
        <v>1</v>
      </c>
      <c r="CM41" s="111">
        <v>2</v>
      </c>
      <c r="CN41" s="111">
        <v>2</v>
      </c>
      <c r="CO41" s="111" t="s">
        <v>926</v>
      </c>
      <c r="CP41" s="111">
        <v>1</v>
      </c>
      <c r="CQ41" s="111">
        <v>3</v>
      </c>
      <c r="CR41" s="111">
        <v>1</v>
      </c>
      <c r="CS41" s="111">
        <v>1</v>
      </c>
      <c r="CT41" s="111">
        <v>1</v>
      </c>
      <c r="CU41" s="111">
        <v>4</v>
      </c>
      <c r="CV41" s="111">
        <v>2</v>
      </c>
      <c r="CW41" s="111">
        <v>4</v>
      </c>
      <c r="CX41" s="111">
        <v>1</v>
      </c>
      <c r="CY41" s="111">
        <v>2</v>
      </c>
      <c r="CZ41" s="111">
        <v>1</v>
      </c>
      <c r="DA41" s="111">
        <v>2</v>
      </c>
      <c r="DB41" s="111">
        <v>2</v>
      </c>
      <c r="DC41" s="111">
        <v>1</v>
      </c>
      <c r="DD41" s="111">
        <v>1</v>
      </c>
      <c r="DE41" s="111">
        <v>2</v>
      </c>
      <c r="DF41" s="111">
        <v>3</v>
      </c>
      <c r="DG41" s="111">
        <v>2</v>
      </c>
      <c r="DH41" s="111">
        <v>1</v>
      </c>
      <c r="DI41" s="111">
        <v>2</v>
      </c>
      <c r="DJ41" s="111">
        <v>2</v>
      </c>
      <c r="DK41" s="111">
        <v>2</v>
      </c>
      <c r="DL41" s="111" t="s">
        <v>926</v>
      </c>
      <c r="DM41" s="171" t="s">
        <v>926</v>
      </c>
      <c r="DN41" s="111" t="s">
        <v>926</v>
      </c>
      <c r="DO41" s="2" t="s">
        <v>926</v>
      </c>
      <c r="DP41" s="111" t="s">
        <v>926</v>
      </c>
      <c r="DQ41" s="111" t="s">
        <v>926</v>
      </c>
      <c r="DR41" s="111">
        <v>1</v>
      </c>
      <c r="DS41" s="111">
        <v>1</v>
      </c>
      <c r="DT41" s="111" t="s">
        <v>1324</v>
      </c>
      <c r="DU41" s="111" t="s">
        <v>971</v>
      </c>
      <c r="DV41" s="111" t="s">
        <v>1269</v>
      </c>
      <c r="DW41" s="111" t="s">
        <v>1269</v>
      </c>
      <c r="DX41" s="167">
        <v>0</v>
      </c>
      <c r="DY41" s="111">
        <v>1</v>
      </c>
      <c r="DZ41" s="124" t="s">
        <v>1384</v>
      </c>
    </row>
    <row r="42" spans="1:130" ht="12" hidden="1" customHeight="1">
      <c r="A42" s="165">
        <v>45755</v>
      </c>
      <c r="B42" s="2" t="s">
        <v>1385</v>
      </c>
      <c r="C42" s="111" t="s">
        <v>1368</v>
      </c>
      <c r="D42" s="111" t="s">
        <v>1214</v>
      </c>
      <c r="E42" s="111" t="s">
        <v>1326</v>
      </c>
      <c r="F42" s="111" t="s">
        <v>1348</v>
      </c>
      <c r="G42" s="111" t="s">
        <v>1795</v>
      </c>
      <c r="H42" s="111" t="s">
        <v>1796</v>
      </c>
      <c r="I42" s="111" t="s">
        <v>1396</v>
      </c>
      <c r="J42" s="111" t="s">
        <v>1269</v>
      </c>
      <c r="K42" s="111">
        <v>4</v>
      </c>
      <c r="L42" s="111">
        <v>3</v>
      </c>
      <c r="M42" s="111">
        <v>2</v>
      </c>
      <c r="N42" s="111">
        <v>4</v>
      </c>
      <c r="O42" s="111">
        <v>1</v>
      </c>
      <c r="P42" s="111">
        <v>1</v>
      </c>
      <c r="Q42" s="111">
        <v>4</v>
      </c>
      <c r="R42" s="111">
        <v>4</v>
      </c>
      <c r="S42" s="111">
        <v>4</v>
      </c>
      <c r="T42" s="111">
        <v>4</v>
      </c>
      <c r="U42" s="111">
        <v>2</v>
      </c>
      <c r="V42" s="111">
        <v>2</v>
      </c>
      <c r="W42" s="111">
        <v>3</v>
      </c>
      <c r="X42" s="111">
        <v>4</v>
      </c>
      <c r="Y42" s="111">
        <v>1</v>
      </c>
      <c r="Z42" s="166">
        <v>625</v>
      </c>
      <c r="AA42" s="167">
        <v>6.2500000000000001E-4</v>
      </c>
      <c r="AB42" s="111">
        <v>4</v>
      </c>
      <c r="AC42" s="111">
        <v>3</v>
      </c>
      <c r="AD42" s="168">
        <v>1</v>
      </c>
      <c r="AE42" s="111">
        <v>4</v>
      </c>
      <c r="AF42" s="111">
        <v>1</v>
      </c>
      <c r="AG42" s="111">
        <v>1</v>
      </c>
      <c r="AH42" s="111">
        <v>1</v>
      </c>
      <c r="AI42" s="111">
        <v>1</v>
      </c>
      <c r="AJ42" s="111">
        <v>1</v>
      </c>
      <c r="AK42" s="111">
        <v>1</v>
      </c>
      <c r="AL42" s="111">
        <v>4</v>
      </c>
      <c r="AM42" s="111">
        <v>3</v>
      </c>
      <c r="AN42" s="170">
        <v>1</v>
      </c>
      <c r="AO42" s="111">
        <v>3</v>
      </c>
      <c r="AP42" s="111">
        <v>1</v>
      </c>
      <c r="AQ42" s="111">
        <v>1</v>
      </c>
      <c r="AR42" s="111">
        <v>1</v>
      </c>
      <c r="AS42" s="111">
        <v>1</v>
      </c>
      <c r="AT42" s="111">
        <v>1</v>
      </c>
      <c r="AU42" s="111">
        <v>1</v>
      </c>
      <c r="AV42" s="111">
        <v>1</v>
      </c>
      <c r="AW42" s="111">
        <v>1</v>
      </c>
      <c r="AX42" s="111" t="s">
        <v>926</v>
      </c>
      <c r="AY42" s="169">
        <v>3.38</v>
      </c>
      <c r="AZ42" s="169">
        <v>3.47</v>
      </c>
      <c r="BA42" s="166">
        <v>43874</v>
      </c>
      <c r="BB42" s="166">
        <v>2099</v>
      </c>
      <c r="BC42" s="169">
        <v>5.6799999999999993E-3</v>
      </c>
      <c r="BD42" s="166">
        <v>3</v>
      </c>
      <c r="BE42" s="166">
        <v>0</v>
      </c>
      <c r="BF42" s="169">
        <v>3.476305</v>
      </c>
      <c r="BG42" s="166">
        <v>43877</v>
      </c>
      <c r="BH42" s="166">
        <v>2099</v>
      </c>
      <c r="BI42" s="111" t="s">
        <v>926</v>
      </c>
      <c r="BJ42" s="111">
        <v>2</v>
      </c>
      <c r="BK42" s="170">
        <v>3</v>
      </c>
      <c r="BL42" s="111">
        <v>1</v>
      </c>
      <c r="BM42" s="111">
        <v>2</v>
      </c>
      <c r="BN42" s="111">
        <v>2</v>
      </c>
      <c r="BO42" s="111" t="s">
        <v>1369</v>
      </c>
      <c r="BP42" s="111" t="s">
        <v>1745</v>
      </c>
      <c r="BQ42" s="111" t="s">
        <v>1791</v>
      </c>
      <c r="BR42" s="111" t="s">
        <v>926</v>
      </c>
      <c r="BS42" s="111" t="s">
        <v>926</v>
      </c>
      <c r="BT42" s="111" t="s">
        <v>926</v>
      </c>
      <c r="BU42" s="111" t="s">
        <v>926</v>
      </c>
      <c r="BV42" s="111">
        <v>3</v>
      </c>
      <c r="BW42" s="2" t="s">
        <v>1182</v>
      </c>
      <c r="BX42" s="2" t="s">
        <v>1370</v>
      </c>
      <c r="BY42" s="2" t="s">
        <v>1371</v>
      </c>
      <c r="BZ42" s="2" t="s">
        <v>1372</v>
      </c>
      <c r="CA42" s="2" t="s">
        <v>1373</v>
      </c>
      <c r="CB42" s="2" t="s">
        <v>1374</v>
      </c>
      <c r="CC42" s="2" t="s">
        <v>1137</v>
      </c>
      <c r="CD42" s="2" t="s">
        <v>1138</v>
      </c>
      <c r="CE42" s="2" t="s">
        <v>1182</v>
      </c>
      <c r="CF42" s="111" t="s">
        <v>1168</v>
      </c>
      <c r="CG42" s="111" t="s">
        <v>1184</v>
      </c>
      <c r="CH42" s="111" t="s">
        <v>1375</v>
      </c>
      <c r="CI42" s="111">
        <v>26100.347600000001</v>
      </c>
      <c r="CJ42" s="111" t="s">
        <v>1563</v>
      </c>
      <c r="CK42" s="2" t="s">
        <v>1198</v>
      </c>
      <c r="CL42" s="111">
        <v>1</v>
      </c>
      <c r="CM42" s="111">
        <v>2</v>
      </c>
      <c r="CN42" s="111">
        <v>2</v>
      </c>
      <c r="CO42" s="111" t="s">
        <v>926</v>
      </c>
      <c r="CP42" s="111">
        <v>1</v>
      </c>
      <c r="CQ42" s="111">
        <v>4</v>
      </c>
      <c r="CR42" s="111">
        <v>1</v>
      </c>
      <c r="CS42" s="111">
        <v>1</v>
      </c>
      <c r="CT42" s="111">
        <v>1</v>
      </c>
      <c r="CU42" s="111">
        <v>4</v>
      </c>
      <c r="CV42" s="111">
        <v>4</v>
      </c>
      <c r="CW42" s="111">
        <v>3</v>
      </c>
      <c r="CX42" s="111">
        <v>1</v>
      </c>
      <c r="CY42" s="111">
        <v>1</v>
      </c>
      <c r="CZ42" s="111">
        <v>1</v>
      </c>
      <c r="DA42" s="111">
        <v>1</v>
      </c>
      <c r="DB42" s="111">
        <v>1</v>
      </c>
      <c r="DC42" s="111">
        <v>1</v>
      </c>
      <c r="DD42" s="111">
        <v>1</v>
      </c>
      <c r="DE42" s="111">
        <v>1</v>
      </c>
      <c r="DF42" s="111">
        <v>1</v>
      </c>
      <c r="DG42" s="111">
        <v>1</v>
      </c>
      <c r="DH42" s="111">
        <v>1</v>
      </c>
      <c r="DI42" s="111">
        <v>1</v>
      </c>
      <c r="DJ42" s="111">
        <v>1</v>
      </c>
      <c r="DK42" s="111">
        <v>1</v>
      </c>
      <c r="DL42" s="111" t="s">
        <v>926</v>
      </c>
      <c r="DM42" s="171" t="s">
        <v>926</v>
      </c>
      <c r="DN42" s="111" t="s">
        <v>926</v>
      </c>
      <c r="DO42" s="2" t="s">
        <v>926</v>
      </c>
      <c r="DP42" s="111" t="s">
        <v>926</v>
      </c>
      <c r="DQ42" s="111" t="s">
        <v>926</v>
      </c>
      <c r="DR42" s="111">
        <v>1</v>
      </c>
      <c r="DS42" s="111">
        <v>1</v>
      </c>
      <c r="DT42" s="111" t="s">
        <v>1324</v>
      </c>
      <c r="DU42" s="111" t="s">
        <v>971</v>
      </c>
      <c r="DV42" s="111" t="s">
        <v>1269</v>
      </c>
      <c r="DW42" s="111" t="s">
        <v>1269</v>
      </c>
      <c r="DX42" s="167">
        <v>0</v>
      </c>
      <c r="DY42" s="111">
        <v>1</v>
      </c>
      <c r="DZ42" s="124" t="s">
        <v>1386</v>
      </c>
    </row>
    <row r="43" spans="1:130" ht="12" hidden="1" customHeight="1">
      <c r="A43" s="165">
        <v>45757</v>
      </c>
      <c r="B43" s="2" t="s">
        <v>1387</v>
      </c>
      <c r="C43" s="111" t="s">
        <v>926</v>
      </c>
      <c r="D43" s="111" t="s">
        <v>1214</v>
      </c>
      <c r="E43" s="111" t="s">
        <v>1326</v>
      </c>
      <c r="F43" s="111" t="s">
        <v>1348</v>
      </c>
      <c r="G43" s="111" t="s">
        <v>1797</v>
      </c>
      <c r="H43" s="111" t="s">
        <v>1798</v>
      </c>
      <c r="I43" s="111" t="s">
        <v>1396</v>
      </c>
      <c r="J43" s="111" t="s">
        <v>1269</v>
      </c>
      <c r="K43" s="111">
        <v>1</v>
      </c>
      <c r="L43" s="111">
        <v>1</v>
      </c>
      <c r="M43" s="111">
        <v>1</v>
      </c>
      <c r="N43" s="111">
        <v>1</v>
      </c>
      <c r="O43" s="111">
        <v>3</v>
      </c>
      <c r="P43" s="111">
        <v>1</v>
      </c>
      <c r="Q43" s="111">
        <v>4</v>
      </c>
      <c r="R43" s="111">
        <v>4</v>
      </c>
      <c r="S43" s="111">
        <v>1</v>
      </c>
      <c r="T43" s="111">
        <v>1</v>
      </c>
      <c r="U43" s="111">
        <v>2</v>
      </c>
      <c r="V43" s="111">
        <v>1</v>
      </c>
      <c r="W43" s="111">
        <v>1</v>
      </c>
      <c r="X43" s="111">
        <v>1</v>
      </c>
      <c r="Y43" s="111">
        <v>1</v>
      </c>
      <c r="Z43" s="166">
        <v>2016753</v>
      </c>
      <c r="AA43" s="167">
        <v>2.016753</v>
      </c>
      <c r="AB43" s="111">
        <v>1</v>
      </c>
      <c r="AC43" s="111">
        <v>1</v>
      </c>
      <c r="AD43" s="168">
        <v>1</v>
      </c>
      <c r="AE43" s="111">
        <v>1</v>
      </c>
      <c r="AF43" s="111">
        <v>1</v>
      </c>
      <c r="AG43" s="111">
        <v>1</v>
      </c>
      <c r="AH43" s="111">
        <v>1</v>
      </c>
      <c r="AI43" s="111">
        <v>1</v>
      </c>
      <c r="AJ43" s="111">
        <v>1</v>
      </c>
      <c r="AK43" s="111">
        <v>1</v>
      </c>
      <c r="AL43" s="111">
        <v>1</v>
      </c>
      <c r="AM43" s="111">
        <v>1</v>
      </c>
      <c r="AN43" s="111">
        <v>1</v>
      </c>
      <c r="AO43" s="111">
        <v>1</v>
      </c>
      <c r="AP43" s="111">
        <v>1</v>
      </c>
      <c r="AQ43" s="111">
        <v>1</v>
      </c>
      <c r="AR43" s="111">
        <v>1</v>
      </c>
      <c r="AS43" s="111">
        <v>1</v>
      </c>
      <c r="AT43" s="111">
        <v>1</v>
      </c>
      <c r="AU43" s="111">
        <v>1</v>
      </c>
      <c r="AV43" s="111">
        <v>1</v>
      </c>
      <c r="AW43" s="111">
        <v>1</v>
      </c>
      <c r="AX43" s="111" t="s">
        <v>926</v>
      </c>
      <c r="AY43" s="169">
        <v>12.2</v>
      </c>
      <c r="AZ43" s="169">
        <v>12.2</v>
      </c>
      <c r="BA43" s="166">
        <v>21812</v>
      </c>
      <c r="BB43" s="166">
        <v>1873</v>
      </c>
      <c r="BC43" s="169" t="s">
        <v>926</v>
      </c>
      <c r="BD43" s="166" t="s">
        <v>926</v>
      </c>
      <c r="BE43" s="166" t="s">
        <v>926</v>
      </c>
      <c r="BF43" s="169">
        <v>14.216752999999999</v>
      </c>
      <c r="BG43" s="166">
        <v>21812</v>
      </c>
      <c r="BH43" s="166">
        <v>1873</v>
      </c>
      <c r="BI43" s="111" t="s">
        <v>926</v>
      </c>
      <c r="BJ43" s="111">
        <v>2</v>
      </c>
      <c r="BK43" s="111">
        <v>1</v>
      </c>
      <c r="BL43" s="111">
        <v>1</v>
      </c>
      <c r="BM43" s="111">
        <v>2</v>
      </c>
      <c r="BN43" s="111">
        <v>2</v>
      </c>
      <c r="BO43" s="111" t="s">
        <v>1388</v>
      </c>
      <c r="BP43" s="111" t="s">
        <v>1683</v>
      </c>
      <c r="BQ43" s="111" t="s">
        <v>1799</v>
      </c>
      <c r="BR43" s="111" t="s">
        <v>926</v>
      </c>
      <c r="BS43" s="111" t="s">
        <v>926</v>
      </c>
      <c r="BT43" s="111" t="s">
        <v>926</v>
      </c>
      <c r="BU43" s="111" t="s">
        <v>926</v>
      </c>
      <c r="BV43" s="111">
        <v>1</v>
      </c>
      <c r="BW43" s="2" t="s">
        <v>1182</v>
      </c>
      <c r="BX43" s="2" t="s">
        <v>1361</v>
      </c>
      <c r="BY43" s="2" t="s">
        <v>1389</v>
      </c>
      <c r="BZ43" s="2" t="s">
        <v>1363</v>
      </c>
      <c r="CA43" s="2" t="s">
        <v>1364</v>
      </c>
      <c r="CB43" s="2" t="s">
        <v>1390</v>
      </c>
      <c r="CC43" s="2" t="s">
        <v>1137</v>
      </c>
      <c r="CD43" s="2" t="s">
        <v>1167</v>
      </c>
      <c r="CE43" s="2" t="s">
        <v>1182</v>
      </c>
      <c r="CF43" s="111" t="s">
        <v>1168</v>
      </c>
      <c r="CG43" s="111" t="s">
        <v>1140</v>
      </c>
      <c r="CH43" s="111" t="s">
        <v>1365</v>
      </c>
      <c r="CI43" s="111">
        <v>22621.431700000001</v>
      </c>
      <c r="CJ43" s="111" t="s">
        <v>1391</v>
      </c>
      <c r="CK43" s="2" t="s">
        <v>1366</v>
      </c>
      <c r="CL43" s="111">
        <v>1</v>
      </c>
      <c r="CM43" s="111">
        <v>2</v>
      </c>
      <c r="CN43" s="183">
        <v>1</v>
      </c>
      <c r="CO43" s="111" t="s">
        <v>926</v>
      </c>
      <c r="CP43" s="111">
        <v>1</v>
      </c>
      <c r="CQ43" s="111">
        <v>1</v>
      </c>
      <c r="CR43" s="111">
        <v>1</v>
      </c>
      <c r="CS43" s="111">
        <v>1</v>
      </c>
      <c r="CT43" s="111">
        <v>1</v>
      </c>
      <c r="CU43" s="111">
        <v>2</v>
      </c>
      <c r="CV43" s="111">
        <v>2</v>
      </c>
      <c r="CW43" s="111">
        <v>3</v>
      </c>
      <c r="CX43" s="111">
        <v>1</v>
      </c>
      <c r="CY43" s="111">
        <v>1</v>
      </c>
      <c r="CZ43" s="111">
        <v>1</v>
      </c>
      <c r="DA43" s="111">
        <v>1</v>
      </c>
      <c r="DB43" s="111">
        <v>1</v>
      </c>
      <c r="DC43" s="111">
        <v>1</v>
      </c>
      <c r="DD43" s="111">
        <v>1</v>
      </c>
      <c r="DE43" s="111">
        <v>1</v>
      </c>
      <c r="DF43" s="111">
        <v>1</v>
      </c>
      <c r="DG43" s="111">
        <v>2</v>
      </c>
      <c r="DH43" s="111">
        <v>1</v>
      </c>
      <c r="DI43" s="111">
        <v>1</v>
      </c>
      <c r="DJ43" s="111">
        <v>1</v>
      </c>
      <c r="DK43" s="111">
        <v>1</v>
      </c>
      <c r="DL43" s="111" t="s">
        <v>967</v>
      </c>
      <c r="DM43" s="171"/>
      <c r="DN43" s="111" t="s">
        <v>1144</v>
      </c>
      <c r="DO43" s="2" t="s">
        <v>926</v>
      </c>
      <c r="DP43" s="111" t="s">
        <v>1173</v>
      </c>
      <c r="DQ43" s="111" t="s">
        <v>1174</v>
      </c>
      <c r="DR43" s="111">
        <v>1</v>
      </c>
      <c r="DS43" s="111">
        <v>1</v>
      </c>
      <c r="DT43" s="111" t="s">
        <v>1324</v>
      </c>
      <c r="DU43" s="111" t="s">
        <v>971</v>
      </c>
      <c r="DV43" s="111" t="s">
        <v>1269</v>
      </c>
      <c r="DW43" s="111" t="s">
        <v>1269</v>
      </c>
      <c r="DX43" s="167">
        <v>0</v>
      </c>
      <c r="DY43" s="111">
        <v>1</v>
      </c>
      <c r="DZ43" s="124"/>
    </row>
    <row r="44" spans="1:130" ht="12" hidden="1" customHeight="1">
      <c r="A44" s="165">
        <v>3</v>
      </c>
      <c r="B44" s="2" t="s">
        <v>1392</v>
      </c>
      <c r="C44" s="111" t="s">
        <v>926</v>
      </c>
      <c r="D44" s="111" t="s">
        <v>1214</v>
      </c>
      <c r="E44" s="111" t="s">
        <v>1326</v>
      </c>
      <c r="F44" s="111" t="s">
        <v>1393</v>
      </c>
      <c r="G44" s="111" t="s">
        <v>1394</v>
      </c>
      <c r="H44" s="111" t="s">
        <v>1395</v>
      </c>
      <c r="I44" s="111" t="s">
        <v>1396</v>
      </c>
      <c r="J44" s="111" t="s">
        <v>1269</v>
      </c>
      <c r="K44" s="111">
        <v>3</v>
      </c>
      <c r="L44" s="111">
        <v>3</v>
      </c>
      <c r="M44" s="111">
        <v>2</v>
      </c>
      <c r="N44" s="111">
        <v>2</v>
      </c>
      <c r="O44" s="111">
        <v>3</v>
      </c>
      <c r="P44" s="111">
        <v>1</v>
      </c>
      <c r="Q44" s="111">
        <v>3</v>
      </c>
      <c r="R44" s="111">
        <v>4</v>
      </c>
      <c r="S44" s="111">
        <v>2</v>
      </c>
      <c r="T44" s="111">
        <v>1</v>
      </c>
      <c r="U44" s="111">
        <v>1</v>
      </c>
      <c r="V44" s="111">
        <v>1</v>
      </c>
      <c r="W44" s="111">
        <v>1</v>
      </c>
      <c r="X44" s="111">
        <v>1</v>
      </c>
      <c r="Y44" s="111">
        <v>1</v>
      </c>
      <c r="Z44" s="166">
        <v>39697</v>
      </c>
      <c r="AA44" s="167">
        <v>3.9697000000000003E-2</v>
      </c>
      <c r="AB44" s="111">
        <v>3</v>
      </c>
      <c r="AC44" s="111">
        <v>3</v>
      </c>
      <c r="AD44" s="168">
        <v>1</v>
      </c>
      <c r="AE44" s="111">
        <v>1</v>
      </c>
      <c r="AF44" s="111">
        <v>1</v>
      </c>
      <c r="AG44" s="111">
        <v>1</v>
      </c>
      <c r="AH44" s="111">
        <v>1</v>
      </c>
      <c r="AI44" s="111">
        <v>1</v>
      </c>
      <c r="AJ44" s="111">
        <v>1</v>
      </c>
      <c r="AK44" s="111">
        <v>1</v>
      </c>
      <c r="AL44" s="111">
        <v>1</v>
      </c>
      <c r="AM44" s="111">
        <v>3</v>
      </c>
      <c r="AN44" s="111">
        <v>1</v>
      </c>
      <c r="AO44" s="170">
        <v>3</v>
      </c>
      <c r="AP44" s="111">
        <v>1</v>
      </c>
      <c r="AQ44" s="111">
        <v>1</v>
      </c>
      <c r="AR44" s="111">
        <v>1</v>
      </c>
      <c r="AS44" s="111">
        <v>1</v>
      </c>
      <c r="AT44" s="172">
        <v>3</v>
      </c>
      <c r="AU44" s="170">
        <v>1</v>
      </c>
      <c r="AV44" s="111">
        <v>1</v>
      </c>
      <c r="AW44" s="111">
        <v>1</v>
      </c>
      <c r="AX44" s="111" t="s">
        <v>926</v>
      </c>
      <c r="AY44" s="169">
        <v>0</v>
      </c>
      <c r="AZ44" s="169">
        <v>0</v>
      </c>
      <c r="BA44" s="166">
        <v>5</v>
      </c>
      <c r="BB44" s="166">
        <v>0</v>
      </c>
      <c r="BC44" s="169">
        <v>0</v>
      </c>
      <c r="BD44" s="166">
        <v>0</v>
      </c>
      <c r="BE44" s="166">
        <v>0</v>
      </c>
      <c r="BF44" s="169">
        <v>3.9697000000000003E-2</v>
      </c>
      <c r="BG44" s="166">
        <v>5</v>
      </c>
      <c r="BH44" s="166">
        <v>0</v>
      </c>
      <c r="BI44" s="111" t="s">
        <v>926</v>
      </c>
      <c r="BJ44" s="111">
        <v>2</v>
      </c>
      <c r="BK44" s="111">
        <v>2</v>
      </c>
      <c r="BL44" s="111">
        <v>1</v>
      </c>
      <c r="BM44" s="111">
        <v>2</v>
      </c>
      <c r="BN44" s="111">
        <v>2</v>
      </c>
      <c r="BO44" s="182" t="s">
        <v>1263</v>
      </c>
      <c r="BP44" s="111" t="s">
        <v>1745</v>
      </c>
      <c r="BQ44" s="111" t="s">
        <v>1746</v>
      </c>
      <c r="BR44" s="111" t="s">
        <v>926</v>
      </c>
      <c r="BS44" s="111" t="s">
        <v>926</v>
      </c>
      <c r="BT44" s="111" t="s">
        <v>926</v>
      </c>
      <c r="BU44" s="111" t="s">
        <v>926</v>
      </c>
      <c r="BV44" s="111">
        <v>1</v>
      </c>
      <c r="BW44" s="2" t="s">
        <v>1182</v>
      </c>
      <c r="BX44" s="2" t="s">
        <v>1397</v>
      </c>
      <c r="BY44" s="2" t="s">
        <v>1398</v>
      </c>
      <c r="BZ44" s="2" t="s">
        <v>1399</v>
      </c>
      <c r="CA44" s="2" t="s">
        <v>1400</v>
      </c>
      <c r="CB44" s="2" t="s">
        <v>1401</v>
      </c>
      <c r="CC44" s="2" t="s">
        <v>1137</v>
      </c>
      <c r="CD44" s="2" t="s">
        <v>1167</v>
      </c>
      <c r="CE44" s="2" t="s">
        <v>1182</v>
      </c>
      <c r="CF44" s="111" t="s">
        <v>1139</v>
      </c>
      <c r="CG44" s="111" t="s">
        <v>1140</v>
      </c>
      <c r="CH44" s="111" t="s">
        <v>1402</v>
      </c>
      <c r="CI44" s="111">
        <v>19045.560799999999</v>
      </c>
      <c r="CJ44" s="111" t="s">
        <v>1800</v>
      </c>
      <c r="CK44" s="2" t="s">
        <v>1143</v>
      </c>
      <c r="CL44" s="111">
        <v>1</v>
      </c>
      <c r="CM44" s="183">
        <v>1</v>
      </c>
      <c r="CN44" s="111">
        <v>2</v>
      </c>
      <c r="CO44" s="111" t="s">
        <v>926</v>
      </c>
      <c r="CP44" s="111">
        <v>1</v>
      </c>
      <c r="CQ44" s="111">
        <v>1</v>
      </c>
      <c r="CR44" s="111">
        <v>1</v>
      </c>
      <c r="CS44" s="111">
        <v>1</v>
      </c>
      <c r="CT44" s="111">
        <v>1</v>
      </c>
      <c r="CU44" s="111">
        <v>3</v>
      </c>
      <c r="CV44" s="111">
        <v>1</v>
      </c>
      <c r="CW44" s="111">
        <v>3</v>
      </c>
      <c r="CX44" s="111">
        <v>1</v>
      </c>
      <c r="CY44" s="111">
        <v>1</v>
      </c>
      <c r="CZ44" s="111">
        <v>1</v>
      </c>
      <c r="DA44" s="111">
        <v>2</v>
      </c>
      <c r="DB44" s="111">
        <v>3</v>
      </c>
      <c r="DC44" s="111">
        <v>1</v>
      </c>
      <c r="DD44" s="111">
        <v>1</v>
      </c>
      <c r="DE44" s="111">
        <v>1</v>
      </c>
      <c r="DF44" s="111">
        <v>2</v>
      </c>
      <c r="DG44" s="111">
        <v>1</v>
      </c>
      <c r="DH44" s="111">
        <v>1</v>
      </c>
      <c r="DI44" s="111">
        <v>2</v>
      </c>
      <c r="DJ44" s="111">
        <v>2</v>
      </c>
      <c r="DK44" s="111">
        <v>2</v>
      </c>
      <c r="DL44" s="111" t="s">
        <v>967</v>
      </c>
      <c r="DM44" s="171">
        <v>45943</v>
      </c>
      <c r="DN44" s="111" t="s">
        <v>1224</v>
      </c>
      <c r="DO44" s="2" t="s">
        <v>1213</v>
      </c>
      <c r="DP44" s="111" t="s">
        <v>1173</v>
      </c>
      <c r="DQ44" s="111" t="s">
        <v>1174</v>
      </c>
      <c r="DR44" s="111">
        <v>1</v>
      </c>
      <c r="DS44" s="111">
        <v>1</v>
      </c>
      <c r="DT44" s="111" t="s">
        <v>1324</v>
      </c>
      <c r="DU44" s="111" t="s">
        <v>971</v>
      </c>
      <c r="DV44" s="111" t="s">
        <v>1269</v>
      </c>
      <c r="DW44" s="170" t="s">
        <v>1646</v>
      </c>
      <c r="DX44" s="167">
        <v>1</v>
      </c>
      <c r="DY44" s="111">
        <v>1</v>
      </c>
      <c r="DZ44" s="124"/>
    </row>
    <row r="45" spans="1:130" ht="12" hidden="1" customHeight="1">
      <c r="A45" s="165">
        <v>45757</v>
      </c>
      <c r="B45" s="186" t="s">
        <v>1403</v>
      </c>
      <c r="C45" s="172" t="s">
        <v>1801</v>
      </c>
      <c r="D45" s="111" t="s">
        <v>1214</v>
      </c>
      <c r="E45" s="111" t="s">
        <v>1326</v>
      </c>
      <c r="F45" s="111" t="s">
        <v>926</v>
      </c>
      <c r="H45" s="111" t="s">
        <v>1615</v>
      </c>
      <c r="I45" s="111" t="s">
        <v>1615</v>
      </c>
      <c r="J45" s="111" t="s">
        <v>926</v>
      </c>
      <c r="K45" s="111" t="s">
        <v>926</v>
      </c>
      <c r="L45" s="111" t="s">
        <v>926</v>
      </c>
      <c r="M45" s="111" t="s">
        <v>926</v>
      </c>
      <c r="N45" s="111" t="s">
        <v>926</v>
      </c>
      <c r="O45" s="111" t="s">
        <v>926</v>
      </c>
      <c r="P45" s="111" t="s">
        <v>926</v>
      </c>
      <c r="Q45" s="111" t="s">
        <v>926</v>
      </c>
      <c r="R45" s="111" t="s">
        <v>926</v>
      </c>
      <c r="S45" s="111" t="s">
        <v>926</v>
      </c>
      <c r="T45" s="111" t="s">
        <v>926</v>
      </c>
      <c r="U45" s="111" t="s">
        <v>926</v>
      </c>
      <c r="V45" s="111" t="s">
        <v>926</v>
      </c>
      <c r="W45" s="111" t="s">
        <v>926</v>
      </c>
      <c r="X45" s="111" t="s">
        <v>926</v>
      </c>
      <c r="Y45" s="111" t="s">
        <v>926</v>
      </c>
      <c r="Z45" s="166" t="s">
        <v>926</v>
      </c>
      <c r="AA45" s="167" t="s">
        <v>926</v>
      </c>
      <c r="AB45" s="111" t="s">
        <v>926</v>
      </c>
      <c r="AC45" s="111" t="s">
        <v>926</v>
      </c>
      <c r="AD45" s="168" t="s">
        <v>926</v>
      </c>
      <c r="AE45" s="111" t="s">
        <v>926</v>
      </c>
      <c r="AF45" s="111" t="s">
        <v>926</v>
      </c>
      <c r="AG45" s="111" t="s">
        <v>926</v>
      </c>
      <c r="AH45" s="111" t="s">
        <v>926</v>
      </c>
      <c r="AI45" s="111" t="s">
        <v>926</v>
      </c>
      <c r="AJ45" s="111" t="s">
        <v>926</v>
      </c>
      <c r="AK45" s="111" t="s">
        <v>926</v>
      </c>
      <c r="AL45" s="111" t="s">
        <v>926</v>
      </c>
      <c r="AM45" s="111" t="s">
        <v>926</v>
      </c>
      <c r="AN45" s="111" t="s">
        <v>926</v>
      </c>
      <c r="AO45" s="111" t="s">
        <v>926</v>
      </c>
      <c r="AP45" s="111" t="s">
        <v>926</v>
      </c>
      <c r="AQ45" s="111" t="s">
        <v>926</v>
      </c>
      <c r="AR45" s="111" t="s">
        <v>926</v>
      </c>
      <c r="AS45" s="111" t="s">
        <v>926</v>
      </c>
      <c r="AT45" s="111" t="s">
        <v>926</v>
      </c>
      <c r="AU45" s="111" t="s">
        <v>926</v>
      </c>
      <c r="AV45" s="111" t="s">
        <v>926</v>
      </c>
      <c r="AW45" s="111" t="s">
        <v>926</v>
      </c>
      <c r="AX45" s="111" t="s">
        <v>926</v>
      </c>
      <c r="AY45" s="169" t="s">
        <v>926</v>
      </c>
      <c r="AZ45" s="169" t="s">
        <v>926</v>
      </c>
      <c r="BA45" s="166" t="s">
        <v>926</v>
      </c>
      <c r="BB45" s="166" t="s">
        <v>926</v>
      </c>
      <c r="BC45" s="169" t="s">
        <v>926</v>
      </c>
      <c r="BD45" s="166" t="s">
        <v>926</v>
      </c>
      <c r="BE45" s="166" t="s">
        <v>926</v>
      </c>
      <c r="BF45" s="169">
        <v>0</v>
      </c>
      <c r="BG45" s="166">
        <v>0</v>
      </c>
      <c r="BH45" s="166">
        <v>0</v>
      </c>
      <c r="BI45" s="111" t="s">
        <v>926</v>
      </c>
      <c r="BJ45" s="111">
        <v>2</v>
      </c>
      <c r="BK45" s="170">
        <v>3</v>
      </c>
      <c r="BL45" s="111">
        <v>1</v>
      </c>
      <c r="BM45" s="111">
        <v>2</v>
      </c>
      <c r="BN45" s="111">
        <v>2</v>
      </c>
      <c r="BO45" s="111" t="s">
        <v>1404</v>
      </c>
      <c r="BP45" s="111" t="s">
        <v>1745</v>
      </c>
      <c r="BQ45" s="111" t="s">
        <v>1791</v>
      </c>
      <c r="BR45" s="111" t="s">
        <v>926</v>
      </c>
      <c r="BS45" s="111" t="s">
        <v>926</v>
      </c>
      <c r="BT45" s="111" t="s">
        <v>926</v>
      </c>
      <c r="BU45" s="111" t="s">
        <v>926</v>
      </c>
      <c r="BV45" s="111">
        <v>1</v>
      </c>
      <c r="BW45" s="2" t="s">
        <v>1182</v>
      </c>
      <c r="BX45" s="2" t="s">
        <v>1370</v>
      </c>
      <c r="BY45" s="2" t="s">
        <v>1539</v>
      </c>
      <c r="BZ45" s="2" t="s">
        <v>1405</v>
      </c>
      <c r="CA45" s="2" t="s">
        <v>1373</v>
      </c>
      <c r="CB45" s="2" t="s">
        <v>1374</v>
      </c>
      <c r="CC45" s="2" t="s">
        <v>1137</v>
      </c>
      <c r="CD45" s="2" t="s">
        <v>1138</v>
      </c>
      <c r="CE45" s="2" t="s">
        <v>1182</v>
      </c>
      <c r="CF45" s="111" t="s">
        <v>1168</v>
      </c>
      <c r="CG45" s="111" t="s">
        <v>1184</v>
      </c>
      <c r="CH45" s="177">
        <v>45698</v>
      </c>
      <c r="CI45" s="111">
        <v>26100.347600000001</v>
      </c>
      <c r="CJ45" s="111" t="s">
        <v>1802</v>
      </c>
      <c r="CK45" s="2" t="s">
        <v>1209</v>
      </c>
      <c r="CL45" s="111" t="s">
        <v>926</v>
      </c>
      <c r="CM45" s="111" t="s">
        <v>926</v>
      </c>
      <c r="CN45" s="111" t="s">
        <v>926</v>
      </c>
      <c r="CO45" s="111" t="s">
        <v>926</v>
      </c>
      <c r="CP45" s="111" t="s">
        <v>926</v>
      </c>
      <c r="CQ45" s="111" t="s">
        <v>926</v>
      </c>
      <c r="CR45" s="111" t="s">
        <v>926</v>
      </c>
      <c r="CS45" s="111" t="s">
        <v>926</v>
      </c>
      <c r="CT45" s="111" t="s">
        <v>926</v>
      </c>
      <c r="CU45" s="111" t="s">
        <v>926</v>
      </c>
      <c r="CV45" s="111" t="s">
        <v>926</v>
      </c>
      <c r="CW45" s="111" t="s">
        <v>926</v>
      </c>
      <c r="CX45" s="111" t="s">
        <v>926</v>
      </c>
      <c r="CY45" s="111" t="s">
        <v>926</v>
      </c>
      <c r="CZ45" s="111" t="s">
        <v>926</v>
      </c>
      <c r="DA45" s="111" t="s">
        <v>926</v>
      </c>
      <c r="DB45" s="111" t="s">
        <v>926</v>
      </c>
      <c r="DC45" s="111" t="s">
        <v>926</v>
      </c>
      <c r="DD45" s="111" t="s">
        <v>926</v>
      </c>
      <c r="DE45" s="111" t="s">
        <v>926</v>
      </c>
      <c r="DF45" s="111" t="s">
        <v>926</v>
      </c>
      <c r="DG45" s="111" t="s">
        <v>926</v>
      </c>
      <c r="DH45" s="111" t="s">
        <v>926</v>
      </c>
      <c r="DI45" s="111" t="s">
        <v>926</v>
      </c>
      <c r="DJ45" s="111" t="s">
        <v>926</v>
      </c>
      <c r="DK45" s="111" t="s">
        <v>926</v>
      </c>
      <c r="DL45" s="111" t="s">
        <v>926</v>
      </c>
      <c r="DM45" s="171" t="s">
        <v>926</v>
      </c>
      <c r="DN45" s="111" t="s">
        <v>926</v>
      </c>
      <c r="DO45" s="2" t="s">
        <v>926</v>
      </c>
      <c r="DP45" s="111" t="s">
        <v>926</v>
      </c>
      <c r="DQ45" s="111" t="s">
        <v>926</v>
      </c>
      <c r="DR45" s="111" t="s">
        <v>926</v>
      </c>
      <c r="DS45" s="111" t="s">
        <v>926</v>
      </c>
      <c r="DT45" s="111" t="s">
        <v>926</v>
      </c>
      <c r="DU45" s="111" t="s">
        <v>926</v>
      </c>
      <c r="DV45" s="111" t="s">
        <v>926</v>
      </c>
      <c r="DW45" s="111" t="s">
        <v>926</v>
      </c>
      <c r="DX45" s="167" t="s">
        <v>926</v>
      </c>
      <c r="DY45" s="111" t="s">
        <v>926</v>
      </c>
      <c r="DZ45" s="124"/>
    </row>
    <row r="46" spans="1:130" ht="12" hidden="1" customHeight="1">
      <c r="A46" s="165">
        <v>45756</v>
      </c>
      <c r="B46" s="2" t="s">
        <v>1406</v>
      </c>
      <c r="C46" s="111" t="s">
        <v>926</v>
      </c>
      <c r="D46" s="111" t="s">
        <v>1214</v>
      </c>
      <c r="E46" s="111" t="s">
        <v>1326</v>
      </c>
      <c r="F46" s="111" t="s">
        <v>1393</v>
      </c>
      <c r="G46" s="111" t="s">
        <v>1407</v>
      </c>
      <c r="H46" s="111" t="s">
        <v>1408</v>
      </c>
      <c r="I46" s="111" t="s">
        <v>1396</v>
      </c>
      <c r="J46" s="111" t="s">
        <v>1269</v>
      </c>
      <c r="K46" s="111">
        <v>4</v>
      </c>
      <c r="L46" s="111">
        <v>4</v>
      </c>
      <c r="M46" s="111">
        <v>2</v>
      </c>
      <c r="N46" s="111">
        <v>2</v>
      </c>
      <c r="O46" s="111">
        <v>3</v>
      </c>
      <c r="P46" s="111">
        <v>1</v>
      </c>
      <c r="Q46" s="111">
        <v>3</v>
      </c>
      <c r="R46" s="111">
        <v>4</v>
      </c>
      <c r="S46" s="111">
        <v>2</v>
      </c>
      <c r="T46" s="111">
        <v>2</v>
      </c>
      <c r="U46" s="111">
        <v>1</v>
      </c>
      <c r="V46" s="111">
        <v>1</v>
      </c>
      <c r="W46" s="111">
        <v>2</v>
      </c>
      <c r="X46" s="111">
        <v>1</v>
      </c>
      <c r="Y46" s="111">
        <v>1</v>
      </c>
      <c r="Z46" s="166">
        <v>948121</v>
      </c>
      <c r="AA46" s="167">
        <v>0.94812099999999999</v>
      </c>
      <c r="AB46" s="111">
        <v>4</v>
      </c>
      <c r="AC46" s="111">
        <v>4</v>
      </c>
      <c r="AD46" s="176">
        <v>1</v>
      </c>
      <c r="AE46" s="111">
        <v>2</v>
      </c>
      <c r="AF46" s="111">
        <v>1</v>
      </c>
      <c r="AG46" s="111">
        <v>1</v>
      </c>
      <c r="AH46" s="111">
        <v>1</v>
      </c>
      <c r="AI46" s="111">
        <v>1</v>
      </c>
      <c r="AJ46" s="111">
        <v>1</v>
      </c>
      <c r="AK46" s="111">
        <v>1</v>
      </c>
      <c r="AL46" s="111">
        <v>1</v>
      </c>
      <c r="AM46" s="111">
        <v>3</v>
      </c>
      <c r="AN46" s="111">
        <v>1</v>
      </c>
      <c r="AO46" s="170">
        <v>3</v>
      </c>
      <c r="AP46" s="111">
        <v>1</v>
      </c>
      <c r="AQ46" s="111">
        <v>1</v>
      </c>
      <c r="AR46" s="111">
        <v>1</v>
      </c>
      <c r="AS46" s="111">
        <v>1</v>
      </c>
      <c r="AT46" s="170">
        <v>3</v>
      </c>
      <c r="AU46" s="183"/>
      <c r="AV46" s="111">
        <v>1</v>
      </c>
      <c r="AW46" s="111">
        <v>1</v>
      </c>
      <c r="AX46" s="111" t="s">
        <v>926</v>
      </c>
      <c r="AY46" s="169">
        <v>0</v>
      </c>
      <c r="AZ46" s="169">
        <v>0</v>
      </c>
      <c r="BA46" s="166">
        <v>15</v>
      </c>
      <c r="BB46" s="166">
        <v>0</v>
      </c>
      <c r="BC46" s="169">
        <v>0</v>
      </c>
      <c r="BD46" s="166">
        <v>0</v>
      </c>
      <c r="BE46" s="166">
        <v>0</v>
      </c>
      <c r="BF46" s="169">
        <v>0.94812099999999999</v>
      </c>
      <c r="BG46" s="166">
        <v>15</v>
      </c>
      <c r="BH46" s="166">
        <v>0</v>
      </c>
      <c r="BI46" s="111" t="s">
        <v>926</v>
      </c>
      <c r="BJ46" s="111">
        <v>2</v>
      </c>
      <c r="BK46" s="111">
        <v>2</v>
      </c>
      <c r="BL46" s="111">
        <v>2</v>
      </c>
      <c r="BM46" s="111">
        <v>1</v>
      </c>
      <c r="BN46" s="111">
        <v>1</v>
      </c>
      <c r="BO46" s="170" t="s">
        <v>1263</v>
      </c>
      <c r="BP46" s="111" t="s">
        <v>1745</v>
      </c>
      <c r="BQ46" s="111" t="s">
        <v>1746</v>
      </c>
      <c r="BR46" s="111" t="s">
        <v>926</v>
      </c>
      <c r="BS46" s="111" t="s">
        <v>926</v>
      </c>
      <c r="BT46" s="111" t="s">
        <v>926</v>
      </c>
      <c r="BU46" s="111" t="s">
        <v>926</v>
      </c>
      <c r="BV46" s="111">
        <v>1</v>
      </c>
      <c r="BW46" s="2" t="s">
        <v>1182</v>
      </c>
      <c r="BX46" s="2" t="s">
        <v>1409</v>
      </c>
      <c r="BY46" s="2" t="s">
        <v>1410</v>
      </c>
      <c r="BZ46" s="2" t="s">
        <v>1411</v>
      </c>
      <c r="CA46" s="2" t="s">
        <v>1412</v>
      </c>
      <c r="CB46" s="2" t="s">
        <v>1413</v>
      </c>
      <c r="CC46" s="2" t="s">
        <v>1137</v>
      </c>
      <c r="CD46" s="2" t="s">
        <v>1167</v>
      </c>
      <c r="CE46" s="2" t="s">
        <v>1182</v>
      </c>
      <c r="CF46" s="111" t="s">
        <v>1414</v>
      </c>
      <c r="CG46" s="111" t="s">
        <v>1299</v>
      </c>
      <c r="CH46" s="111" t="s">
        <v>1415</v>
      </c>
      <c r="CI46" s="111">
        <v>19044.248599999999</v>
      </c>
      <c r="CJ46" s="111" t="s">
        <v>1416</v>
      </c>
      <c r="CK46" s="2" t="s">
        <v>1417</v>
      </c>
      <c r="CL46" s="111">
        <v>1</v>
      </c>
      <c r="CM46" s="111">
        <v>1</v>
      </c>
      <c r="CN46" s="111">
        <v>2</v>
      </c>
      <c r="CO46" s="111" t="s">
        <v>926</v>
      </c>
      <c r="CP46" s="111">
        <v>1</v>
      </c>
      <c r="CQ46" s="111">
        <v>1</v>
      </c>
      <c r="CR46" s="111">
        <v>1</v>
      </c>
      <c r="CS46" s="111">
        <v>1</v>
      </c>
      <c r="CT46" s="111">
        <v>1</v>
      </c>
      <c r="CU46" s="111">
        <v>4</v>
      </c>
      <c r="CV46" s="111">
        <v>1</v>
      </c>
      <c r="CW46" s="111">
        <v>4</v>
      </c>
      <c r="CX46" s="111">
        <v>1</v>
      </c>
      <c r="CY46" s="111">
        <v>1</v>
      </c>
      <c r="CZ46" s="111">
        <v>1</v>
      </c>
      <c r="DA46" s="111">
        <v>1</v>
      </c>
      <c r="DB46" s="111">
        <v>4</v>
      </c>
      <c r="DC46" s="111">
        <v>1</v>
      </c>
      <c r="DD46" s="111">
        <v>1</v>
      </c>
      <c r="DE46" s="111">
        <v>1</v>
      </c>
      <c r="DF46" s="111">
        <v>2</v>
      </c>
      <c r="DG46" s="111">
        <v>1</v>
      </c>
      <c r="DH46" s="111">
        <v>1</v>
      </c>
      <c r="DI46" s="111">
        <v>1</v>
      </c>
      <c r="DJ46" s="111">
        <v>2</v>
      </c>
      <c r="DK46" s="111">
        <v>2</v>
      </c>
      <c r="DL46" s="111" t="s">
        <v>937</v>
      </c>
      <c r="DM46" s="187">
        <v>48225</v>
      </c>
      <c r="DN46" s="111" t="s">
        <v>1144</v>
      </c>
      <c r="DO46" s="2" t="s">
        <v>926</v>
      </c>
      <c r="DP46" s="111" t="s">
        <v>926</v>
      </c>
      <c r="DQ46" s="111" t="s">
        <v>926</v>
      </c>
      <c r="DR46" s="111">
        <v>1</v>
      </c>
      <c r="DS46" s="111">
        <v>1</v>
      </c>
      <c r="DT46" s="111" t="s">
        <v>1324</v>
      </c>
      <c r="DU46" s="111" t="s">
        <v>971</v>
      </c>
      <c r="DV46" s="111" t="s">
        <v>1269</v>
      </c>
      <c r="DW46" s="170" t="s">
        <v>1646</v>
      </c>
      <c r="DX46" s="167">
        <v>1</v>
      </c>
      <c r="DY46" s="111">
        <v>1</v>
      </c>
      <c r="DZ46" s="124"/>
    </row>
    <row r="47" spans="1:130" ht="12" hidden="1" customHeight="1">
      <c r="A47" s="165">
        <v>45755</v>
      </c>
      <c r="B47" s="2" t="s">
        <v>1418</v>
      </c>
      <c r="C47" s="111" t="s">
        <v>926</v>
      </c>
      <c r="D47" s="111" t="s">
        <v>1214</v>
      </c>
      <c r="E47" s="111" t="s">
        <v>1326</v>
      </c>
      <c r="F47" s="111" t="s">
        <v>1419</v>
      </c>
      <c r="G47" s="111" t="s">
        <v>1803</v>
      </c>
      <c r="H47" s="111" t="s">
        <v>1804</v>
      </c>
      <c r="I47" s="111" t="s">
        <v>1666</v>
      </c>
      <c r="J47" s="111" t="s">
        <v>1269</v>
      </c>
      <c r="K47" s="111">
        <v>4</v>
      </c>
      <c r="L47" s="111">
        <v>2</v>
      </c>
      <c r="M47" s="111">
        <v>2</v>
      </c>
      <c r="N47" s="111">
        <v>2</v>
      </c>
      <c r="O47" s="111">
        <v>3</v>
      </c>
      <c r="P47" s="111">
        <v>1</v>
      </c>
      <c r="Q47" s="111">
        <v>3</v>
      </c>
      <c r="R47" s="111">
        <v>1</v>
      </c>
      <c r="S47" s="111">
        <v>1</v>
      </c>
      <c r="T47" s="111">
        <v>4</v>
      </c>
      <c r="U47" s="111">
        <v>2</v>
      </c>
      <c r="V47" s="111">
        <v>3</v>
      </c>
      <c r="W47" s="111">
        <v>3</v>
      </c>
      <c r="X47" s="111">
        <v>1</v>
      </c>
      <c r="Y47" s="111">
        <v>1</v>
      </c>
      <c r="Z47" s="166">
        <v>4974401</v>
      </c>
      <c r="AA47" s="167">
        <v>4.9744010000000003</v>
      </c>
      <c r="AB47" s="111">
        <v>4</v>
      </c>
      <c r="AC47" s="111">
        <v>2</v>
      </c>
      <c r="AD47" s="168">
        <v>1</v>
      </c>
      <c r="AE47" s="111">
        <v>1</v>
      </c>
      <c r="AF47" s="111">
        <v>1</v>
      </c>
      <c r="AG47" s="111">
        <v>1</v>
      </c>
      <c r="AH47" s="111">
        <v>1</v>
      </c>
      <c r="AI47" s="111">
        <v>2</v>
      </c>
      <c r="AJ47" s="111">
        <v>2</v>
      </c>
      <c r="AK47" s="111">
        <v>1</v>
      </c>
      <c r="AL47" s="111">
        <v>1</v>
      </c>
      <c r="AM47" s="111">
        <v>3</v>
      </c>
      <c r="AN47" s="111">
        <v>1</v>
      </c>
      <c r="AO47" s="111">
        <v>1</v>
      </c>
      <c r="AP47" s="111">
        <v>1</v>
      </c>
      <c r="AQ47" s="111">
        <v>1</v>
      </c>
      <c r="AR47" s="111">
        <v>1</v>
      </c>
      <c r="AS47" s="111">
        <v>1</v>
      </c>
      <c r="AT47" s="111">
        <v>1</v>
      </c>
      <c r="AU47" s="111">
        <v>1</v>
      </c>
      <c r="AV47" s="111">
        <v>1</v>
      </c>
      <c r="AW47" s="111">
        <v>1</v>
      </c>
      <c r="AX47" s="111" t="s">
        <v>926</v>
      </c>
      <c r="AY47" s="169">
        <v>6.72</v>
      </c>
      <c r="AZ47" s="169">
        <v>6.74</v>
      </c>
      <c r="BA47" s="166">
        <v>15957</v>
      </c>
      <c r="BB47" s="166">
        <v>1621</v>
      </c>
      <c r="BC47" s="169">
        <v>4.5399999999999996E-2</v>
      </c>
      <c r="BD47" s="166">
        <v>174</v>
      </c>
      <c r="BE47" s="166">
        <v>14</v>
      </c>
      <c r="BF47" s="169">
        <v>11.759801000000001</v>
      </c>
      <c r="BG47" s="166">
        <v>16131</v>
      </c>
      <c r="BH47" s="166">
        <v>1635</v>
      </c>
      <c r="BI47" s="111" t="s">
        <v>926</v>
      </c>
      <c r="BJ47" s="111">
        <v>1</v>
      </c>
      <c r="BK47" s="111">
        <v>1</v>
      </c>
      <c r="BL47" s="111">
        <v>1</v>
      </c>
      <c r="BM47" s="111">
        <v>2</v>
      </c>
      <c r="BN47" s="111">
        <v>2</v>
      </c>
      <c r="BO47" s="111" t="s">
        <v>1211</v>
      </c>
      <c r="BP47" s="111" t="s">
        <v>470</v>
      </c>
      <c r="BQ47" s="111" t="s">
        <v>1670</v>
      </c>
      <c r="BR47" s="111" t="s">
        <v>926</v>
      </c>
      <c r="BS47" s="111" t="s">
        <v>926</v>
      </c>
      <c r="BT47" s="111" t="s">
        <v>926</v>
      </c>
      <c r="BU47" s="111" t="s">
        <v>926</v>
      </c>
      <c r="BV47" s="111">
        <v>1</v>
      </c>
      <c r="BW47" s="2" t="s">
        <v>1182</v>
      </c>
      <c r="BX47" s="2" t="s">
        <v>1420</v>
      </c>
      <c r="BY47" s="2" t="s">
        <v>1421</v>
      </c>
      <c r="BZ47" s="2" t="s">
        <v>1422</v>
      </c>
      <c r="CA47" s="2" t="s">
        <v>1423</v>
      </c>
      <c r="CB47" s="2" t="s">
        <v>1424</v>
      </c>
      <c r="CC47" s="2" t="s">
        <v>1137</v>
      </c>
      <c r="CD47" s="2" t="s">
        <v>1167</v>
      </c>
      <c r="CE47" s="2" t="s">
        <v>1182</v>
      </c>
      <c r="CF47" s="111" t="s">
        <v>1139</v>
      </c>
      <c r="CG47" s="111" t="s">
        <v>1140</v>
      </c>
      <c r="CH47" s="111" t="s">
        <v>1425</v>
      </c>
      <c r="CI47" s="111">
        <v>19045.560799999999</v>
      </c>
      <c r="CJ47" s="111" t="s">
        <v>1805</v>
      </c>
      <c r="CK47" s="2" t="s">
        <v>1143</v>
      </c>
      <c r="CL47" s="111">
        <v>1</v>
      </c>
      <c r="CM47" s="111">
        <v>2</v>
      </c>
      <c r="CN47" s="111">
        <v>1</v>
      </c>
      <c r="CO47" s="111" t="s">
        <v>926</v>
      </c>
      <c r="CP47" s="111">
        <v>1</v>
      </c>
      <c r="CQ47" s="111">
        <v>4</v>
      </c>
      <c r="CR47" s="111">
        <v>1</v>
      </c>
      <c r="CS47" s="111">
        <v>1</v>
      </c>
      <c r="CT47" s="111">
        <v>1</v>
      </c>
      <c r="CU47" s="111">
        <v>2</v>
      </c>
      <c r="CV47" s="111">
        <v>3</v>
      </c>
      <c r="CW47" s="111">
        <v>2</v>
      </c>
      <c r="CX47" s="111">
        <v>1</v>
      </c>
      <c r="CY47" s="111">
        <v>2</v>
      </c>
      <c r="CZ47" s="111">
        <v>1</v>
      </c>
      <c r="DA47" s="111">
        <v>2</v>
      </c>
      <c r="DB47" s="111">
        <v>2</v>
      </c>
      <c r="DC47" s="111">
        <v>1</v>
      </c>
      <c r="DD47" s="111">
        <v>1</v>
      </c>
      <c r="DE47" s="111">
        <v>2</v>
      </c>
      <c r="DF47" s="111">
        <v>3</v>
      </c>
      <c r="DG47" s="111">
        <v>3</v>
      </c>
      <c r="DH47" s="111">
        <v>2</v>
      </c>
      <c r="DI47" s="111">
        <v>3</v>
      </c>
      <c r="DJ47" s="111">
        <v>2</v>
      </c>
      <c r="DK47" s="111">
        <v>2</v>
      </c>
      <c r="DL47" s="111" t="s">
        <v>967</v>
      </c>
      <c r="DM47" s="171">
        <v>45943</v>
      </c>
      <c r="DN47" s="111" t="s">
        <v>1224</v>
      </c>
      <c r="DO47" s="2" t="s">
        <v>1426</v>
      </c>
      <c r="DP47" s="111" t="s">
        <v>1173</v>
      </c>
      <c r="DQ47" s="111" t="s">
        <v>1174</v>
      </c>
      <c r="DR47" s="111">
        <v>1</v>
      </c>
      <c r="DS47" s="111">
        <v>1</v>
      </c>
      <c r="DT47" s="111" t="s">
        <v>1324</v>
      </c>
      <c r="DU47" s="111" t="s">
        <v>971</v>
      </c>
      <c r="DV47" s="111" t="s">
        <v>1269</v>
      </c>
      <c r="DW47" s="111" t="s">
        <v>1269</v>
      </c>
      <c r="DX47" s="167">
        <v>0.5</v>
      </c>
      <c r="DY47" s="111">
        <v>1</v>
      </c>
      <c r="DZ47" s="124"/>
    </row>
    <row r="48" spans="1:130" ht="12" hidden="1" customHeight="1">
      <c r="A48" s="165">
        <v>45757</v>
      </c>
      <c r="B48" s="2" t="s">
        <v>1427</v>
      </c>
      <c r="C48" s="111" t="s">
        <v>926</v>
      </c>
      <c r="D48" s="111" t="s">
        <v>1214</v>
      </c>
      <c r="E48" s="111" t="s">
        <v>1326</v>
      </c>
      <c r="F48" s="111" t="s">
        <v>1428</v>
      </c>
      <c r="G48" s="111" t="s">
        <v>1806</v>
      </c>
      <c r="H48" s="111" t="s">
        <v>1807</v>
      </c>
      <c r="I48" s="111" t="s">
        <v>1396</v>
      </c>
      <c r="J48" s="111" t="s">
        <v>1269</v>
      </c>
      <c r="K48" s="111">
        <v>4</v>
      </c>
      <c r="L48" s="111">
        <v>2</v>
      </c>
      <c r="M48" s="111">
        <v>2</v>
      </c>
      <c r="N48" s="111">
        <v>1</v>
      </c>
      <c r="O48" s="111">
        <v>1</v>
      </c>
      <c r="P48" s="111">
        <v>1</v>
      </c>
      <c r="Q48" s="111">
        <v>4</v>
      </c>
      <c r="R48" s="111">
        <v>1</v>
      </c>
      <c r="S48" s="111">
        <v>1</v>
      </c>
      <c r="T48" s="111">
        <v>4</v>
      </c>
      <c r="U48" s="111">
        <v>2</v>
      </c>
      <c r="V48" s="111">
        <v>3</v>
      </c>
      <c r="W48" s="111">
        <v>2</v>
      </c>
      <c r="X48" s="111">
        <v>1</v>
      </c>
      <c r="Y48" s="111">
        <v>1</v>
      </c>
      <c r="Z48" s="166">
        <v>7629489</v>
      </c>
      <c r="AA48" s="167">
        <v>7.6294890000000004</v>
      </c>
      <c r="AB48" s="111">
        <v>4</v>
      </c>
      <c r="AC48" s="111">
        <v>3</v>
      </c>
      <c r="AD48" s="168">
        <v>1</v>
      </c>
      <c r="AE48" s="111">
        <v>1</v>
      </c>
      <c r="AF48" s="111">
        <v>1</v>
      </c>
      <c r="AG48" s="111">
        <v>1</v>
      </c>
      <c r="AH48" s="111">
        <v>1</v>
      </c>
      <c r="AI48" s="111">
        <v>2</v>
      </c>
      <c r="AJ48" s="111">
        <v>3</v>
      </c>
      <c r="AK48" s="111">
        <v>1</v>
      </c>
      <c r="AL48" s="111">
        <v>1</v>
      </c>
      <c r="AM48" s="111">
        <v>1</v>
      </c>
      <c r="AN48" s="111">
        <v>1</v>
      </c>
      <c r="AO48" s="111">
        <v>1</v>
      </c>
      <c r="AP48" s="111">
        <v>1</v>
      </c>
      <c r="AQ48" s="111">
        <v>1</v>
      </c>
      <c r="AR48" s="111">
        <v>1</v>
      </c>
      <c r="AS48" s="111">
        <v>1</v>
      </c>
      <c r="AT48" s="111">
        <v>1</v>
      </c>
      <c r="AU48" s="111">
        <v>1</v>
      </c>
      <c r="AV48" s="111">
        <v>1</v>
      </c>
      <c r="AW48" s="111">
        <v>1</v>
      </c>
      <c r="AX48" s="111" t="s">
        <v>926</v>
      </c>
      <c r="AY48" s="169">
        <v>9.7799999999999994</v>
      </c>
      <c r="AZ48" s="169">
        <v>9.82</v>
      </c>
      <c r="BA48" s="166">
        <v>22372</v>
      </c>
      <c r="BB48" s="166">
        <v>2137</v>
      </c>
      <c r="BC48" s="169">
        <v>0.13</v>
      </c>
      <c r="BD48" s="166">
        <v>203</v>
      </c>
      <c r="BE48" s="166">
        <v>4</v>
      </c>
      <c r="BF48" s="169">
        <v>17.579488999999999</v>
      </c>
      <c r="BG48" s="166">
        <v>22575</v>
      </c>
      <c r="BH48" s="166">
        <v>2141</v>
      </c>
      <c r="BI48" s="111" t="s">
        <v>926</v>
      </c>
      <c r="BJ48" s="111">
        <v>1</v>
      </c>
      <c r="BK48" s="111">
        <v>1</v>
      </c>
      <c r="BL48" s="111">
        <v>2</v>
      </c>
      <c r="BM48" s="111">
        <v>2</v>
      </c>
      <c r="BN48" s="111">
        <v>2</v>
      </c>
      <c r="BO48" s="111" t="s">
        <v>1211</v>
      </c>
      <c r="BP48" s="111" t="s">
        <v>470</v>
      </c>
      <c r="BQ48" s="111" t="s">
        <v>1670</v>
      </c>
      <c r="BR48" s="111" t="s">
        <v>926</v>
      </c>
      <c r="BS48" s="111" t="s">
        <v>926</v>
      </c>
      <c r="BT48" s="111" t="s">
        <v>926</v>
      </c>
      <c r="BU48" s="111" t="s">
        <v>926</v>
      </c>
      <c r="BV48" s="111">
        <v>1</v>
      </c>
      <c r="BW48" s="2" t="s">
        <v>1182</v>
      </c>
      <c r="BX48" s="2" t="s">
        <v>1279</v>
      </c>
      <c r="BY48" s="2" t="s">
        <v>1265</v>
      </c>
      <c r="BZ48" s="2" t="s">
        <v>1307</v>
      </c>
      <c r="CA48" s="2" t="s">
        <v>1429</v>
      </c>
      <c r="CB48" s="2" t="s">
        <v>1430</v>
      </c>
      <c r="CC48" s="2" t="s">
        <v>1137</v>
      </c>
      <c r="CD48" s="2" t="s">
        <v>1167</v>
      </c>
      <c r="CE48" s="2" t="s">
        <v>1182</v>
      </c>
      <c r="CF48" s="111" t="s">
        <v>1268</v>
      </c>
      <c r="CG48" s="111" t="s">
        <v>1140</v>
      </c>
      <c r="CH48" s="111" t="s">
        <v>1431</v>
      </c>
      <c r="CI48" s="111">
        <v>19045.560799999999</v>
      </c>
      <c r="CJ48" s="111" t="s">
        <v>1432</v>
      </c>
      <c r="CK48" s="2" t="s">
        <v>1143</v>
      </c>
      <c r="CL48" s="111">
        <v>1</v>
      </c>
      <c r="CM48" s="111">
        <v>1</v>
      </c>
      <c r="CN48" s="111">
        <v>1</v>
      </c>
      <c r="CO48" s="111" t="s">
        <v>926</v>
      </c>
      <c r="CP48" s="111">
        <v>1</v>
      </c>
      <c r="CQ48" s="111">
        <v>3</v>
      </c>
      <c r="CR48" s="111">
        <v>1</v>
      </c>
      <c r="CS48" s="111">
        <v>1</v>
      </c>
      <c r="CT48" s="111">
        <v>1</v>
      </c>
      <c r="CU48" s="111">
        <v>2</v>
      </c>
      <c r="CV48" s="111">
        <v>2</v>
      </c>
      <c r="CW48" s="111">
        <v>2</v>
      </c>
      <c r="CX48" s="111">
        <v>1</v>
      </c>
      <c r="CY48" s="111">
        <v>2</v>
      </c>
      <c r="CZ48" s="111">
        <v>1</v>
      </c>
      <c r="DA48" s="111">
        <v>2</v>
      </c>
      <c r="DB48" s="111">
        <v>2</v>
      </c>
      <c r="DC48" s="111">
        <v>1</v>
      </c>
      <c r="DD48" s="111">
        <v>1</v>
      </c>
      <c r="DE48" s="111">
        <v>2</v>
      </c>
      <c r="DF48" s="111">
        <v>2</v>
      </c>
      <c r="DG48" s="111">
        <v>4</v>
      </c>
      <c r="DH48" s="111">
        <v>1</v>
      </c>
      <c r="DI48" s="111">
        <v>2</v>
      </c>
      <c r="DJ48" s="111">
        <v>2</v>
      </c>
      <c r="DK48" s="111">
        <v>2</v>
      </c>
      <c r="DL48" s="111" t="s">
        <v>967</v>
      </c>
      <c r="DM48" s="171">
        <v>45943</v>
      </c>
      <c r="DN48" s="111" t="s">
        <v>1144</v>
      </c>
      <c r="DO48" s="2" t="s">
        <v>1433</v>
      </c>
      <c r="DP48" s="111" t="s">
        <v>1173</v>
      </c>
      <c r="DQ48" s="111" t="s">
        <v>1174</v>
      </c>
      <c r="DR48" s="111">
        <v>1</v>
      </c>
      <c r="DS48" s="111">
        <v>1</v>
      </c>
      <c r="DT48" s="111" t="s">
        <v>1324</v>
      </c>
      <c r="DU48" s="111" t="s">
        <v>971</v>
      </c>
      <c r="DV48" s="111" t="s">
        <v>1269</v>
      </c>
      <c r="DW48" s="111" t="s">
        <v>1269</v>
      </c>
      <c r="DX48" s="167">
        <v>0.5</v>
      </c>
      <c r="DY48" s="111">
        <v>1</v>
      </c>
      <c r="DZ48" s="124"/>
    </row>
    <row r="49" spans="1:130" ht="12" hidden="1" customHeight="1">
      <c r="A49" s="165">
        <v>45755</v>
      </c>
      <c r="B49" s="2" t="s">
        <v>1434</v>
      </c>
      <c r="C49" s="111" t="s">
        <v>926</v>
      </c>
      <c r="D49" s="111" t="s">
        <v>1214</v>
      </c>
      <c r="E49" s="111" t="s">
        <v>1326</v>
      </c>
      <c r="F49" s="111" t="s">
        <v>1428</v>
      </c>
      <c r="G49" s="111" t="s">
        <v>1808</v>
      </c>
      <c r="H49" s="111" t="s">
        <v>1809</v>
      </c>
      <c r="I49" s="111" t="s">
        <v>1396</v>
      </c>
      <c r="J49" s="111" t="s">
        <v>1269</v>
      </c>
      <c r="K49" s="111">
        <v>4</v>
      </c>
      <c r="L49" s="111">
        <v>2</v>
      </c>
      <c r="M49" s="111">
        <v>2</v>
      </c>
      <c r="N49" s="111">
        <v>3</v>
      </c>
      <c r="O49" s="111">
        <v>2</v>
      </c>
      <c r="P49" s="111">
        <v>1</v>
      </c>
      <c r="Q49" s="111">
        <v>4</v>
      </c>
      <c r="R49" s="111">
        <v>4</v>
      </c>
      <c r="S49" s="111">
        <v>1</v>
      </c>
      <c r="T49" s="111">
        <v>4</v>
      </c>
      <c r="U49" s="111">
        <v>2</v>
      </c>
      <c r="V49" s="111">
        <v>2</v>
      </c>
      <c r="W49" s="111">
        <v>3</v>
      </c>
      <c r="X49" s="111">
        <v>1</v>
      </c>
      <c r="Y49" s="111">
        <v>1</v>
      </c>
      <c r="Z49" s="166">
        <v>2614929</v>
      </c>
      <c r="AA49" s="167">
        <v>2.6149290000000001</v>
      </c>
      <c r="AB49" s="111">
        <v>4</v>
      </c>
      <c r="AC49" s="111">
        <v>2</v>
      </c>
      <c r="AD49" s="168">
        <v>1</v>
      </c>
      <c r="AE49" s="111">
        <v>1</v>
      </c>
      <c r="AF49" s="111">
        <v>1</v>
      </c>
      <c r="AG49" s="111">
        <v>1</v>
      </c>
      <c r="AH49" s="111">
        <v>1</v>
      </c>
      <c r="AI49" s="111">
        <v>1</v>
      </c>
      <c r="AJ49" s="111">
        <v>1</v>
      </c>
      <c r="AK49" s="111">
        <v>1</v>
      </c>
      <c r="AL49" s="111">
        <v>1</v>
      </c>
      <c r="AM49" s="111">
        <v>1</v>
      </c>
      <c r="AN49" s="111">
        <v>1</v>
      </c>
      <c r="AO49" s="111">
        <v>1</v>
      </c>
      <c r="AP49" s="111">
        <v>1</v>
      </c>
      <c r="AQ49" s="111">
        <v>1</v>
      </c>
      <c r="AR49" s="111">
        <v>1</v>
      </c>
      <c r="AS49" s="111">
        <v>1</v>
      </c>
      <c r="AT49" s="111">
        <v>1</v>
      </c>
      <c r="AU49" s="111">
        <v>1</v>
      </c>
      <c r="AV49" s="111">
        <v>1</v>
      </c>
      <c r="AW49" s="111">
        <v>1</v>
      </c>
      <c r="AX49" s="111" t="s">
        <v>926</v>
      </c>
      <c r="AY49" s="169">
        <v>5.18</v>
      </c>
      <c r="AZ49" s="169">
        <v>5.25</v>
      </c>
      <c r="BA49" s="166">
        <v>42322</v>
      </c>
      <c r="BB49" s="166">
        <v>3079</v>
      </c>
      <c r="BC49" s="169">
        <v>0</v>
      </c>
      <c r="BD49" s="166">
        <v>0</v>
      </c>
      <c r="BE49" s="166">
        <v>0</v>
      </c>
      <c r="BF49" s="169">
        <v>7.8649290000000001</v>
      </c>
      <c r="BG49" s="166">
        <v>42322</v>
      </c>
      <c r="BH49" s="166">
        <v>3079</v>
      </c>
      <c r="BI49" s="111" t="s">
        <v>926</v>
      </c>
      <c r="BJ49" s="111">
        <v>2</v>
      </c>
      <c r="BK49" s="111">
        <v>1</v>
      </c>
      <c r="BL49" s="111">
        <v>1</v>
      </c>
      <c r="BM49" s="111">
        <v>2</v>
      </c>
      <c r="BN49" s="111">
        <v>2</v>
      </c>
      <c r="BO49" s="111" t="s">
        <v>1211</v>
      </c>
      <c r="BP49" s="111" t="s">
        <v>470</v>
      </c>
      <c r="BQ49" s="111" t="s">
        <v>1670</v>
      </c>
      <c r="BR49" s="111" t="s">
        <v>926</v>
      </c>
      <c r="BS49" s="111" t="s">
        <v>926</v>
      </c>
      <c r="BT49" s="111" t="s">
        <v>926</v>
      </c>
      <c r="BU49" s="111" t="s">
        <v>926</v>
      </c>
      <c r="BV49" s="111">
        <v>1</v>
      </c>
      <c r="BW49" s="2" t="s">
        <v>1182</v>
      </c>
      <c r="BX49" s="2" t="s">
        <v>1279</v>
      </c>
      <c r="BY49" s="2" t="s">
        <v>1280</v>
      </c>
      <c r="BZ49" s="2" t="s">
        <v>1204</v>
      </c>
      <c r="CA49" s="2" t="s">
        <v>1435</v>
      </c>
      <c r="CB49" s="2" t="s">
        <v>1436</v>
      </c>
      <c r="CC49" s="2" t="s">
        <v>1137</v>
      </c>
      <c r="CD49" s="2" t="s">
        <v>1167</v>
      </c>
      <c r="CE49" s="2" t="s">
        <v>1182</v>
      </c>
      <c r="CF49" s="111" t="s">
        <v>1268</v>
      </c>
      <c r="CG49" s="111" t="s">
        <v>1140</v>
      </c>
      <c r="CH49" s="111" t="s">
        <v>1283</v>
      </c>
      <c r="CI49" s="111">
        <v>19045.573700000001</v>
      </c>
      <c r="CJ49" s="111" t="s">
        <v>1810</v>
      </c>
      <c r="CK49" s="2" t="s">
        <v>1143</v>
      </c>
      <c r="CL49" s="111">
        <v>1</v>
      </c>
      <c r="CM49" s="111">
        <v>1</v>
      </c>
      <c r="CN49" s="111">
        <v>1</v>
      </c>
      <c r="CO49" s="111" t="s">
        <v>926</v>
      </c>
      <c r="CP49" s="111">
        <v>1</v>
      </c>
      <c r="CQ49" s="111">
        <v>2</v>
      </c>
      <c r="CR49" s="111">
        <v>1</v>
      </c>
      <c r="CS49" s="111">
        <v>1</v>
      </c>
      <c r="CT49" s="111">
        <v>1</v>
      </c>
      <c r="CU49" s="111">
        <v>2</v>
      </c>
      <c r="CV49" s="111">
        <v>3</v>
      </c>
      <c r="CW49" s="111">
        <v>1</v>
      </c>
      <c r="CX49" s="111">
        <v>1</v>
      </c>
      <c r="CY49" s="111">
        <v>2</v>
      </c>
      <c r="CZ49" s="111">
        <v>1</v>
      </c>
      <c r="DA49" s="111">
        <v>2</v>
      </c>
      <c r="DB49" s="111">
        <v>2</v>
      </c>
      <c r="DC49" s="111">
        <v>1</v>
      </c>
      <c r="DD49" s="111">
        <v>1</v>
      </c>
      <c r="DE49" s="111">
        <v>2</v>
      </c>
      <c r="DF49" s="111">
        <v>3</v>
      </c>
      <c r="DG49" s="111">
        <v>4</v>
      </c>
      <c r="DH49" s="111">
        <v>1</v>
      </c>
      <c r="DI49" s="111">
        <v>2</v>
      </c>
      <c r="DJ49" s="111">
        <v>2</v>
      </c>
      <c r="DK49" s="111">
        <v>2</v>
      </c>
      <c r="DL49" s="111" t="s">
        <v>967</v>
      </c>
      <c r="DM49" s="171">
        <v>45943</v>
      </c>
      <c r="DN49" s="111" t="s">
        <v>1144</v>
      </c>
      <c r="DO49" s="2" t="s">
        <v>926</v>
      </c>
      <c r="DP49" s="111" t="s">
        <v>1145</v>
      </c>
      <c r="DQ49" s="111" t="s">
        <v>1174</v>
      </c>
      <c r="DR49" s="111">
        <v>1</v>
      </c>
      <c r="DS49" s="111">
        <v>1</v>
      </c>
      <c r="DT49" s="111" t="s">
        <v>1324</v>
      </c>
      <c r="DU49" s="111" t="s">
        <v>971</v>
      </c>
      <c r="DV49" s="111" t="s">
        <v>1269</v>
      </c>
      <c r="DW49" s="111" t="s">
        <v>1269</v>
      </c>
      <c r="DX49" s="167">
        <v>0</v>
      </c>
      <c r="DY49" s="111">
        <v>1</v>
      </c>
      <c r="DZ49" s="124"/>
    </row>
    <row r="50" spans="1:130" ht="12" hidden="1" customHeight="1">
      <c r="A50" s="165">
        <v>45756</v>
      </c>
      <c r="B50" s="2" t="s">
        <v>1437</v>
      </c>
      <c r="C50" s="111" t="s">
        <v>926</v>
      </c>
      <c r="D50" s="111" t="s">
        <v>1214</v>
      </c>
      <c r="E50" s="111" t="s">
        <v>1326</v>
      </c>
      <c r="F50" s="111" t="s">
        <v>1327</v>
      </c>
      <c r="G50" s="111" t="s">
        <v>1811</v>
      </c>
      <c r="H50" s="111" t="s">
        <v>1812</v>
      </c>
      <c r="I50" s="111" t="s">
        <v>1396</v>
      </c>
      <c r="J50" s="111" t="s">
        <v>1269</v>
      </c>
      <c r="K50" s="111">
        <v>4</v>
      </c>
      <c r="L50" s="111">
        <v>2</v>
      </c>
      <c r="M50" s="111">
        <v>2</v>
      </c>
      <c r="N50" s="111">
        <v>1</v>
      </c>
      <c r="O50" s="111">
        <v>1</v>
      </c>
      <c r="P50" s="111">
        <v>1</v>
      </c>
      <c r="Q50" s="111">
        <v>3</v>
      </c>
      <c r="R50" s="111">
        <v>4</v>
      </c>
      <c r="S50" s="111">
        <v>1</v>
      </c>
      <c r="T50" s="111">
        <v>4</v>
      </c>
      <c r="U50" s="111">
        <v>2</v>
      </c>
      <c r="V50" s="111">
        <v>3</v>
      </c>
      <c r="W50" s="111">
        <v>2</v>
      </c>
      <c r="X50" s="111">
        <v>1</v>
      </c>
      <c r="Y50" s="111">
        <v>1</v>
      </c>
      <c r="Z50" s="166">
        <v>6546473</v>
      </c>
      <c r="AA50" s="167">
        <v>6.5464729999999998</v>
      </c>
      <c r="AB50" s="111">
        <v>4</v>
      </c>
      <c r="AC50" s="111">
        <v>2</v>
      </c>
      <c r="AD50" s="168">
        <v>1</v>
      </c>
      <c r="AE50" s="111">
        <v>1</v>
      </c>
      <c r="AF50" s="111">
        <v>1</v>
      </c>
      <c r="AG50" s="111">
        <v>1</v>
      </c>
      <c r="AH50" s="111">
        <v>1</v>
      </c>
      <c r="AI50" s="111">
        <v>1</v>
      </c>
      <c r="AJ50" s="111">
        <v>1</v>
      </c>
      <c r="AK50" s="111">
        <v>1</v>
      </c>
      <c r="AL50" s="111">
        <v>1</v>
      </c>
      <c r="AM50" s="111">
        <v>1</v>
      </c>
      <c r="AN50" s="170">
        <v>1</v>
      </c>
      <c r="AO50" s="170">
        <v>3</v>
      </c>
      <c r="AP50" s="111">
        <v>1</v>
      </c>
      <c r="AQ50" s="111">
        <v>1</v>
      </c>
      <c r="AR50" s="111">
        <v>1</v>
      </c>
      <c r="AS50" s="111">
        <v>1</v>
      </c>
      <c r="AT50" s="111">
        <v>1</v>
      </c>
      <c r="AU50" s="111">
        <v>1</v>
      </c>
      <c r="AV50" s="111">
        <v>1</v>
      </c>
      <c r="AW50" s="111">
        <v>1</v>
      </c>
      <c r="AX50" s="111" t="s">
        <v>926</v>
      </c>
      <c r="AY50" s="169">
        <v>8.44</v>
      </c>
      <c r="AZ50" s="169">
        <v>8.4700000000000006</v>
      </c>
      <c r="BA50" s="166">
        <v>15470</v>
      </c>
      <c r="BB50" s="166">
        <v>1898</v>
      </c>
      <c r="BC50" s="169">
        <v>1.8700000000000001E-3</v>
      </c>
      <c r="BD50" s="166">
        <v>29</v>
      </c>
      <c r="BE50" s="166">
        <v>0</v>
      </c>
      <c r="BF50" s="169">
        <v>15.018343000000002</v>
      </c>
      <c r="BG50" s="166">
        <v>15499</v>
      </c>
      <c r="BH50" s="166">
        <v>1898</v>
      </c>
      <c r="BI50" s="111" t="s">
        <v>926</v>
      </c>
      <c r="BJ50" s="111">
        <v>2</v>
      </c>
      <c r="BK50" s="111">
        <v>1</v>
      </c>
      <c r="BL50" s="111">
        <v>1</v>
      </c>
      <c r="BM50" s="111">
        <v>1</v>
      </c>
      <c r="BN50" s="111">
        <v>1</v>
      </c>
      <c r="BO50" s="111" t="s">
        <v>1211</v>
      </c>
      <c r="BP50" s="111" t="s">
        <v>470</v>
      </c>
      <c r="BQ50" s="111" t="s">
        <v>1670</v>
      </c>
      <c r="BR50" s="111" t="s">
        <v>926</v>
      </c>
      <c r="BS50" s="111" t="s">
        <v>926</v>
      </c>
      <c r="BT50" s="111" t="s">
        <v>926</v>
      </c>
      <c r="BU50" s="111" t="s">
        <v>926</v>
      </c>
      <c r="BV50" s="111">
        <v>1</v>
      </c>
      <c r="BW50" s="2" t="s">
        <v>1182</v>
      </c>
      <c r="BX50" s="2" t="s">
        <v>1279</v>
      </c>
      <c r="BY50" s="118" t="s">
        <v>1280</v>
      </c>
      <c r="BZ50" s="2" t="s">
        <v>1134</v>
      </c>
      <c r="CA50" s="2" t="s">
        <v>1438</v>
      </c>
      <c r="CB50" s="2" t="s">
        <v>1439</v>
      </c>
      <c r="CC50" s="2" t="s">
        <v>1137</v>
      </c>
      <c r="CD50" s="2" t="s">
        <v>1167</v>
      </c>
      <c r="CE50" s="2" t="s">
        <v>1182</v>
      </c>
      <c r="CF50" s="111" t="s">
        <v>1268</v>
      </c>
      <c r="CG50" s="111" t="s">
        <v>1140</v>
      </c>
      <c r="CH50" s="111" t="s">
        <v>1440</v>
      </c>
      <c r="CI50" s="111">
        <v>19045.560799999999</v>
      </c>
      <c r="CJ50" s="111" t="s">
        <v>1813</v>
      </c>
      <c r="CK50" s="2" t="s">
        <v>1143</v>
      </c>
      <c r="CL50" s="111">
        <v>1</v>
      </c>
      <c r="CM50" s="111">
        <v>1</v>
      </c>
      <c r="CN50" s="111">
        <v>1</v>
      </c>
      <c r="CO50" s="111" t="s">
        <v>926</v>
      </c>
      <c r="CP50" s="111">
        <v>1</v>
      </c>
      <c r="CQ50" s="111">
        <v>3</v>
      </c>
      <c r="CR50" s="111">
        <v>1</v>
      </c>
      <c r="CS50" s="111">
        <v>1</v>
      </c>
      <c r="CT50" s="111">
        <v>1</v>
      </c>
      <c r="CU50" s="111">
        <v>2</v>
      </c>
      <c r="CV50" s="111">
        <v>2</v>
      </c>
      <c r="CW50" s="111">
        <v>2</v>
      </c>
      <c r="CX50" s="111">
        <v>1</v>
      </c>
      <c r="CY50" s="111">
        <v>2</v>
      </c>
      <c r="CZ50" s="111">
        <v>1</v>
      </c>
      <c r="DA50" s="111">
        <v>2</v>
      </c>
      <c r="DB50" s="111">
        <v>2</v>
      </c>
      <c r="DC50" s="111">
        <v>1</v>
      </c>
      <c r="DD50" s="111">
        <v>1</v>
      </c>
      <c r="DE50" s="111">
        <v>2</v>
      </c>
      <c r="DF50" s="111">
        <v>2</v>
      </c>
      <c r="DG50" s="111">
        <v>4</v>
      </c>
      <c r="DH50" s="111">
        <v>1</v>
      </c>
      <c r="DI50" s="111">
        <v>2</v>
      </c>
      <c r="DJ50" s="111">
        <v>2</v>
      </c>
      <c r="DK50" s="111">
        <v>2</v>
      </c>
      <c r="DL50" s="111" t="s">
        <v>967</v>
      </c>
      <c r="DM50" s="171">
        <v>45943</v>
      </c>
      <c r="DN50" s="111" t="s">
        <v>1144</v>
      </c>
      <c r="DO50" s="2" t="s">
        <v>1441</v>
      </c>
      <c r="DP50" s="111" t="s">
        <v>1173</v>
      </c>
      <c r="DQ50" s="111" t="s">
        <v>1174</v>
      </c>
      <c r="DR50" s="111">
        <v>1</v>
      </c>
      <c r="DS50" s="111">
        <v>1</v>
      </c>
      <c r="DT50" s="111" t="s">
        <v>1324</v>
      </c>
      <c r="DU50" s="111" t="s">
        <v>971</v>
      </c>
      <c r="DV50" s="111" t="s">
        <v>1269</v>
      </c>
      <c r="DW50" s="111" t="s">
        <v>1269</v>
      </c>
      <c r="DX50" s="167">
        <v>0</v>
      </c>
      <c r="DY50" s="111">
        <v>1</v>
      </c>
      <c r="DZ50" s="124"/>
    </row>
    <row r="51" spans="1:130" ht="12" hidden="1" customHeight="1">
      <c r="A51" s="165">
        <v>45757</v>
      </c>
      <c r="B51" s="181" t="s">
        <v>1442</v>
      </c>
      <c r="C51" s="111" t="s">
        <v>926</v>
      </c>
      <c r="D51" s="111" t="s">
        <v>1214</v>
      </c>
      <c r="E51" s="111" t="s">
        <v>1326</v>
      </c>
      <c r="F51" s="111" t="s">
        <v>1419</v>
      </c>
      <c r="G51" s="111" t="s">
        <v>1814</v>
      </c>
      <c r="H51" s="111" t="s">
        <v>1815</v>
      </c>
      <c r="I51" s="111" t="s">
        <v>1396</v>
      </c>
      <c r="J51" s="111" t="s">
        <v>1269</v>
      </c>
      <c r="K51" s="111">
        <v>4</v>
      </c>
      <c r="L51" s="111">
        <v>3</v>
      </c>
      <c r="M51" s="111">
        <v>3</v>
      </c>
      <c r="N51" s="111">
        <v>1</v>
      </c>
      <c r="O51" s="111">
        <v>1</v>
      </c>
      <c r="P51" s="111">
        <v>1</v>
      </c>
      <c r="Q51" s="111">
        <v>2</v>
      </c>
      <c r="R51" s="111">
        <v>1</v>
      </c>
      <c r="S51" s="111">
        <v>2</v>
      </c>
      <c r="T51" s="111">
        <v>4</v>
      </c>
      <c r="U51" s="111">
        <v>2</v>
      </c>
      <c r="V51" s="111">
        <v>2</v>
      </c>
      <c r="W51" s="111">
        <v>2</v>
      </c>
      <c r="X51" s="111">
        <v>2</v>
      </c>
      <c r="Y51" s="111">
        <v>1</v>
      </c>
      <c r="Z51" s="166">
        <v>6371385</v>
      </c>
      <c r="AA51" s="167">
        <v>6.3713850000000001</v>
      </c>
      <c r="AB51" s="111">
        <v>2</v>
      </c>
      <c r="AC51" s="111">
        <v>3</v>
      </c>
      <c r="AD51" s="168">
        <v>1</v>
      </c>
      <c r="AE51" s="111">
        <v>1</v>
      </c>
      <c r="AF51" s="111">
        <v>1</v>
      </c>
      <c r="AG51" s="111">
        <v>1</v>
      </c>
      <c r="AH51" s="111">
        <v>1</v>
      </c>
      <c r="AI51" s="111">
        <v>1</v>
      </c>
      <c r="AJ51" s="111">
        <v>1</v>
      </c>
      <c r="AK51" s="111">
        <v>1</v>
      </c>
      <c r="AL51" s="111">
        <v>1</v>
      </c>
      <c r="AM51" s="111">
        <v>3</v>
      </c>
      <c r="AN51" s="111">
        <v>1</v>
      </c>
      <c r="AO51" s="111">
        <v>1</v>
      </c>
      <c r="AP51" s="111">
        <v>1</v>
      </c>
      <c r="AQ51" s="111">
        <v>1</v>
      </c>
      <c r="AR51" s="111">
        <v>1</v>
      </c>
      <c r="AS51" s="111">
        <v>1</v>
      </c>
      <c r="AT51" s="111">
        <v>1</v>
      </c>
      <c r="AU51" s="111">
        <v>1</v>
      </c>
      <c r="AV51" s="111">
        <v>1</v>
      </c>
      <c r="AW51" s="111">
        <v>1</v>
      </c>
      <c r="AX51" s="111" t="s">
        <v>926</v>
      </c>
      <c r="AY51" s="169">
        <v>10.5</v>
      </c>
      <c r="AZ51" s="169">
        <v>10.5</v>
      </c>
      <c r="BA51" s="166">
        <v>21023</v>
      </c>
      <c r="BB51" s="166">
        <v>1683</v>
      </c>
      <c r="BC51" s="169">
        <v>1.2699999999999999E-2</v>
      </c>
      <c r="BD51" s="166">
        <v>43</v>
      </c>
      <c r="BE51" s="166">
        <v>0</v>
      </c>
      <c r="BF51" s="169">
        <v>16.884084999999999</v>
      </c>
      <c r="BG51" s="166">
        <v>21066</v>
      </c>
      <c r="BH51" s="166">
        <v>1683</v>
      </c>
      <c r="BI51" s="111" t="s">
        <v>926</v>
      </c>
      <c r="BJ51" s="111">
        <v>2</v>
      </c>
      <c r="BK51" s="111">
        <v>1</v>
      </c>
      <c r="BL51" s="111">
        <v>1</v>
      </c>
      <c r="BM51" s="111">
        <v>1</v>
      </c>
      <c r="BN51" s="111">
        <v>1</v>
      </c>
      <c r="BO51" s="170" t="s">
        <v>1211</v>
      </c>
      <c r="BP51" s="111" t="s">
        <v>470</v>
      </c>
      <c r="BQ51" s="111" t="s">
        <v>1670</v>
      </c>
      <c r="BR51" s="111" t="s">
        <v>926</v>
      </c>
      <c r="BS51" s="111" t="s">
        <v>926</v>
      </c>
      <c r="BT51" s="111" t="s">
        <v>926</v>
      </c>
      <c r="BU51" s="111" t="s">
        <v>926</v>
      </c>
      <c r="BV51" s="111">
        <v>1</v>
      </c>
      <c r="BW51" s="2" t="s">
        <v>1182</v>
      </c>
      <c r="BX51" s="2" t="s">
        <v>1279</v>
      </c>
      <c r="BY51" s="118" t="s">
        <v>1280</v>
      </c>
      <c r="BZ51" s="2" t="s">
        <v>1134</v>
      </c>
      <c r="CA51" s="2" t="s">
        <v>1443</v>
      </c>
      <c r="CB51" s="2" t="s">
        <v>1444</v>
      </c>
      <c r="CC51" s="2" t="s">
        <v>1137</v>
      </c>
      <c r="CD51" s="2" t="s">
        <v>1167</v>
      </c>
      <c r="CE51" s="2" t="s">
        <v>1182</v>
      </c>
      <c r="CF51" s="111" t="s">
        <v>1139</v>
      </c>
      <c r="CG51" s="111" t="s">
        <v>1140</v>
      </c>
      <c r="CH51" s="111" t="s">
        <v>1440</v>
      </c>
      <c r="CI51" s="111">
        <v>19045.560799999999</v>
      </c>
      <c r="CJ51" s="111" t="s">
        <v>1816</v>
      </c>
      <c r="CK51" s="2" t="s">
        <v>1143</v>
      </c>
      <c r="CL51" s="111">
        <v>1</v>
      </c>
      <c r="CM51" s="111">
        <v>1</v>
      </c>
      <c r="CN51" s="111">
        <v>1</v>
      </c>
      <c r="CO51" s="111" t="s">
        <v>926</v>
      </c>
      <c r="CP51" s="111">
        <v>1</v>
      </c>
      <c r="CQ51" s="111">
        <v>3</v>
      </c>
      <c r="CR51" s="111">
        <v>1</v>
      </c>
      <c r="CS51" s="111">
        <v>1</v>
      </c>
      <c r="CT51" s="111">
        <v>1</v>
      </c>
      <c r="CU51" s="111">
        <v>2</v>
      </c>
      <c r="CV51" s="111">
        <v>3</v>
      </c>
      <c r="CW51" s="111">
        <v>2</v>
      </c>
      <c r="CX51" s="111">
        <v>1</v>
      </c>
      <c r="CY51" s="111">
        <v>2</v>
      </c>
      <c r="CZ51" s="111">
        <v>1</v>
      </c>
      <c r="DA51" s="111">
        <v>2</v>
      </c>
      <c r="DB51" s="111">
        <v>2</v>
      </c>
      <c r="DC51" s="111">
        <v>2</v>
      </c>
      <c r="DD51" s="111">
        <v>1</v>
      </c>
      <c r="DE51" s="111">
        <v>2</v>
      </c>
      <c r="DF51" s="111">
        <v>2</v>
      </c>
      <c r="DG51" s="111">
        <v>1</v>
      </c>
      <c r="DH51" s="111">
        <v>1</v>
      </c>
      <c r="DI51" s="111">
        <v>2</v>
      </c>
      <c r="DJ51" s="111">
        <v>2</v>
      </c>
      <c r="DK51" s="111">
        <v>2</v>
      </c>
      <c r="DL51" s="111" t="s">
        <v>967</v>
      </c>
      <c r="DM51" s="171">
        <v>45943</v>
      </c>
      <c r="DN51" s="111" t="s">
        <v>1224</v>
      </c>
      <c r="DO51" s="2" t="s">
        <v>1445</v>
      </c>
      <c r="DP51" s="111" t="s">
        <v>1173</v>
      </c>
      <c r="DQ51" s="111" t="s">
        <v>1174</v>
      </c>
      <c r="DR51" s="111">
        <v>1</v>
      </c>
      <c r="DS51" s="111">
        <v>1</v>
      </c>
      <c r="DT51" s="111" t="s">
        <v>1324</v>
      </c>
      <c r="DU51" s="111" t="s">
        <v>971</v>
      </c>
      <c r="DV51" s="111" t="s">
        <v>1269</v>
      </c>
      <c r="DW51" s="111" t="s">
        <v>1269</v>
      </c>
      <c r="DX51" s="167">
        <v>0</v>
      </c>
      <c r="DY51" s="184" t="s">
        <v>926</v>
      </c>
      <c r="DZ51" s="124"/>
    </row>
    <row r="52" spans="1:130" ht="12" hidden="1" customHeight="1">
      <c r="A52" s="165">
        <v>45756</v>
      </c>
      <c r="B52" s="2" t="s">
        <v>1446</v>
      </c>
      <c r="C52" s="111" t="s">
        <v>1447</v>
      </c>
      <c r="D52" s="111" t="s">
        <v>1214</v>
      </c>
      <c r="E52" s="111" t="s">
        <v>1326</v>
      </c>
      <c r="F52" s="111" t="s">
        <v>1419</v>
      </c>
      <c r="G52" s="111" t="s">
        <v>1615</v>
      </c>
      <c r="H52" s="111" t="s">
        <v>1615</v>
      </c>
      <c r="I52" s="111" t="s">
        <v>1615</v>
      </c>
      <c r="J52" s="111" t="s">
        <v>926</v>
      </c>
      <c r="K52" s="111" t="s">
        <v>926</v>
      </c>
      <c r="L52" s="111" t="s">
        <v>926</v>
      </c>
      <c r="M52" s="111" t="s">
        <v>926</v>
      </c>
      <c r="N52" s="111" t="s">
        <v>926</v>
      </c>
      <c r="O52" s="111" t="s">
        <v>926</v>
      </c>
      <c r="P52" s="111" t="s">
        <v>926</v>
      </c>
      <c r="Q52" s="111" t="s">
        <v>926</v>
      </c>
      <c r="R52" s="111" t="s">
        <v>926</v>
      </c>
      <c r="S52" s="111" t="s">
        <v>926</v>
      </c>
      <c r="T52" s="111" t="s">
        <v>926</v>
      </c>
      <c r="U52" s="111" t="s">
        <v>926</v>
      </c>
      <c r="V52" s="111" t="s">
        <v>926</v>
      </c>
      <c r="W52" s="111" t="s">
        <v>926</v>
      </c>
      <c r="X52" s="111" t="s">
        <v>926</v>
      </c>
      <c r="Y52" s="111" t="s">
        <v>926</v>
      </c>
      <c r="Z52" s="166" t="s">
        <v>926</v>
      </c>
      <c r="AA52" s="167" t="s">
        <v>926</v>
      </c>
      <c r="AB52" s="111" t="s">
        <v>926</v>
      </c>
      <c r="AC52" s="111" t="s">
        <v>926</v>
      </c>
      <c r="AD52" s="168" t="s">
        <v>926</v>
      </c>
      <c r="AE52" s="111" t="s">
        <v>926</v>
      </c>
      <c r="AF52" s="111" t="s">
        <v>926</v>
      </c>
      <c r="AG52" s="111" t="s">
        <v>926</v>
      </c>
      <c r="AH52" s="111" t="s">
        <v>926</v>
      </c>
      <c r="AI52" s="111" t="s">
        <v>926</v>
      </c>
      <c r="AJ52" s="111" t="s">
        <v>926</v>
      </c>
      <c r="AK52" s="111" t="s">
        <v>926</v>
      </c>
      <c r="AL52" s="111" t="s">
        <v>926</v>
      </c>
      <c r="AM52" s="111" t="s">
        <v>926</v>
      </c>
      <c r="AN52" s="111" t="s">
        <v>926</v>
      </c>
      <c r="AO52" s="111" t="s">
        <v>926</v>
      </c>
      <c r="AP52" s="111" t="s">
        <v>926</v>
      </c>
      <c r="AQ52" s="111" t="s">
        <v>926</v>
      </c>
      <c r="AR52" s="111" t="s">
        <v>926</v>
      </c>
      <c r="AS52" s="111" t="s">
        <v>926</v>
      </c>
      <c r="AT52" s="111" t="s">
        <v>926</v>
      </c>
      <c r="AU52" s="111" t="s">
        <v>926</v>
      </c>
      <c r="AV52" s="111" t="s">
        <v>926</v>
      </c>
      <c r="AW52" s="111" t="s">
        <v>926</v>
      </c>
      <c r="AX52" s="111" t="s">
        <v>926</v>
      </c>
      <c r="AY52" s="169" t="s">
        <v>926</v>
      </c>
      <c r="AZ52" s="169" t="s">
        <v>926</v>
      </c>
      <c r="BA52" s="166" t="s">
        <v>926</v>
      </c>
      <c r="BB52" s="166" t="s">
        <v>926</v>
      </c>
      <c r="BC52" s="169" t="s">
        <v>926</v>
      </c>
      <c r="BD52" s="166" t="s">
        <v>926</v>
      </c>
      <c r="BE52" s="166" t="s">
        <v>926</v>
      </c>
      <c r="BF52" s="169">
        <v>0</v>
      </c>
      <c r="BG52" s="166">
        <v>0</v>
      </c>
      <c r="BH52" s="166">
        <v>0</v>
      </c>
      <c r="BI52" s="111" t="s">
        <v>926</v>
      </c>
      <c r="BJ52" s="111">
        <v>2</v>
      </c>
      <c r="BK52" s="170">
        <v>3</v>
      </c>
      <c r="BL52" s="111">
        <v>1</v>
      </c>
      <c r="BM52" s="111">
        <v>2</v>
      </c>
      <c r="BN52" s="111">
        <v>2</v>
      </c>
      <c r="BO52" s="111" t="s">
        <v>1817</v>
      </c>
      <c r="BP52" s="111" t="s">
        <v>470</v>
      </c>
      <c r="BQ52" s="111" t="s">
        <v>1818</v>
      </c>
      <c r="BR52" s="111" t="s">
        <v>926</v>
      </c>
      <c r="BS52" s="111" t="s">
        <v>926</v>
      </c>
      <c r="BT52" s="111" t="s">
        <v>926</v>
      </c>
      <c r="BU52" s="111" t="s">
        <v>926</v>
      </c>
      <c r="BV52" s="111">
        <v>1</v>
      </c>
      <c r="BW52" s="2" t="s">
        <v>1182</v>
      </c>
      <c r="BX52" s="2" t="s">
        <v>1448</v>
      </c>
      <c r="BY52" s="2" t="s">
        <v>1293</v>
      </c>
      <c r="BZ52" s="2" t="s">
        <v>1294</v>
      </c>
      <c r="CA52" s="2" t="s">
        <v>1449</v>
      </c>
      <c r="CB52" s="2" t="s">
        <v>1450</v>
      </c>
      <c r="CC52" s="2" t="s">
        <v>1297</v>
      </c>
      <c r="CD52" s="2" t="s">
        <v>1138</v>
      </c>
      <c r="CE52" s="2" t="s">
        <v>1182</v>
      </c>
      <c r="CF52" s="111" t="s">
        <v>1298</v>
      </c>
      <c r="CG52" s="111" t="s">
        <v>1169</v>
      </c>
      <c r="CH52" s="177" t="s">
        <v>1451</v>
      </c>
      <c r="CI52" s="111">
        <v>22631.489000000001</v>
      </c>
      <c r="CJ52" s="111" t="s">
        <v>1819</v>
      </c>
      <c r="CK52" s="2" t="s">
        <v>1452</v>
      </c>
      <c r="CL52" s="111" t="s">
        <v>926</v>
      </c>
      <c r="CM52" s="111" t="s">
        <v>926</v>
      </c>
      <c r="CN52" s="111" t="s">
        <v>926</v>
      </c>
      <c r="CO52" s="111" t="s">
        <v>926</v>
      </c>
      <c r="CP52" s="111" t="s">
        <v>926</v>
      </c>
      <c r="CQ52" s="111" t="s">
        <v>926</v>
      </c>
      <c r="CR52" s="111" t="s">
        <v>926</v>
      </c>
      <c r="CS52" s="111" t="s">
        <v>926</v>
      </c>
      <c r="CT52" s="111" t="s">
        <v>926</v>
      </c>
      <c r="CU52" s="111" t="s">
        <v>926</v>
      </c>
      <c r="CV52" s="111" t="s">
        <v>926</v>
      </c>
      <c r="CW52" s="111" t="s">
        <v>926</v>
      </c>
      <c r="CX52" s="111" t="s">
        <v>926</v>
      </c>
      <c r="CY52" s="111" t="s">
        <v>926</v>
      </c>
      <c r="CZ52" s="111" t="s">
        <v>926</v>
      </c>
      <c r="DA52" s="111" t="s">
        <v>926</v>
      </c>
      <c r="DB52" s="111" t="s">
        <v>926</v>
      </c>
      <c r="DC52" s="111" t="s">
        <v>926</v>
      </c>
      <c r="DD52" s="111" t="s">
        <v>926</v>
      </c>
      <c r="DE52" s="111" t="s">
        <v>926</v>
      </c>
      <c r="DF52" s="111" t="s">
        <v>926</v>
      </c>
      <c r="DG52" s="111" t="s">
        <v>926</v>
      </c>
      <c r="DH52" s="111" t="s">
        <v>926</v>
      </c>
      <c r="DI52" s="111" t="s">
        <v>926</v>
      </c>
      <c r="DJ52" s="111" t="s">
        <v>926</v>
      </c>
      <c r="DK52" s="111" t="s">
        <v>926</v>
      </c>
      <c r="DL52" s="111" t="s">
        <v>926</v>
      </c>
      <c r="DM52" s="171" t="s">
        <v>926</v>
      </c>
      <c r="DN52" s="111" t="s">
        <v>926</v>
      </c>
      <c r="DO52" s="2" t="s">
        <v>926</v>
      </c>
      <c r="DP52" s="111" t="s">
        <v>926</v>
      </c>
      <c r="DQ52" s="111" t="s">
        <v>926</v>
      </c>
      <c r="DR52" s="111" t="s">
        <v>926</v>
      </c>
      <c r="DS52" s="111" t="s">
        <v>926</v>
      </c>
      <c r="DT52" s="111" t="s">
        <v>926</v>
      </c>
      <c r="DU52" s="111" t="s">
        <v>926</v>
      </c>
      <c r="DV52" s="111" t="s">
        <v>926</v>
      </c>
      <c r="DW52" s="111" t="s">
        <v>926</v>
      </c>
      <c r="DX52" s="167" t="s">
        <v>926</v>
      </c>
      <c r="DY52" s="111" t="s">
        <v>926</v>
      </c>
      <c r="DZ52" s="124" t="s">
        <v>1453</v>
      </c>
    </row>
    <row r="53" spans="1:130" ht="12" customHeight="1">
      <c r="A53" s="165">
        <v>45756</v>
      </c>
      <c r="B53" s="2" t="s">
        <v>1454</v>
      </c>
      <c r="C53" s="111" t="s">
        <v>926</v>
      </c>
      <c r="D53" s="111" t="s">
        <v>1455</v>
      </c>
      <c r="E53" s="111" t="s">
        <v>1456</v>
      </c>
      <c r="F53" s="111" t="s">
        <v>926</v>
      </c>
      <c r="G53" s="111" t="s">
        <v>1820</v>
      </c>
      <c r="H53" s="111" t="s">
        <v>1821</v>
      </c>
      <c r="I53" s="111" t="s">
        <v>1666</v>
      </c>
      <c r="J53" s="111" t="s">
        <v>1269</v>
      </c>
      <c r="K53" s="111">
        <v>4</v>
      </c>
      <c r="L53" s="111">
        <v>3</v>
      </c>
      <c r="M53" s="111">
        <v>4</v>
      </c>
      <c r="N53" s="111">
        <v>2</v>
      </c>
      <c r="O53" s="111">
        <v>2</v>
      </c>
      <c r="P53" s="111">
        <v>4</v>
      </c>
      <c r="Q53" s="111">
        <v>2</v>
      </c>
      <c r="R53" s="111">
        <v>2</v>
      </c>
      <c r="S53" s="111">
        <v>2</v>
      </c>
      <c r="T53" s="111">
        <v>4</v>
      </c>
      <c r="U53" s="111">
        <v>3</v>
      </c>
      <c r="V53" s="111">
        <v>3</v>
      </c>
      <c r="W53" s="111">
        <v>2</v>
      </c>
      <c r="X53" s="111">
        <v>3</v>
      </c>
      <c r="Y53" s="111">
        <v>2</v>
      </c>
      <c r="Z53" s="188">
        <v>22072265</v>
      </c>
      <c r="AA53" s="189">
        <v>22.072265000000002</v>
      </c>
      <c r="AB53" s="111">
        <v>4</v>
      </c>
      <c r="AC53" s="111">
        <v>3</v>
      </c>
      <c r="AD53" s="168">
        <v>4</v>
      </c>
      <c r="AE53" s="111">
        <v>2</v>
      </c>
      <c r="AF53" s="111">
        <v>1</v>
      </c>
      <c r="AG53" s="111">
        <v>1</v>
      </c>
      <c r="AH53" s="111">
        <v>1</v>
      </c>
      <c r="AI53" s="111">
        <v>3</v>
      </c>
      <c r="AJ53" s="111">
        <v>3</v>
      </c>
      <c r="AK53" s="111">
        <v>1</v>
      </c>
      <c r="AL53" s="111">
        <v>1</v>
      </c>
      <c r="AM53" s="111">
        <v>4</v>
      </c>
      <c r="AN53" s="111">
        <v>1</v>
      </c>
      <c r="AO53" s="111">
        <v>1</v>
      </c>
      <c r="AP53" s="111">
        <v>1</v>
      </c>
      <c r="AQ53" s="111">
        <v>1</v>
      </c>
      <c r="AR53" s="111">
        <v>1</v>
      </c>
      <c r="AS53" s="111">
        <v>1</v>
      </c>
      <c r="AT53" s="111">
        <v>2</v>
      </c>
      <c r="AU53" s="111">
        <v>1</v>
      </c>
      <c r="AV53" s="111">
        <v>1</v>
      </c>
      <c r="AW53" s="111">
        <v>1</v>
      </c>
      <c r="AX53" s="111" t="s">
        <v>926</v>
      </c>
      <c r="AY53" s="190">
        <v>32.299999999999997</v>
      </c>
      <c r="AZ53" s="190">
        <v>32.4</v>
      </c>
      <c r="BA53" s="188">
        <v>74160</v>
      </c>
      <c r="BB53" s="188">
        <v>13287</v>
      </c>
      <c r="BC53" s="190">
        <v>0.308</v>
      </c>
      <c r="BD53" s="188">
        <v>230</v>
      </c>
      <c r="BE53" s="188">
        <v>37</v>
      </c>
      <c r="BF53" s="169">
        <v>54.780265</v>
      </c>
      <c r="BG53" s="166">
        <v>74390</v>
      </c>
      <c r="BH53" s="166">
        <v>13324</v>
      </c>
      <c r="BI53" s="111" t="s">
        <v>926</v>
      </c>
      <c r="BJ53" s="111">
        <v>1</v>
      </c>
      <c r="BK53" s="111">
        <v>2</v>
      </c>
      <c r="BL53" s="170">
        <v>3</v>
      </c>
      <c r="BM53" s="170">
        <v>1</v>
      </c>
      <c r="BN53" s="111">
        <v>3</v>
      </c>
      <c r="BO53" s="111" t="s">
        <v>1192</v>
      </c>
      <c r="BP53" s="111" t="s">
        <v>1683</v>
      </c>
      <c r="BQ53" s="111" t="s">
        <v>1684</v>
      </c>
      <c r="BR53" s="111" t="s">
        <v>1602</v>
      </c>
      <c r="BS53" s="111" t="s">
        <v>1822</v>
      </c>
      <c r="BT53" s="111" t="s">
        <v>1211</v>
      </c>
      <c r="BU53" s="111" t="s">
        <v>1817</v>
      </c>
      <c r="BV53" s="111">
        <v>1</v>
      </c>
      <c r="BW53" s="2" t="s">
        <v>1182</v>
      </c>
      <c r="BX53" s="2" t="s">
        <v>1457</v>
      </c>
      <c r="BY53" s="2" t="s">
        <v>1458</v>
      </c>
      <c r="BZ53" s="2" t="s">
        <v>1459</v>
      </c>
      <c r="CA53" s="2" t="s">
        <v>1460</v>
      </c>
      <c r="CB53" s="2" t="s">
        <v>1461</v>
      </c>
      <c r="CC53" s="2" t="s">
        <v>1137</v>
      </c>
      <c r="CD53" s="2" t="s">
        <v>1167</v>
      </c>
      <c r="CE53" s="2" t="s">
        <v>1182</v>
      </c>
      <c r="CF53" s="111" t="s">
        <v>1183</v>
      </c>
      <c r="CG53" s="111" t="s">
        <v>1184</v>
      </c>
      <c r="CH53" s="111" t="s">
        <v>1462</v>
      </c>
      <c r="CI53" s="111">
        <v>26100.347600000001</v>
      </c>
      <c r="CJ53" s="111" t="s">
        <v>1171</v>
      </c>
      <c r="CK53" s="2" t="s">
        <v>1198</v>
      </c>
      <c r="CL53" s="111">
        <v>2</v>
      </c>
      <c r="CM53" s="111">
        <v>1</v>
      </c>
      <c r="CN53" s="111">
        <v>1</v>
      </c>
      <c r="CO53" s="111" t="s">
        <v>926</v>
      </c>
      <c r="CP53" s="111">
        <v>2</v>
      </c>
      <c r="CQ53" s="111">
        <v>2</v>
      </c>
      <c r="CR53" s="111">
        <v>2</v>
      </c>
      <c r="CS53" s="111">
        <v>2</v>
      </c>
      <c r="CT53" s="111">
        <v>2</v>
      </c>
      <c r="CU53" s="111">
        <v>2</v>
      </c>
      <c r="CV53" s="111">
        <v>2</v>
      </c>
      <c r="CW53" s="111">
        <v>3</v>
      </c>
      <c r="CX53" s="111">
        <v>2</v>
      </c>
      <c r="CY53" s="111">
        <v>2</v>
      </c>
      <c r="CZ53" s="111">
        <v>4</v>
      </c>
      <c r="DA53" s="111">
        <v>2</v>
      </c>
      <c r="DB53" s="111">
        <v>2</v>
      </c>
      <c r="DC53" s="111">
        <v>3</v>
      </c>
      <c r="DD53" s="111">
        <v>2</v>
      </c>
      <c r="DE53" s="111">
        <v>2</v>
      </c>
      <c r="DF53" s="111">
        <v>2</v>
      </c>
      <c r="DG53" s="111">
        <v>2</v>
      </c>
      <c r="DH53" s="111">
        <v>2</v>
      </c>
      <c r="DI53" s="111">
        <v>2</v>
      </c>
      <c r="DJ53" s="111">
        <v>2</v>
      </c>
      <c r="DK53" s="111">
        <v>2</v>
      </c>
      <c r="DL53" s="111" t="s">
        <v>937</v>
      </c>
      <c r="DM53" s="171" t="s">
        <v>926</v>
      </c>
      <c r="DN53" s="111" t="s">
        <v>1144</v>
      </c>
      <c r="DO53" s="2" t="s">
        <v>926</v>
      </c>
      <c r="DP53" s="111" t="s">
        <v>926</v>
      </c>
      <c r="DQ53" s="111" t="s">
        <v>926</v>
      </c>
      <c r="DR53" s="111">
        <v>1</v>
      </c>
      <c r="DS53" s="111">
        <v>1</v>
      </c>
      <c r="DT53" s="111" t="s">
        <v>1147</v>
      </c>
      <c r="DU53" s="111" t="s">
        <v>941</v>
      </c>
      <c r="DV53" s="111" t="s">
        <v>1269</v>
      </c>
      <c r="DW53" s="111" t="s">
        <v>1269</v>
      </c>
      <c r="DX53" s="167">
        <v>0.5</v>
      </c>
      <c r="DY53" s="111">
        <v>1</v>
      </c>
      <c r="DZ53" s="124"/>
    </row>
    <row r="54" spans="1:130" ht="12" hidden="1" customHeight="1">
      <c r="A54" s="165">
        <v>45756</v>
      </c>
      <c r="B54" s="2" t="s">
        <v>1463</v>
      </c>
      <c r="C54" s="111" t="s">
        <v>926</v>
      </c>
      <c r="D54" s="111" t="s">
        <v>1455</v>
      </c>
      <c r="E54" s="111" t="s">
        <v>1456</v>
      </c>
      <c r="F54" s="111" t="s">
        <v>926</v>
      </c>
      <c r="G54" s="111" t="s">
        <v>1823</v>
      </c>
      <c r="H54" s="111" t="s">
        <v>1824</v>
      </c>
      <c r="I54" s="111" t="s">
        <v>1666</v>
      </c>
      <c r="J54" s="111" t="s">
        <v>1269</v>
      </c>
      <c r="K54" s="111">
        <v>4</v>
      </c>
      <c r="L54" s="111">
        <v>2</v>
      </c>
      <c r="M54" s="111">
        <v>2</v>
      </c>
      <c r="N54" s="111">
        <v>2</v>
      </c>
      <c r="O54" s="111">
        <v>3</v>
      </c>
      <c r="P54" s="111">
        <v>3</v>
      </c>
      <c r="Q54" s="111">
        <v>3</v>
      </c>
      <c r="R54" s="111">
        <v>2</v>
      </c>
      <c r="S54" s="111">
        <v>1</v>
      </c>
      <c r="T54" s="111">
        <v>4</v>
      </c>
      <c r="U54" s="111">
        <v>2</v>
      </c>
      <c r="V54" s="111">
        <v>4</v>
      </c>
      <c r="W54" s="111">
        <v>2</v>
      </c>
      <c r="X54" s="111">
        <v>2</v>
      </c>
      <c r="Y54" s="111">
        <v>2</v>
      </c>
      <c r="Z54" s="188">
        <v>2780345</v>
      </c>
      <c r="AA54" s="189">
        <v>2.7803450000000001</v>
      </c>
      <c r="AB54" s="170">
        <v>4</v>
      </c>
      <c r="AC54" s="170">
        <v>4</v>
      </c>
      <c r="AD54" s="176">
        <v>4</v>
      </c>
      <c r="AE54" s="111">
        <v>1</v>
      </c>
      <c r="AF54" s="111">
        <v>1</v>
      </c>
      <c r="AG54" s="111">
        <v>1</v>
      </c>
      <c r="AH54" s="111">
        <v>1</v>
      </c>
      <c r="AI54" s="111">
        <v>1</v>
      </c>
      <c r="AJ54" s="111">
        <v>1</v>
      </c>
      <c r="AK54" s="111">
        <v>1</v>
      </c>
      <c r="AL54" s="111">
        <v>1</v>
      </c>
      <c r="AM54" s="111">
        <v>4</v>
      </c>
      <c r="AN54" s="111">
        <v>1</v>
      </c>
      <c r="AO54" s="111">
        <v>1</v>
      </c>
      <c r="AP54" s="111">
        <v>1</v>
      </c>
      <c r="AQ54" s="111">
        <v>1</v>
      </c>
      <c r="AR54" s="111">
        <v>1</v>
      </c>
      <c r="AS54" s="111">
        <v>1</v>
      </c>
      <c r="AT54" s="111">
        <v>1</v>
      </c>
      <c r="AU54" s="111">
        <v>1</v>
      </c>
      <c r="AV54" s="111">
        <v>1</v>
      </c>
      <c r="AW54" s="111">
        <v>1</v>
      </c>
      <c r="AX54" s="111" t="s">
        <v>926</v>
      </c>
      <c r="AY54" s="190">
        <v>88.4</v>
      </c>
      <c r="AZ54" s="190">
        <v>88.6</v>
      </c>
      <c r="BA54" s="188">
        <v>143468</v>
      </c>
      <c r="BB54" s="188">
        <v>8399</v>
      </c>
      <c r="BC54" s="190">
        <v>2.9399999999999999E-2</v>
      </c>
      <c r="BD54" s="188">
        <v>143</v>
      </c>
      <c r="BE54" s="188">
        <v>9</v>
      </c>
      <c r="BF54" s="169">
        <v>91.409744999999987</v>
      </c>
      <c r="BG54" s="166">
        <v>143611</v>
      </c>
      <c r="BH54" s="166">
        <v>8408</v>
      </c>
      <c r="BI54" s="111" t="s">
        <v>926</v>
      </c>
      <c r="BJ54" s="111">
        <v>1</v>
      </c>
      <c r="BK54" s="111">
        <v>2</v>
      </c>
      <c r="BL54" s="111">
        <v>1</v>
      </c>
      <c r="BM54" s="111">
        <v>1</v>
      </c>
      <c r="BN54" s="111">
        <v>1</v>
      </c>
      <c r="BO54" s="170" t="s">
        <v>1192</v>
      </c>
      <c r="BP54" s="111" t="s">
        <v>1683</v>
      </c>
      <c r="BQ54" s="111" t="s">
        <v>1684</v>
      </c>
      <c r="BR54" s="111" t="s">
        <v>926</v>
      </c>
      <c r="BS54" s="111" t="s">
        <v>926</v>
      </c>
      <c r="BT54" s="111" t="s">
        <v>926</v>
      </c>
      <c r="BU54" s="111" t="s">
        <v>926</v>
      </c>
      <c r="BV54" s="111">
        <v>1</v>
      </c>
      <c r="BW54" s="2" t="s">
        <v>1182</v>
      </c>
      <c r="BX54" s="2" t="s">
        <v>1603</v>
      </c>
      <c r="BY54" s="2" t="s">
        <v>1604</v>
      </c>
      <c r="BZ54" s="2" t="s">
        <v>1605</v>
      </c>
      <c r="CA54" s="2" t="s">
        <v>1606</v>
      </c>
      <c r="CB54" s="2" t="s">
        <v>1607</v>
      </c>
      <c r="CC54" s="2" t="s">
        <v>1137</v>
      </c>
      <c r="CD54" s="2" t="s">
        <v>1167</v>
      </c>
      <c r="CE54" s="2" t="s">
        <v>1182</v>
      </c>
      <c r="CF54" s="111" t="s">
        <v>1168</v>
      </c>
      <c r="CG54" s="111" t="s">
        <v>1299</v>
      </c>
      <c r="CH54" s="111" t="s">
        <v>1608</v>
      </c>
      <c r="CI54" s="111">
        <v>22000.253799999999</v>
      </c>
      <c r="CJ54" s="111" t="s">
        <v>1825</v>
      </c>
      <c r="CK54" s="2" t="s">
        <v>1301</v>
      </c>
      <c r="CL54" s="111">
        <v>1</v>
      </c>
      <c r="CM54" s="111">
        <v>1</v>
      </c>
      <c r="CN54" s="111">
        <v>1</v>
      </c>
      <c r="CO54" s="111" t="s">
        <v>926</v>
      </c>
      <c r="CP54" s="111">
        <v>1</v>
      </c>
      <c r="CQ54" s="111">
        <v>1</v>
      </c>
      <c r="CR54" s="111">
        <v>1</v>
      </c>
      <c r="CS54" s="111">
        <v>1</v>
      </c>
      <c r="CT54" s="111">
        <v>2</v>
      </c>
      <c r="CU54" s="111">
        <v>2</v>
      </c>
      <c r="CV54" s="111">
        <v>2</v>
      </c>
      <c r="CW54" s="111">
        <v>3</v>
      </c>
      <c r="CX54" s="111">
        <v>1</v>
      </c>
      <c r="CY54" s="111">
        <v>1</v>
      </c>
      <c r="CZ54" s="111">
        <v>4</v>
      </c>
      <c r="DA54" s="111">
        <v>2</v>
      </c>
      <c r="DB54" s="111">
        <v>2</v>
      </c>
      <c r="DC54" s="111">
        <v>1</v>
      </c>
      <c r="DD54" s="111">
        <v>1</v>
      </c>
      <c r="DE54" s="111">
        <v>2</v>
      </c>
      <c r="DF54" s="111">
        <v>2</v>
      </c>
      <c r="DG54" s="111">
        <v>2</v>
      </c>
      <c r="DH54" s="111">
        <v>1</v>
      </c>
      <c r="DI54" s="111">
        <v>2</v>
      </c>
      <c r="DJ54" s="111">
        <v>2</v>
      </c>
      <c r="DK54" s="111">
        <v>2</v>
      </c>
      <c r="DL54" s="111" t="s">
        <v>967</v>
      </c>
      <c r="DM54" s="171"/>
      <c r="DN54" s="111" t="s">
        <v>1144</v>
      </c>
      <c r="DO54" s="2" t="s">
        <v>926</v>
      </c>
      <c r="DP54" s="111" t="s">
        <v>1173</v>
      </c>
      <c r="DQ54" s="111" t="s">
        <v>1174</v>
      </c>
      <c r="DR54" s="111">
        <v>1</v>
      </c>
      <c r="DS54" s="111">
        <v>1</v>
      </c>
      <c r="DT54" s="111" t="s">
        <v>1147</v>
      </c>
      <c r="DU54" s="111" t="s">
        <v>941</v>
      </c>
      <c r="DV54" s="111" t="s">
        <v>1269</v>
      </c>
      <c r="DW54" s="111" t="s">
        <v>1269</v>
      </c>
      <c r="DX54" s="167">
        <v>0.5</v>
      </c>
      <c r="DY54" s="111">
        <v>1</v>
      </c>
      <c r="DZ54" s="124" t="s">
        <v>1464</v>
      </c>
    </row>
    <row r="55" spans="1:130" ht="12" hidden="1" customHeight="1">
      <c r="A55" s="165">
        <v>45756</v>
      </c>
      <c r="B55" s="181" t="s">
        <v>1465</v>
      </c>
      <c r="C55" s="111" t="s">
        <v>926</v>
      </c>
      <c r="D55" s="111" t="s">
        <v>1455</v>
      </c>
      <c r="E55" s="111" t="s">
        <v>1456</v>
      </c>
      <c r="F55" s="111" t="s">
        <v>926</v>
      </c>
      <c r="G55" s="111" t="s">
        <v>1826</v>
      </c>
      <c r="H55" s="111" t="s">
        <v>1827</v>
      </c>
      <c r="I55" s="111" t="s">
        <v>1666</v>
      </c>
      <c r="J55" s="111" t="s">
        <v>1269</v>
      </c>
      <c r="K55" s="111">
        <v>4</v>
      </c>
      <c r="L55" s="111">
        <v>3</v>
      </c>
      <c r="M55" s="111">
        <v>2</v>
      </c>
      <c r="N55" s="111">
        <v>1</v>
      </c>
      <c r="O55" s="111">
        <v>3</v>
      </c>
      <c r="P55" s="111">
        <v>1</v>
      </c>
      <c r="Q55" s="111">
        <v>3</v>
      </c>
      <c r="R55" s="111">
        <v>2</v>
      </c>
      <c r="S55" s="111">
        <v>1</v>
      </c>
      <c r="T55" s="111">
        <v>4</v>
      </c>
      <c r="U55" s="111">
        <v>2</v>
      </c>
      <c r="V55" s="111">
        <v>2</v>
      </c>
      <c r="W55" s="111">
        <v>2</v>
      </c>
      <c r="X55" s="111">
        <v>1</v>
      </c>
      <c r="Y55" s="111">
        <v>2</v>
      </c>
      <c r="Z55" s="188">
        <v>906970</v>
      </c>
      <c r="AA55" s="189">
        <v>0.90697000000000005</v>
      </c>
      <c r="AB55" s="111">
        <v>3</v>
      </c>
      <c r="AC55" s="111">
        <v>3</v>
      </c>
      <c r="AD55" s="168">
        <v>4</v>
      </c>
      <c r="AE55" s="111">
        <v>1</v>
      </c>
      <c r="AF55" s="111">
        <v>1</v>
      </c>
      <c r="AG55" s="111">
        <v>1</v>
      </c>
      <c r="AH55" s="111">
        <v>1</v>
      </c>
      <c r="AI55" s="111">
        <v>1</v>
      </c>
      <c r="AJ55" s="111">
        <v>1</v>
      </c>
      <c r="AK55" s="111">
        <v>1</v>
      </c>
      <c r="AL55" s="111">
        <v>1</v>
      </c>
      <c r="AM55" s="111">
        <v>3</v>
      </c>
      <c r="AN55" s="111">
        <v>1</v>
      </c>
      <c r="AO55" s="111">
        <v>1</v>
      </c>
      <c r="AP55" s="111">
        <v>1</v>
      </c>
      <c r="AQ55" s="111">
        <v>1</v>
      </c>
      <c r="AR55" s="111">
        <v>1</v>
      </c>
      <c r="AS55" s="111">
        <v>1</v>
      </c>
      <c r="AT55" s="111">
        <v>1</v>
      </c>
      <c r="AU55" s="111">
        <v>1</v>
      </c>
      <c r="AV55" s="111">
        <v>1</v>
      </c>
      <c r="AW55" s="111">
        <v>1</v>
      </c>
      <c r="AX55" s="111" t="s">
        <v>926</v>
      </c>
      <c r="AY55" s="190">
        <v>3.8</v>
      </c>
      <c r="AZ55" s="190">
        <v>3.81</v>
      </c>
      <c r="BA55" s="188">
        <v>1435</v>
      </c>
      <c r="BB55" s="188">
        <v>167</v>
      </c>
      <c r="BC55" s="190" t="s">
        <v>926</v>
      </c>
      <c r="BD55" s="188" t="s">
        <v>926</v>
      </c>
      <c r="BE55" s="188" t="s">
        <v>926</v>
      </c>
      <c r="BF55" s="169">
        <v>4.7169699999999999</v>
      </c>
      <c r="BG55" s="166">
        <v>1435</v>
      </c>
      <c r="BH55" s="166">
        <v>167</v>
      </c>
      <c r="BI55" s="111" t="s">
        <v>926</v>
      </c>
      <c r="BJ55" s="111">
        <v>1</v>
      </c>
      <c r="BK55" s="111">
        <v>2</v>
      </c>
      <c r="BL55" s="170">
        <v>3</v>
      </c>
      <c r="BM55" s="111">
        <v>1</v>
      </c>
      <c r="BN55" s="111">
        <v>1</v>
      </c>
      <c r="BO55" s="170" t="s">
        <v>1192</v>
      </c>
      <c r="BP55" s="111" t="s">
        <v>1683</v>
      </c>
      <c r="BQ55" s="111" t="s">
        <v>1684</v>
      </c>
      <c r="BR55" s="111" t="s">
        <v>926</v>
      </c>
      <c r="BS55" s="111" t="s">
        <v>926</v>
      </c>
      <c r="BT55" s="111" t="s">
        <v>926</v>
      </c>
      <c r="BU55" s="111" t="s">
        <v>926</v>
      </c>
      <c r="BV55" s="111">
        <v>1</v>
      </c>
      <c r="BW55" s="2" t="s">
        <v>1182</v>
      </c>
      <c r="BX55" s="2" t="s">
        <v>1828</v>
      </c>
      <c r="BY55" s="2" t="s">
        <v>1458</v>
      </c>
      <c r="BZ55" s="2" t="s">
        <v>1466</v>
      </c>
      <c r="CA55" s="2" t="s">
        <v>1467</v>
      </c>
      <c r="CB55" s="2" t="s">
        <v>1829</v>
      </c>
      <c r="CC55" s="2" t="s">
        <v>1137</v>
      </c>
      <c r="CD55" s="2" t="s">
        <v>1167</v>
      </c>
      <c r="CE55" s="2" t="s">
        <v>1182</v>
      </c>
      <c r="CF55" s="111" t="s">
        <v>1183</v>
      </c>
      <c r="CG55" s="111" t="s">
        <v>1140</v>
      </c>
      <c r="CH55" s="111" t="s">
        <v>1440</v>
      </c>
      <c r="CI55" s="111">
        <v>22621.431700000001</v>
      </c>
      <c r="CJ55" s="111" t="s">
        <v>1171</v>
      </c>
      <c r="CK55" s="2" t="s">
        <v>1366</v>
      </c>
      <c r="CL55" s="111">
        <v>1</v>
      </c>
      <c r="CM55" s="111">
        <v>1</v>
      </c>
      <c r="CN55" s="111">
        <v>1</v>
      </c>
      <c r="CO55" s="111" t="s">
        <v>926</v>
      </c>
      <c r="CP55" s="111">
        <v>1</v>
      </c>
      <c r="CQ55" s="111">
        <v>1</v>
      </c>
      <c r="CR55" s="111">
        <v>1</v>
      </c>
      <c r="CS55" s="111">
        <v>1</v>
      </c>
      <c r="CT55" s="111">
        <v>2</v>
      </c>
      <c r="CU55" s="111">
        <v>2</v>
      </c>
      <c r="CV55" s="111">
        <v>2</v>
      </c>
      <c r="CW55" s="111">
        <v>2</v>
      </c>
      <c r="CX55" s="111">
        <v>1</v>
      </c>
      <c r="CY55" s="111">
        <v>1</v>
      </c>
      <c r="CZ55" s="111">
        <v>4</v>
      </c>
      <c r="DA55" s="111">
        <v>2</v>
      </c>
      <c r="DB55" s="111">
        <v>2</v>
      </c>
      <c r="DC55" s="111">
        <v>1</v>
      </c>
      <c r="DD55" s="111">
        <v>1</v>
      </c>
      <c r="DE55" s="111">
        <v>2</v>
      </c>
      <c r="DF55" s="111">
        <v>2</v>
      </c>
      <c r="DG55" s="111">
        <v>2</v>
      </c>
      <c r="DH55" s="111">
        <v>1</v>
      </c>
      <c r="DI55" s="111">
        <v>2</v>
      </c>
      <c r="DJ55" s="111">
        <v>2</v>
      </c>
      <c r="DK55" s="111">
        <v>2</v>
      </c>
      <c r="DL55" s="111" t="s">
        <v>937</v>
      </c>
      <c r="DM55" s="171" t="s">
        <v>926</v>
      </c>
      <c r="DN55" s="111" t="s">
        <v>1144</v>
      </c>
      <c r="DO55" s="2" t="s">
        <v>926</v>
      </c>
      <c r="DP55" s="111" t="s">
        <v>926</v>
      </c>
      <c r="DQ55" s="111" t="s">
        <v>926</v>
      </c>
      <c r="DR55" s="111">
        <v>1</v>
      </c>
      <c r="DS55" s="111">
        <v>1</v>
      </c>
      <c r="DT55" s="111" t="s">
        <v>1147</v>
      </c>
      <c r="DU55" s="111" t="s">
        <v>941</v>
      </c>
      <c r="DV55" s="111" t="s">
        <v>1269</v>
      </c>
      <c r="DW55" s="111" t="s">
        <v>1269</v>
      </c>
      <c r="DX55" s="167">
        <v>0.5</v>
      </c>
      <c r="DY55" s="184" t="s">
        <v>926</v>
      </c>
      <c r="DZ55" s="124" t="s">
        <v>1468</v>
      </c>
    </row>
    <row r="56" spans="1:130" ht="12" hidden="1" customHeight="1">
      <c r="A56" s="165">
        <v>45756</v>
      </c>
      <c r="B56" s="2" t="s">
        <v>1469</v>
      </c>
      <c r="C56" s="111" t="s">
        <v>926</v>
      </c>
      <c r="D56" s="111" t="s">
        <v>1470</v>
      </c>
      <c r="E56" s="111" t="s">
        <v>1471</v>
      </c>
      <c r="F56" s="111" t="s">
        <v>926</v>
      </c>
      <c r="G56" s="111" t="s">
        <v>1830</v>
      </c>
      <c r="H56" s="111" t="s">
        <v>1831</v>
      </c>
      <c r="I56" s="111" t="s">
        <v>1666</v>
      </c>
      <c r="J56" s="111" t="s">
        <v>1148</v>
      </c>
      <c r="K56" s="111">
        <v>4</v>
      </c>
      <c r="L56" s="111">
        <v>4</v>
      </c>
      <c r="M56" s="111">
        <v>2</v>
      </c>
      <c r="N56" s="111">
        <v>1</v>
      </c>
      <c r="O56" s="111">
        <v>2</v>
      </c>
      <c r="P56" s="111">
        <v>2</v>
      </c>
      <c r="Q56" s="111">
        <v>1</v>
      </c>
      <c r="R56" s="170">
        <v>2</v>
      </c>
      <c r="S56" s="111">
        <v>1</v>
      </c>
      <c r="T56" s="111">
        <v>4</v>
      </c>
      <c r="U56" s="111">
        <v>4</v>
      </c>
      <c r="V56" s="111">
        <v>3</v>
      </c>
      <c r="W56" s="111">
        <v>3</v>
      </c>
      <c r="X56" s="111">
        <v>1</v>
      </c>
      <c r="Y56" s="111">
        <v>3</v>
      </c>
      <c r="Z56" s="166">
        <v>9915356</v>
      </c>
      <c r="AA56" s="189">
        <v>9.9153559999999992</v>
      </c>
      <c r="AB56" s="111">
        <v>4</v>
      </c>
      <c r="AC56" s="111">
        <v>4</v>
      </c>
      <c r="AD56" s="168">
        <v>1</v>
      </c>
      <c r="AE56" s="111">
        <v>1</v>
      </c>
      <c r="AF56" s="111">
        <v>2</v>
      </c>
      <c r="AG56" s="111">
        <v>1</v>
      </c>
      <c r="AH56" s="111">
        <v>1</v>
      </c>
      <c r="AI56" s="111">
        <v>4</v>
      </c>
      <c r="AJ56" s="111">
        <v>3</v>
      </c>
      <c r="AK56" s="111">
        <v>1</v>
      </c>
      <c r="AL56" s="111">
        <v>1</v>
      </c>
      <c r="AM56" s="111">
        <v>3</v>
      </c>
      <c r="AN56" s="111">
        <v>3</v>
      </c>
      <c r="AO56" s="111">
        <v>1</v>
      </c>
      <c r="AP56" s="111">
        <v>4</v>
      </c>
      <c r="AQ56" s="111">
        <v>1</v>
      </c>
      <c r="AR56" s="111">
        <v>1</v>
      </c>
      <c r="AS56" s="111">
        <v>3</v>
      </c>
      <c r="AT56" s="111">
        <v>1</v>
      </c>
      <c r="AU56" s="111">
        <v>2</v>
      </c>
      <c r="AV56" s="111">
        <v>1</v>
      </c>
      <c r="AW56" s="111">
        <v>2</v>
      </c>
      <c r="AX56" s="111" t="s">
        <v>926</v>
      </c>
      <c r="AY56" s="169">
        <v>36.1</v>
      </c>
      <c r="AZ56" s="169">
        <v>36.200000000000003</v>
      </c>
      <c r="BA56" s="166">
        <v>74486</v>
      </c>
      <c r="BB56" s="166">
        <v>12791</v>
      </c>
      <c r="BC56" s="169">
        <v>0.47</v>
      </c>
      <c r="BD56" s="166">
        <v>1806</v>
      </c>
      <c r="BE56" s="166">
        <v>22</v>
      </c>
      <c r="BF56" s="169">
        <v>46.585356000000004</v>
      </c>
      <c r="BG56" s="166">
        <v>76292</v>
      </c>
      <c r="BH56" s="166">
        <v>12813</v>
      </c>
      <c r="BI56" s="111" t="s">
        <v>926</v>
      </c>
      <c r="BJ56" s="111">
        <v>1</v>
      </c>
      <c r="BK56" s="111">
        <v>2</v>
      </c>
      <c r="BL56" s="111">
        <v>1</v>
      </c>
      <c r="BM56" s="111">
        <v>1</v>
      </c>
      <c r="BN56" s="111">
        <v>1</v>
      </c>
      <c r="BO56" s="170" t="s">
        <v>1211</v>
      </c>
      <c r="BP56" s="111" t="s">
        <v>470</v>
      </c>
      <c r="BQ56" s="111" t="s">
        <v>1670</v>
      </c>
      <c r="BR56" s="111" t="s">
        <v>926</v>
      </c>
      <c r="BS56" s="111" t="s">
        <v>926</v>
      </c>
      <c r="BT56" s="111" t="s">
        <v>926</v>
      </c>
      <c r="BU56" s="111" t="s">
        <v>926</v>
      </c>
      <c r="BV56" s="111">
        <v>1</v>
      </c>
      <c r="BW56" s="2" t="s">
        <v>1182</v>
      </c>
      <c r="BX56" s="2" t="s">
        <v>1832</v>
      </c>
      <c r="BY56" s="2" t="s">
        <v>1410</v>
      </c>
      <c r="BZ56" s="2" t="s">
        <v>1411</v>
      </c>
      <c r="CA56" s="2" t="s">
        <v>1833</v>
      </c>
      <c r="CB56" s="2" t="s">
        <v>1834</v>
      </c>
      <c r="CC56" s="2" t="s">
        <v>1137</v>
      </c>
      <c r="CD56" s="2" t="s">
        <v>1167</v>
      </c>
      <c r="CE56" s="2" t="s">
        <v>1182</v>
      </c>
      <c r="CF56" s="111" t="s">
        <v>1414</v>
      </c>
      <c r="CG56" s="111" t="s">
        <v>1299</v>
      </c>
      <c r="CH56" s="111" t="s">
        <v>1835</v>
      </c>
      <c r="CI56" s="111">
        <v>19044.357</v>
      </c>
      <c r="CJ56" s="111" t="s">
        <v>1836</v>
      </c>
      <c r="CK56" s="2" t="s">
        <v>1478</v>
      </c>
      <c r="CL56" s="111">
        <v>1</v>
      </c>
      <c r="CM56" s="111">
        <v>1</v>
      </c>
      <c r="CN56" s="111">
        <v>1</v>
      </c>
      <c r="CO56" s="111" t="s">
        <v>926</v>
      </c>
      <c r="CP56" s="111">
        <v>2</v>
      </c>
      <c r="CQ56" s="111">
        <v>2</v>
      </c>
      <c r="CR56" s="111">
        <v>4</v>
      </c>
      <c r="CS56" s="111">
        <v>1</v>
      </c>
      <c r="CT56" s="111">
        <v>2</v>
      </c>
      <c r="CU56" s="111">
        <v>1</v>
      </c>
      <c r="CV56" s="111">
        <v>3</v>
      </c>
      <c r="CW56" s="111">
        <v>3</v>
      </c>
      <c r="CX56" s="111">
        <v>4</v>
      </c>
      <c r="CY56" s="111">
        <v>2</v>
      </c>
      <c r="CZ56" s="111">
        <v>1</v>
      </c>
      <c r="DA56" s="111">
        <v>2</v>
      </c>
      <c r="DB56" s="111">
        <v>1</v>
      </c>
      <c r="DC56" s="111">
        <v>1</v>
      </c>
      <c r="DD56" s="111">
        <v>1</v>
      </c>
      <c r="DE56" s="111">
        <v>3</v>
      </c>
      <c r="DF56" s="111">
        <v>4</v>
      </c>
      <c r="DG56" s="111">
        <v>2</v>
      </c>
      <c r="DH56" s="111">
        <v>1</v>
      </c>
      <c r="DI56" s="111">
        <v>3</v>
      </c>
      <c r="DJ56" s="111">
        <v>2</v>
      </c>
      <c r="DK56" s="111">
        <v>2</v>
      </c>
      <c r="DL56" s="111" t="s">
        <v>937</v>
      </c>
      <c r="DM56" s="187">
        <v>48225</v>
      </c>
      <c r="DN56" s="111" t="s">
        <v>1224</v>
      </c>
      <c r="DO56" s="2" t="s">
        <v>1472</v>
      </c>
      <c r="DP56" s="111" t="s">
        <v>926</v>
      </c>
      <c r="DQ56" s="111" t="s">
        <v>926</v>
      </c>
      <c r="DR56" s="111">
        <v>2</v>
      </c>
      <c r="DS56" s="111">
        <v>1</v>
      </c>
      <c r="DT56" s="111" t="s">
        <v>1473</v>
      </c>
      <c r="DU56" s="178" t="s">
        <v>941</v>
      </c>
      <c r="DV56" s="111" t="s">
        <v>1148</v>
      </c>
      <c r="DW56" s="111" t="s">
        <v>1148</v>
      </c>
      <c r="DX56" s="167">
        <v>0.5</v>
      </c>
      <c r="DY56" s="111">
        <v>1</v>
      </c>
      <c r="DZ56" s="124" t="s">
        <v>1474</v>
      </c>
    </row>
    <row r="57" spans="1:130" ht="12" hidden="1" customHeight="1">
      <c r="A57" s="165">
        <v>45756</v>
      </c>
      <c r="B57" s="2" t="s">
        <v>1475</v>
      </c>
      <c r="C57" s="111" t="s">
        <v>926</v>
      </c>
      <c r="D57" s="111" t="s">
        <v>1470</v>
      </c>
      <c r="E57" s="111" t="s">
        <v>1471</v>
      </c>
      <c r="F57" s="111" t="s">
        <v>926</v>
      </c>
      <c r="G57" s="111" t="s">
        <v>1837</v>
      </c>
      <c r="H57" s="111" t="s">
        <v>1838</v>
      </c>
      <c r="I57" s="111" t="s">
        <v>1666</v>
      </c>
      <c r="J57" s="111" t="s">
        <v>1148</v>
      </c>
      <c r="K57" s="111">
        <v>4</v>
      </c>
      <c r="L57" s="111">
        <v>4</v>
      </c>
      <c r="M57" s="111">
        <v>2</v>
      </c>
      <c r="N57" s="111">
        <v>2</v>
      </c>
      <c r="O57" s="172" t="s">
        <v>1839</v>
      </c>
      <c r="P57" s="111">
        <v>3</v>
      </c>
      <c r="Q57" s="111">
        <v>2</v>
      </c>
      <c r="R57" s="170">
        <v>2</v>
      </c>
      <c r="S57" s="111">
        <v>3</v>
      </c>
      <c r="T57" s="111">
        <v>4</v>
      </c>
      <c r="U57" s="111">
        <v>4</v>
      </c>
      <c r="V57" s="111">
        <v>3</v>
      </c>
      <c r="W57" s="111">
        <v>3</v>
      </c>
      <c r="X57" s="111">
        <v>2</v>
      </c>
      <c r="Y57" s="111">
        <v>1</v>
      </c>
      <c r="Z57" s="166">
        <v>8350177</v>
      </c>
      <c r="AA57" s="167">
        <v>8.3501770000000004</v>
      </c>
      <c r="AB57" s="111">
        <v>4</v>
      </c>
      <c r="AC57" s="111">
        <v>4</v>
      </c>
      <c r="AD57" s="168">
        <v>3</v>
      </c>
      <c r="AE57" s="111">
        <v>3</v>
      </c>
      <c r="AF57" s="111">
        <v>2</v>
      </c>
      <c r="AG57" s="111">
        <v>1</v>
      </c>
      <c r="AH57" s="111">
        <v>1</v>
      </c>
      <c r="AI57" s="111">
        <v>4</v>
      </c>
      <c r="AJ57" s="111">
        <v>4</v>
      </c>
      <c r="AK57" s="111">
        <v>3</v>
      </c>
      <c r="AL57" s="111">
        <v>2</v>
      </c>
      <c r="AM57" s="111">
        <v>3</v>
      </c>
      <c r="AN57" s="111">
        <v>2</v>
      </c>
      <c r="AO57" s="111">
        <v>2</v>
      </c>
      <c r="AP57" s="111">
        <v>4</v>
      </c>
      <c r="AQ57" s="111">
        <v>1</v>
      </c>
      <c r="AR57" s="111">
        <v>1</v>
      </c>
      <c r="AS57" s="111">
        <v>2</v>
      </c>
      <c r="AT57" s="111">
        <v>1</v>
      </c>
      <c r="AU57" s="111">
        <v>2</v>
      </c>
      <c r="AV57" s="111">
        <v>1</v>
      </c>
      <c r="AW57" s="111">
        <v>2</v>
      </c>
      <c r="AX57" s="111" t="s">
        <v>926</v>
      </c>
      <c r="AY57" s="169">
        <v>17.3</v>
      </c>
      <c r="AZ57" s="169">
        <v>17.5</v>
      </c>
      <c r="BA57" s="166">
        <v>108898</v>
      </c>
      <c r="BB57" s="166">
        <v>30097</v>
      </c>
      <c r="BC57" s="169">
        <v>2.2210000000000001</v>
      </c>
      <c r="BD57" s="166">
        <v>5288</v>
      </c>
      <c r="BE57" s="166">
        <v>146</v>
      </c>
      <c r="BF57" s="169">
        <v>28.071177000000002</v>
      </c>
      <c r="BG57" s="166">
        <v>114186</v>
      </c>
      <c r="BH57" s="166">
        <v>30243</v>
      </c>
      <c r="BI57" s="111" t="s">
        <v>926</v>
      </c>
      <c r="BJ57" s="111">
        <v>1</v>
      </c>
      <c r="BK57" s="111">
        <v>2</v>
      </c>
      <c r="BL57" s="111">
        <v>1</v>
      </c>
      <c r="BM57" s="111">
        <v>1</v>
      </c>
      <c r="BN57" s="111">
        <v>1</v>
      </c>
      <c r="BO57" s="170" t="s">
        <v>1211</v>
      </c>
      <c r="BP57" s="111" t="s">
        <v>470</v>
      </c>
      <c r="BQ57" s="111" t="s">
        <v>1670</v>
      </c>
      <c r="BR57" s="111" t="s">
        <v>926</v>
      </c>
      <c r="BS57" s="111" t="s">
        <v>926</v>
      </c>
      <c r="BT57" s="111" t="s">
        <v>926</v>
      </c>
      <c r="BU57" s="111" t="s">
        <v>926</v>
      </c>
      <c r="BV57" s="111">
        <v>1</v>
      </c>
      <c r="BW57" s="2" t="s">
        <v>1182</v>
      </c>
      <c r="BX57" s="2" t="s">
        <v>1840</v>
      </c>
      <c r="BY57" s="2" t="s">
        <v>1410</v>
      </c>
      <c r="BZ57" s="2" t="s">
        <v>1411</v>
      </c>
      <c r="CA57" s="2" t="s">
        <v>1841</v>
      </c>
      <c r="CB57" s="2" t="s">
        <v>1842</v>
      </c>
      <c r="CC57" s="2" t="s">
        <v>1137</v>
      </c>
      <c r="CD57" s="2" t="s">
        <v>1167</v>
      </c>
      <c r="CE57" s="2" t="s">
        <v>1182</v>
      </c>
      <c r="CF57" s="111" t="s">
        <v>1414</v>
      </c>
      <c r="CG57" s="111" t="s">
        <v>1299</v>
      </c>
      <c r="CH57" s="111" t="s">
        <v>1476</v>
      </c>
      <c r="CI57" s="111">
        <v>19044.357</v>
      </c>
      <c r="CJ57" s="111" t="s">
        <v>1477</v>
      </c>
      <c r="CK57" s="2" t="s">
        <v>1478</v>
      </c>
      <c r="CL57" s="111">
        <v>1</v>
      </c>
      <c r="CM57" s="111">
        <v>1</v>
      </c>
      <c r="CN57" s="111">
        <v>1</v>
      </c>
      <c r="CO57" s="111" t="s">
        <v>926</v>
      </c>
      <c r="CP57" s="111">
        <v>2</v>
      </c>
      <c r="CQ57" s="111">
        <v>2</v>
      </c>
      <c r="CR57" s="111">
        <v>4</v>
      </c>
      <c r="CS57" s="111">
        <v>1</v>
      </c>
      <c r="CT57" s="111">
        <v>2</v>
      </c>
      <c r="CU57" s="111">
        <v>1</v>
      </c>
      <c r="CV57" s="111">
        <v>4</v>
      </c>
      <c r="CW57" s="111">
        <v>4</v>
      </c>
      <c r="CX57" s="111">
        <v>3</v>
      </c>
      <c r="CY57" s="111">
        <v>2</v>
      </c>
      <c r="CZ57" s="111">
        <v>1</v>
      </c>
      <c r="DA57" s="111">
        <v>2</v>
      </c>
      <c r="DB57" s="111">
        <v>1</v>
      </c>
      <c r="DC57" s="111">
        <v>1</v>
      </c>
      <c r="DD57" s="111">
        <v>1</v>
      </c>
      <c r="DE57" s="111">
        <v>4</v>
      </c>
      <c r="DF57" s="111">
        <v>4</v>
      </c>
      <c r="DG57" s="111">
        <v>3</v>
      </c>
      <c r="DH57" s="111">
        <v>1</v>
      </c>
      <c r="DI57" s="111">
        <v>3</v>
      </c>
      <c r="DJ57" s="111">
        <v>2</v>
      </c>
      <c r="DK57" s="111">
        <v>2</v>
      </c>
      <c r="DL57" s="111" t="s">
        <v>937</v>
      </c>
      <c r="DM57" s="187">
        <v>48225</v>
      </c>
      <c r="DN57" s="111" t="s">
        <v>1224</v>
      </c>
      <c r="DO57" s="2" t="s">
        <v>1479</v>
      </c>
      <c r="DP57" s="111" t="s">
        <v>926</v>
      </c>
      <c r="DQ57" s="111" t="s">
        <v>926</v>
      </c>
      <c r="DR57" s="111">
        <v>2</v>
      </c>
      <c r="DS57" s="111">
        <v>1</v>
      </c>
      <c r="DT57" s="111" t="s">
        <v>1473</v>
      </c>
      <c r="DU57" s="178" t="s">
        <v>941</v>
      </c>
      <c r="DV57" s="111" t="s">
        <v>1148</v>
      </c>
      <c r="DW57" s="111" t="s">
        <v>1148</v>
      </c>
      <c r="DX57" s="167">
        <v>0.5</v>
      </c>
      <c r="DY57" s="111">
        <v>1</v>
      </c>
      <c r="DZ57" s="124" t="s">
        <v>1480</v>
      </c>
    </row>
    <row r="58" spans="1:130" ht="12" hidden="1" customHeight="1">
      <c r="A58" s="165">
        <v>45756</v>
      </c>
      <c r="B58" s="2" t="s">
        <v>1481</v>
      </c>
      <c r="C58" s="111" t="s">
        <v>926</v>
      </c>
      <c r="D58" s="111" t="s">
        <v>1470</v>
      </c>
      <c r="E58" s="111" t="s">
        <v>1471</v>
      </c>
      <c r="F58" s="111" t="s">
        <v>926</v>
      </c>
      <c r="G58" s="111" t="s">
        <v>1843</v>
      </c>
      <c r="H58" s="111" t="s">
        <v>1844</v>
      </c>
      <c r="I58" s="111" t="s">
        <v>1666</v>
      </c>
      <c r="J58" s="111" t="s">
        <v>1148</v>
      </c>
      <c r="K58" s="111">
        <v>4</v>
      </c>
      <c r="L58" s="111">
        <v>4</v>
      </c>
      <c r="M58" s="111">
        <v>2</v>
      </c>
      <c r="N58" s="111">
        <v>3</v>
      </c>
      <c r="O58" s="170">
        <v>2</v>
      </c>
      <c r="P58" s="111">
        <v>2</v>
      </c>
      <c r="Q58" s="111">
        <v>2</v>
      </c>
      <c r="R58" s="170">
        <v>2</v>
      </c>
      <c r="S58" s="111">
        <v>2</v>
      </c>
      <c r="T58" s="111">
        <v>4</v>
      </c>
      <c r="U58" s="111">
        <v>4</v>
      </c>
      <c r="V58" s="111">
        <v>3</v>
      </c>
      <c r="W58" s="111">
        <v>3</v>
      </c>
      <c r="X58" s="111">
        <v>1</v>
      </c>
      <c r="Y58" s="111">
        <v>1</v>
      </c>
      <c r="Z58" s="166">
        <v>6966089</v>
      </c>
      <c r="AA58" s="167">
        <v>6.9660890000000002</v>
      </c>
      <c r="AB58" s="111">
        <v>4</v>
      </c>
      <c r="AC58" s="111">
        <v>3</v>
      </c>
      <c r="AD58" s="168">
        <v>1</v>
      </c>
      <c r="AE58" s="111">
        <v>1</v>
      </c>
      <c r="AF58" s="111">
        <v>2</v>
      </c>
      <c r="AG58" s="111">
        <v>1</v>
      </c>
      <c r="AH58" s="111">
        <v>1</v>
      </c>
      <c r="AI58" s="111">
        <v>1</v>
      </c>
      <c r="AJ58" s="111">
        <v>1</v>
      </c>
      <c r="AK58" s="111">
        <v>1</v>
      </c>
      <c r="AL58" s="111">
        <v>1</v>
      </c>
      <c r="AM58" s="111">
        <v>3</v>
      </c>
      <c r="AN58" s="111">
        <v>3</v>
      </c>
      <c r="AO58" s="111">
        <v>1</v>
      </c>
      <c r="AP58" s="111">
        <v>4</v>
      </c>
      <c r="AQ58" s="111">
        <v>1</v>
      </c>
      <c r="AR58" s="111">
        <v>1</v>
      </c>
      <c r="AS58" s="111">
        <v>3</v>
      </c>
      <c r="AT58" s="111">
        <v>1</v>
      </c>
      <c r="AU58" s="111">
        <v>1</v>
      </c>
      <c r="AV58" s="111">
        <v>1</v>
      </c>
      <c r="AW58" s="111">
        <v>1</v>
      </c>
      <c r="AX58" s="111" t="s">
        <v>926</v>
      </c>
      <c r="AY58" s="169">
        <v>31.6</v>
      </c>
      <c r="AZ58" s="169">
        <v>31.7</v>
      </c>
      <c r="BA58" s="166">
        <v>50717</v>
      </c>
      <c r="BB58" s="166">
        <v>3653</v>
      </c>
      <c r="BC58" s="169">
        <v>3.0299999999999997E-3</v>
      </c>
      <c r="BD58" s="166">
        <v>16</v>
      </c>
      <c r="BE58" s="166">
        <v>0</v>
      </c>
      <c r="BF58" s="169">
        <v>38.669119000000002</v>
      </c>
      <c r="BG58" s="166">
        <v>50733</v>
      </c>
      <c r="BH58" s="166">
        <v>3653</v>
      </c>
      <c r="BI58" s="111" t="s">
        <v>926</v>
      </c>
      <c r="BJ58" s="111">
        <v>1</v>
      </c>
      <c r="BK58" s="111">
        <v>2</v>
      </c>
      <c r="BL58" s="111">
        <v>1</v>
      </c>
      <c r="BM58" s="111">
        <v>1</v>
      </c>
      <c r="BN58" s="111">
        <v>1</v>
      </c>
      <c r="BO58" s="170" t="s">
        <v>1211</v>
      </c>
      <c r="BP58" s="111" t="s">
        <v>470</v>
      </c>
      <c r="BQ58" s="111" t="s">
        <v>1670</v>
      </c>
      <c r="BR58" s="111" t="s">
        <v>926</v>
      </c>
      <c r="BS58" s="111" t="s">
        <v>926</v>
      </c>
      <c r="BT58" s="111" t="s">
        <v>926</v>
      </c>
      <c r="BU58" s="111" t="s">
        <v>926</v>
      </c>
      <c r="BV58" s="111">
        <v>1</v>
      </c>
      <c r="BW58" s="2" t="s">
        <v>1182</v>
      </c>
      <c r="BX58" s="2" t="s">
        <v>1482</v>
      </c>
      <c r="BY58" s="2" t="s">
        <v>1410</v>
      </c>
      <c r="BZ58" s="2" t="s">
        <v>1411</v>
      </c>
      <c r="CA58" s="2" t="s">
        <v>1845</v>
      </c>
      <c r="CB58" s="2" t="s">
        <v>1846</v>
      </c>
      <c r="CC58" s="2" t="s">
        <v>1137</v>
      </c>
      <c r="CD58" s="2" t="s">
        <v>1167</v>
      </c>
      <c r="CE58" s="2" t="s">
        <v>1182</v>
      </c>
      <c r="CF58" s="111" t="s">
        <v>1414</v>
      </c>
      <c r="CG58" s="111" t="s">
        <v>1299</v>
      </c>
      <c r="CH58" s="111" t="s">
        <v>1476</v>
      </c>
      <c r="CI58" s="111">
        <v>19044.320800000001</v>
      </c>
      <c r="CJ58" s="111" t="s">
        <v>1483</v>
      </c>
      <c r="CK58" s="2" t="s">
        <v>1633</v>
      </c>
      <c r="CL58" s="111">
        <v>1</v>
      </c>
      <c r="CM58" s="111">
        <v>1</v>
      </c>
      <c r="CN58" s="111">
        <v>1</v>
      </c>
      <c r="CO58" s="111" t="s">
        <v>926</v>
      </c>
      <c r="CP58" s="111">
        <v>2</v>
      </c>
      <c r="CQ58" s="111">
        <v>2</v>
      </c>
      <c r="CR58" s="111">
        <v>4</v>
      </c>
      <c r="CS58" s="111">
        <v>1</v>
      </c>
      <c r="CT58" s="111">
        <v>2</v>
      </c>
      <c r="CU58" s="111">
        <v>1</v>
      </c>
      <c r="CV58" s="111">
        <v>2</v>
      </c>
      <c r="CW58" s="111">
        <v>4</v>
      </c>
      <c r="CX58" s="111">
        <v>3</v>
      </c>
      <c r="CY58" s="111">
        <v>1</v>
      </c>
      <c r="CZ58" s="111">
        <v>1</v>
      </c>
      <c r="DA58" s="111">
        <v>1</v>
      </c>
      <c r="DB58" s="111">
        <v>1</v>
      </c>
      <c r="DC58" s="111">
        <v>1</v>
      </c>
      <c r="DD58" s="111">
        <v>1</v>
      </c>
      <c r="DE58" s="111">
        <v>4</v>
      </c>
      <c r="DF58" s="111">
        <v>4</v>
      </c>
      <c r="DG58" s="111">
        <v>2</v>
      </c>
      <c r="DH58" s="111">
        <v>1</v>
      </c>
      <c r="DI58" s="111">
        <v>2</v>
      </c>
      <c r="DJ58" s="111">
        <v>1</v>
      </c>
      <c r="DK58" s="111">
        <v>1</v>
      </c>
      <c r="DL58" s="111" t="s">
        <v>937</v>
      </c>
      <c r="DM58" s="187">
        <v>48225</v>
      </c>
      <c r="DN58" s="111" t="s">
        <v>1224</v>
      </c>
      <c r="DO58" s="2" t="s">
        <v>1484</v>
      </c>
      <c r="DP58" s="111" t="s">
        <v>926</v>
      </c>
      <c r="DQ58" s="111" t="s">
        <v>926</v>
      </c>
      <c r="DR58" s="111">
        <v>2</v>
      </c>
      <c r="DS58" s="111">
        <v>1</v>
      </c>
      <c r="DT58" s="111" t="s">
        <v>1473</v>
      </c>
      <c r="DU58" s="178" t="s">
        <v>941</v>
      </c>
      <c r="DV58" s="111" t="s">
        <v>1148</v>
      </c>
      <c r="DW58" s="111" t="s">
        <v>1148</v>
      </c>
      <c r="DX58" s="167">
        <v>0.5</v>
      </c>
      <c r="DY58" s="111">
        <v>1</v>
      </c>
      <c r="DZ58" s="124" t="s">
        <v>1485</v>
      </c>
    </row>
    <row r="59" spans="1:130" ht="12" hidden="1" customHeight="1">
      <c r="A59" s="165">
        <v>45757</v>
      </c>
      <c r="B59" s="191" t="s">
        <v>1486</v>
      </c>
      <c r="C59" s="111" t="s">
        <v>926</v>
      </c>
      <c r="D59" s="111" t="s">
        <v>1470</v>
      </c>
      <c r="E59" s="111" t="s">
        <v>1471</v>
      </c>
      <c r="F59" s="111" t="s">
        <v>926</v>
      </c>
      <c r="G59" s="111" t="s">
        <v>1615</v>
      </c>
      <c r="H59" s="111" t="s">
        <v>1615</v>
      </c>
      <c r="I59" s="111" t="s">
        <v>1615</v>
      </c>
      <c r="J59" s="111" t="s">
        <v>1148</v>
      </c>
      <c r="K59" s="111" t="s">
        <v>926</v>
      </c>
      <c r="L59" s="111" t="s">
        <v>926</v>
      </c>
      <c r="M59" s="111" t="s">
        <v>926</v>
      </c>
      <c r="N59" s="111" t="s">
        <v>926</v>
      </c>
      <c r="O59" s="111" t="s">
        <v>926</v>
      </c>
      <c r="P59" s="111" t="s">
        <v>926</v>
      </c>
      <c r="Q59" s="111" t="s">
        <v>926</v>
      </c>
      <c r="R59" s="111" t="s">
        <v>926</v>
      </c>
      <c r="S59" s="111" t="s">
        <v>926</v>
      </c>
      <c r="T59" s="111" t="s">
        <v>926</v>
      </c>
      <c r="U59" s="111" t="s">
        <v>926</v>
      </c>
      <c r="V59" s="111" t="s">
        <v>926</v>
      </c>
      <c r="W59" s="111" t="s">
        <v>926</v>
      </c>
      <c r="X59" s="111" t="s">
        <v>926</v>
      </c>
      <c r="Y59" s="111" t="s">
        <v>926</v>
      </c>
      <c r="Z59" s="192">
        <v>0.1</v>
      </c>
      <c r="AA59" s="193">
        <v>1.0000000000000001E-7</v>
      </c>
      <c r="AB59" s="111" t="s">
        <v>926</v>
      </c>
      <c r="AC59" s="111" t="s">
        <v>926</v>
      </c>
      <c r="AD59" s="168" t="s">
        <v>926</v>
      </c>
      <c r="AE59" s="111" t="s">
        <v>926</v>
      </c>
      <c r="AF59" s="111" t="s">
        <v>926</v>
      </c>
      <c r="AG59" s="111" t="s">
        <v>926</v>
      </c>
      <c r="AH59" s="111" t="s">
        <v>926</v>
      </c>
      <c r="AI59" s="111" t="s">
        <v>926</v>
      </c>
      <c r="AJ59" s="111" t="s">
        <v>926</v>
      </c>
      <c r="AK59" s="111" t="s">
        <v>926</v>
      </c>
      <c r="AL59" s="111" t="s">
        <v>926</v>
      </c>
      <c r="AM59" s="111" t="s">
        <v>926</v>
      </c>
      <c r="AN59" s="111" t="s">
        <v>926</v>
      </c>
      <c r="AO59" s="111" t="s">
        <v>926</v>
      </c>
      <c r="AP59" s="111">
        <v>4</v>
      </c>
      <c r="AQ59" s="111" t="s">
        <v>926</v>
      </c>
      <c r="AR59" s="111" t="s">
        <v>926</v>
      </c>
      <c r="AS59" s="111" t="s">
        <v>926</v>
      </c>
      <c r="AT59" s="111" t="s">
        <v>926</v>
      </c>
      <c r="AU59" s="111" t="s">
        <v>926</v>
      </c>
      <c r="AV59" s="111" t="s">
        <v>926</v>
      </c>
      <c r="AW59" s="111" t="s">
        <v>926</v>
      </c>
      <c r="AX59" s="111" t="s">
        <v>926</v>
      </c>
      <c r="AY59" s="169" t="s">
        <v>926</v>
      </c>
      <c r="AZ59" s="169" t="s">
        <v>926</v>
      </c>
      <c r="BA59" s="166" t="s">
        <v>926</v>
      </c>
      <c r="BB59" s="166" t="s">
        <v>926</v>
      </c>
      <c r="BC59" s="169" t="s">
        <v>926</v>
      </c>
      <c r="BD59" s="166" t="s">
        <v>926</v>
      </c>
      <c r="BE59" s="166" t="s">
        <v>926</v>
      </c>
      <c r="BF59" s="169">
        <v>1.0000000000000001E-7</v>
      </c>
      <c r="BG59" s="166">
        <v>0</v>
      </c>
      <c r="BH59" s="166">
        <v>0</v>
      </c>
      <c r="BI59" s="111" t="s">
        <v>926</v>
      </c>
      <c r="BJ59" s="170">
        <v>1</v>
      </c>
      <c r="BK59" s="111">
        <v>2</v>
      </c>
      <c r="BL59" s="111">
        <v>1</v>
      </c>
      <c r="BM59" s="111">
        <v>1</v>
      </c>
      <c r="BN59" s="111">
        <v>1</v>
      </c>
      <c r="BO59" s="170" t="s">
        <v>1211</v>
      </c>
      <c r="BP59" s="111" t="s">
        <v>470</v>
      </c>
      <c r="BQ59" s="111" t="s">
        <v>1670</v>
      </c>
      <c r="BR59" s="111" t="s">
        <v>926</v>
      </c>
      <c r="BS59" s="111" t="s">
        <v>926</v>
      </c>
      <c r="BT59" s="111" t="s">
        <v>926</v>
      </c>
      <c r="BU59" s="111" t="s">
        <v>926</v>
      </c>
      <c r="BV59" s="111">
        <v>1</v>
      </c>
      <c r="BW59" s="2" t="s">
        <v>1182</v>
      </c>
      <c r="BX59" s="2" t="s">
        <v>1487</v>
      </c>
      <c r="BY59" s="2" t="s">
        <v>1410</v>
      </c>
      <c r="BZ59" s="2" t="s">
        <v>1411</v>
      </c>
      <c r="CA59" s="2" t="s">
        <v>1488</v>
      </c>
      <c r="CB59" s="2" t="s">
        <v>1489</v>
      </c>
      <c r="CC59" s="2" t="s">
        <v>1137</v>
      </c>
      <c r="CD59" s="2" t="s">
        <v>1167</v>
      </c>
      <c r="CE59" s="2" t="s">
        <v>1182</v>
      </c>
      <c r="CF59" s="111" t="s">
        <v>1414</v>
      </c>
      <c r="CG59" s="111" t="s">
        <v>1299</v>
      </c>
      <c r="CH59" s="111" t="s">
        <v>1332</v>
      </c>
      <c r="CI59" s="111">
        <v>19044.248599999999</v>
      </c>
      <c r="CJ59" s="111" t="s">
        <v>1490</v>
      </c>
      <c r="CK59" s="2" t="s">
        <v>1417</v>
      </c>
      <c r="CL59" s="111" t="s">
        <v>926</v>
      </c>
      <c r="CM59" s="111" t="s">
        <v>926</v>
      </c>
      <c r="CN59" s="111" t="s">
        <v>926</v>
      </c>
      <c r="CO59" s="111" t="s">
        <v>926</v>
      </c>
      <c r="CP59" s="111" t="s">
        <v>926</v>
      </c>
      <c r="CQ59" s="111" t="s">
        <v>926</v>
      </c>
      <c r="CR59" s="111" t="s">
        <v>926</v>
      </c>
      <c r="CS59" s="111" t="s">
        <v>926</v>
      </c>
      <c r="CT59" s="111" t="s">
        <v>926</v>
      </c>
      <c r="CU59" s="111" t="s">
        <v>926</v>
      </c>
      <c r="CV59" s="111" t="s">
        <v>926</v>
      </c>
      <c r="CW59" s="111" t="s">
        <v>926</v>
      </c>
      <c r="CX59" s="111" t="s">
        <v>926</v>
      </c>
      <c r="CY59" s="111" t="s">
        <v>926</v>
      </c>
      <c r="CZ59" s="111" t="s">
        <v>926</v>
      </c>
      <c r="DA59" s="111" t="s">
        <v>926</v>
      </c>
      <c r="DB59" s="111" t="s">
        <v>926</v>
      </c>
      <c r="DC59" s="111" t="s">
        <v>926</v>
      </c>
      <c r="DD59" s="111" t="s">
        <v>926</v>
      </c>
      <c r="DE59" s="111" t="s">
        <v>926</v>
      </c>
      <c r="DF59" s="111" t="s">
        <v>926</v>
      </c>
      <c r="DG59" s="111" t="s">
        <v>926</v>
      </c>
      <c r="DH59" s="111" t="s">
        <v>926</v>
      </c>
      <c r="DI59" s="111" t="s">
        <v>926</v>
      </c>
      <c r="DJ59" s="111" t="s">
        <v>926</v>
      </c>
      <c r="DK59" s="111" t="s">
        <v>926</v>
      </c>
      <c r="DL59" s="111" t="s">
        <v>937</v>
      </c>
      <c r="DM59" s="187">
        <v>48225</v>
      </c>
      <c r="DN59" s="111" t="s">
        <v>1224</v>
      </c>
      <c r="DO59" s="2" t="s">
        <v>1491</v>
      </c>
      <c r="DP59" s="111" t="s">
        <v>926</v>
      </c>
      <c r="DQ59" s="111" t="s">
        <v>926</v>
      </c>
      <c r="DR59" s="111">
        <v>2</v>
      </c>
      <c r="DS59" s="111">
        <v>1</v>
      </c>
      <c r="DT59" s="111" t="s">
        <v>1473</v>
      </c>
      <c r="DU59" s="178" t="s">
        <v>941</v>
      </c>
      <c r="DV59" s="111" t="s">
        <v>1148</v>
      </c>
      <c r="DW59" s="111" t="s">
        <v>1148</v>
      </c>
      <c r="DX59" s="167">
        <v>0.5</v>
      </c>
      <c r="DY59" s="111">
        <v>1</v>
      </c>
      <c r="DZ59" s="124"/>
    </row>
    <row r="60" spans="1:130" ht="12" hidden="1" customHeight="1">
      <c r="A60" s="165">
        <v>45757</v>
      </c>
      <c r="B60" s="186" t="s">
        <v>1492</v>
      </c>
      <c r="C60" s="111" t="s">
        <v>926</v>
      </c>
      <c r="D60" s="111" t="s">
        <v>1470</v>
      </c>
      <c r="E60" s="111" t="s">
        <v>1471</v>
      </c>
      <c r="F60" s="111" t="s">
        <v>926</v>
      </c>
      <c r="G60" s="111" t="s">
        <v>1615</v>
      </c>
      <c r="H60" s="111" t="s">
        <v>1615</v>
      </c>
      <c r="I60" s="111" t="s">
        <v>1615</v>
      </c>
      <c r="J60" s="111" t="s">
        <v>926</v>
      </c>
      <c r="K60" s="111" t="s">
        <v>926</v>
      </c>
      <c r="L60" s="111" t="s">
        <v>926</v>
      </c>
      <c r="M60" s="111" t="s">
        <v>926</v>
      </c>
      <c r="N60" s="111" t="s">
        <v>926</v>
      </c>
      <c r="O60" s="111" t="s">
        <v>926</v>
      </c>
      <c r="P60" s="111" t="s">
        <v>926</v>
      </c>
      <c r="Q60" s="111" t="s">
        <v>926</v>
      </c>
      <c r="R60" s="111" t="s">
        <v>926</v>
      </c>
      <c r="S60" s="111" t="s">
        <v>926</v>
      </c>
      <c r="T60" s="111" t="s">
        <v>926</v>
      </c>
      <c r="U60" s="111" t="s">
        <v>926</v>
      </c>
      <c r="V60" s="111" t="s">
        <v>926</v>
      </c>
      <c r="W60" s="111" t="s">
        <v>926</v>
      </c>
      <c r="X60" s="111" t="s">
        <v>926</v>
      </c>
      <c r="Y60" s="111" t="s">
        <v>926</v>
      </c>
      <c r="Z60" s="166" t="s">
        <v>926</v>
      </c>
      <c r="AA60" s="167" t="s">
        <v>926</v>
      </c>
      <c r="AB60" s="111" t="s">
        <v>926</v>
      </c>
      <c r="AC60" s="111" t="s">
        <v>926</v>
      </c>
      <c r="AD60" s="168" t="s">
        <v>926</v>
      </c>
      <c r="AE60" s="111" t="s">
        <v>926</v>
      </c>
      <c r="AF60" s="111" t="s">
        <v>926</v>
      </c>
      <c r="AG60" s="111" t="s">
        <v>926</v>
      </c>
      <c r="AH60" s="111" t="s">
        <v>926</v>
      </c>
      <c r="AI60" s="111" t="s">
        <v>926</v>
      </c>
      <c r="AJ60" s="111" t="s">
        <v>926</v>
      </c>
      <c r="AK60" s="111" t="s">
        <v>926</v>
      </c>
      <c r="AL60" s="111" t="s">
        <v>926</v>
      </c>
      <c r="AM60" s="111">
        <v>1</v>
      </c>
      <c r="AN60" s="111">
        <v>1</v>
      </c>
      <c r="AO60" s="111">
        <v>1</v>
      </c>
      <c r="AP60" s="111">
        <v>1</v>
      </c>
      <c r="AQ60" s="111">
        <v>1</v>
      </c>
      <c r="AR60" s="111">
        <v>1</v>
      </c>
      <c r="AS60" s="111">
        <v>1</v>
      </c>
      <c r="AT60" s="111" t="s">
        <v>926</v>
      </c>
      <c r="AU60" s="111" t="s">
        <v>926</v>
      </c>
      <c r="AV60" s="111">
        <v>1</v>
      </c>
      <c r="AW60" s="111">
        <v>2</v>
      </c>
      <c r="AX60" s="111" t="s">
        <v>926</v>
      </c>
      <c r="AY60" s="169" t="s">
        <v>926</v>
      </c>
      <c r="AZ60" s="169" t="s">
        <v>926</v>
      </c>
      <c r="BA60" s="166" t="s">
        <v>926</v>
      </c>
      <c r="BB60" s="166" t="s">
        <v>926</v>
      </c>
      <c r="BC60" s="169" t="s">
        <v>926</v>
      </c>
      <c r="BD60" s="166" t="s">
        <v>926</v>
      </c>
      <c r="BE60" s="166" t="s">
        <v>926</v>
      </c>
      <c r="BF60" s="169">
        <v>0</v>
      </c>
      <c r="BG60" s="166">
        <v>0</v>
      </c>
      <c r="BH60" s="166">
        <v>0</v>
      </c>
      <c r="BI60" s="111" t="s">
        <v>926</v>
      </c>
      <c r="BJ60" s="111" t="s">
        <v>926</v>
      </c>
      <c r="BK60" s="111">
        <v>1</v>
      </c>
      <c r="BL60" s="111">
        <v>1</v>
      </c>
      <c r="BM60" s="111">
        <v>1</v>
      </c>
      <c r="BN60" s="111">
        <v>1</v>
      </c>
      <c r="BO60" s="170" t="s">
        <v>1211</v>
      </c>
      <c r="BP60" s="111" t="s">
        <v>470</v>
      </c>
      <c r="BQ60" s="111" t="s">
        <v>1670</v>
      </c>
      <c r="BR60" s="111" t="s">
        <v>926</v>
      </c>
      <c r="BS60" s="111" t="s">
        <v>926</v>
      </c>
      <c r="BT60" s="111" t="s">
        <v>926</v>
      </c>
      <c r="BU60" s="111" t="s">
        <v>926</v>
      </c>
      <c r="BV60" s="111">
        <v>1</v>
      </c>
      <c r="BW60" s="2" t="s">
        <v>1182</v>
      </c>
      <c r="BX60" s="2" t="s">
        <v>1493</v>
      </c>
      <c r="BY60" s="2" t="s">
        <v>1362</v>
      </c>
      <c r="BZ60" s="2" t="s">
        <v>1363</v>
      </c>
      <c r="CA60" s="2" t="s">
        <v>1494</v>
      </c>
      <c r="CB60" s="2" t="s">
        <v>1495</v>
      </c>
      <c r="CC60" s="2" t="s">
        <v>1137</v>
      </c>
      <c r="CD60" s="2" t="s">
        <v>1167</v>
      </c>
      <c r="CE60" s="2" t="s">
        <v>1182</v>
      </c>
      <c r="CF60" s="111" t="s">
        <v>1168</v>
      </c>
      <c r="CG60" s="111" t="s">
        <v>1140</v>
      </c>
      <c r="CH60" s="111" t="s">
        <v>1496</v>
      </c>
      <c r="CI60" s="111">
        <v>22621.431700000001</v>
      </c>
      <c r="CJ60" s="111" t="s">
        <v>1847</v>
      </c>
      <c r="CK60" s="2" t="s">
        <v>1366</v>
      </c>
      <c r="CL60" s="111" t="s">
        <v>926</v>
      </c>
      <c r="CM60" s="111" t="s">
        <v>926</v>
      </c>
      <c r="CN60" s="111" t="s">
        <v>926</v>
      </c>
      <c r="CO60" s="111" t="s">
        <v>926</v>
      </c>
      <c r="CP60" s="111" t="s">
        <v>926</v>
      </c>
      <c r="CQ60" s="111" t="s">
        <v>926</v>
      </c>
      <c r="CR60" s="111" t="s">
        <v>926</v>
      </c>
      <c r="CS60" s="111" t="s">
        <v>926</v>
      </c>
      <c r="CT60" s="111" t="s">
        <v>926</v>
      </c>
      <c r="CU60" s="111" t="s">
        <v>926</v>
      </c>
      <c r="CV60" s="111" t="s">
        <v>926</v>
      </c>
      <c r="CW60" s="111" t="s">
        <v>926</v>
      </c>
      <c r="CX60" s="111" t="s">
        <v>926</v>
      </c>
      <c r="CY60" s="111" t="s">
        <v>926</v>
      </c>
      <c r="CZ60" s="111" t="s">
        <v>926</v>
      </c>
      <c r="DA60" s="111" t="s">
        <v>926</v>
      </c>
      <c r="DB60" s="111" t="s">
        <v>926</v>
      </c>
      <c r="DC60" s="111" t="s">
        <v>926</v>
      </c>
      <c r="DD60" s="111" t="s">
        <v>926</v>
      </c>
      <c r="DE60" s="111" t="s">
        <v>926</v>
      </c>
      <c r="DF60" s="111" t="s">
        <v>926</v>
      </c>
      <c r="DG60" s="111" t="s">
        <v>926</v>
      </c>
      <c r="DH60" s="111" t="s">
        <v>926</v>
      </c>
      <c r="DI60" s="111" t="s">
        <v>926</v>
      </c>
      <c r="DJ60" s="111" t="s">
        <v>926</v>
      </c>
      <c r="DK60" s="111" t="s">
        <v>926</v>
      </c>
      <c r="DL60" s="111"/>
      <c r="DM60" s="171"/>
      <c r="DN60" s="111"/>
      <c r="DP60" s="111"/>
      <c r="DQ60" s="111"/>
      <c r="DR60" s="111" t="s">
        <v>926</v>
      </c>
      <c r="DS60" s="111" t="s">
        <v>926</v>
      </c>
      <c r="DT60" s="111" t="s">
        <v>926</v>
      </c>
      <c r="DU60" s="111" t="s">
        <v>926</v>
      </c>
      <c r="DV60" s="111" t="s">
        <v>926</v>
      </c>
      <c r="DW60" s="111" t="s">
        <v>926</v>
      </c>
      <c r="DX60" s="167" t="s">
        <v>926</v>
      </c>
      <c r="DY60" s="111" t="s">
        <v>926</v>
      </c>
      <c r="DZ60" s="124" t="s">
        <v>1848</v>
      </c>
    </row>
    <row r="61" spans="1:130" ht="12" hidden="1" customHeight="1">
      <c r="A61" s="165">
        <v>45757</v>
      </c>
      <c r="B61" s="186" t="s">
        <v>1497</v>
      </c>
      <c r="C61" s="111" t="s">
        <v>926</v>
      </c>
      <c r="D61" s="111" t="s">
        <v>1470</v>
      </c>
      <c r="E61" s="111" t="s">
        <v>1471</v>
      </c>
      <c r="F61" s="111" t="s">
        <v>926</v>
      </c>
      <c r="G61" s="111" t="s">
        <v>1615</v>
      </c>
      <c r="H61" s="111" t="s">
        <v>1615</v>
      </c>
      <c r="I61" s="111" t="s">
        <v>1615</v>
      </c>
      <c r="J61" s="111" t="s">
        <v>926</v>
      </c>
      <c r="K61" s="111" t="s">
        <v>926</v>
      </c>
      <c r="L61" s="111" t="s">
        <v>926</v>
      </c>
      <c r="M61" s="111" t="s">
        <v>926</v>
      </c>
      <c r="N61" s="111" t="s">
        <v>926</v>
      </c>
      <c r="O61" s="111" t="s">
        <v>926</v>
      </c>
      <c r="P61" s="111" t="s">
        <v>926</v>
      </c>
      <c r="Q61" s="111" t="s">
        <v>926</v>
      </c>
      <c r="R61" s="111" t="s">
        <v>926</v>
      </c>
      <c r="S61" s="111" t="s">
        <v>926</v>
      </c>
      <c r="T61" s="111" t="s">
        <v>926</v>
      </c>
      <c r="U61" s="111" t="s">
        <v>926</v>
      </c>
      <c r="V61" s="111" t="s">
        <v>926</v>
      </c>
      <c r="W61" s="111" t="s">
        <v>926</v>
      </c>
      <c r="X61" s="111" t="s">
        <v>926</v>
      </c>
      <c r="Y61" s="111" t="s">
        <v>926</v>
      </c>
      <c r="Z61" s="166" t="s">
        <v>926</v>
      </c>
      <c r="AA61" s="167" t="s">
        <v>926</v>
      </c>
      <c r="AB61" s="111" t="s">
        <v>926</v>
      </c>
      <c r="AC61" s="111" t="s">
        <v>926</v>
      </c>
      <c r="AD61" s="168" t="s">
        <v>926</v>
      </c>
      <c r="AE61" s="111" t="s">
        <v>926</v>
      </c>
      <c r="AF61" s="111" t="s">
        <v>926</v>
      </c>
      <c r="AG61" s="111" t="s">
        <v>926</v>
      </c>
      <c r="AH61" s="111" t="s">
        <v>926</v>
      </c>
      <c r="AI61" s="111" t="s">
        <v>926</v>
      </c>
      <c r="AJ61" s="111" t="s">
        <v>926</v>
      </c>
      <c r="AK61" s="111" t="s">
        <v>926</v>
      </c>
      <c r="AL61" s="111" t="s">
        <v>926</v>
      </c>
      <c r="AM61" s="111">
        <v>1</v>
      </c>
      <c r="AN61" s="111">
        <v>1</v>
      </c>
      <c r="AO61" s="111">
        <v>1</v>
      </c>
      <c r="AP61" s="111">
        <v>1</v>
      </c>
      <c r="AQ61" s="111">
        <v>1</v>
      </c>
      <c r="AR61" s="111">
        <v>1</v>
      </c>
      <c r="AS61" s="111">
        <v>1</v>
      </c>
      <c r="AT61" s="111" t="s">
        <v>926</v>
      </c>
      <c r="AU61" s="111" t="s">
        <v>926</v>
      </c>
      <c r="AV61" s="111">
        <v>1</v>
      </c>
      <c r="AW61" s="111">
        <v>2</v>
      </c>
      <c r="AX61" s="111" t="s">
        <v>926</v>
      </c>
      <c r="AY61" s="169" t="s">
        <v>926</v>
      </c>
      <c r="AZ61" s="169" t="s">
        <v>926</v>
      </c>
      <c r="BA61" s="166" t="s">
        <v>926</v>
      </c>
      <c r="BB61" s="166" t="s">
        <v>926</v>
      </c>
      <c r="BC61" s="169" t="s">
        <v>926</v>
      </c>
      <c r="BD61" s="166" t="s">
        <v>926</v>
      </c>
      <c r="BE61" s="166" t="s">
        <v>926</v>
      </c>
      <c r="BF61" s="169">
        <v>0</v>
      </c>
      <c r="BG61" s="166">
        <v>0</v>
      </c>
      <c r="BH61" s="166">
        <v>0</v>
      </c>
      <c r="BI61" s="111" t="s">
        <v>926</v>
      </c>
      <c r="BJ61" s="111" t="s">
        <v>926</v>
      </c>
      <c r="BK61" s="111">
        <v>1</v>
      </c>
      <c r="BL61" s="111">
        <v>1</v>
      </c>
      <c r="BM61" s="111">
        <v>1</v>
      </c>
      <c r="BN61" s="111">
        <v>1</v>
      </c>
      <c r="BO61" s="170" t="s">
        <v>1211</v>
      </c>
      <c r="BP61" s="111" t="s">
        <v>470</v>
      </c>
      <c r="BQ61" s="111" t="s">
        <v>1670</v>
      </c>
      <c r="BR61" s="111" t="s">
        <v>926</v>
      </c>
      <c r="BS61" s="111" t="s">
        <v>926</v>
      </c>
      <c r="BT61" s="111" t="s">
        <v>926</v>
      </c>
      <c r="BU61" s="111" t="s">
        <v>926</v>
      </c>
      <c r="BV61" s="111">
        <v>1</v>
      </c>
      <c r="BW61" s="2" t="s">
        <v>1182</v>
      </c>
      <c r="BX61" s="2" t="s">
        <v>1493</v>
      </c>
      <c r="BY61" s="2" t="s">
        <v>1498</v>
      </c>
      <c r="BZ61" s="2" t="s">
        <v>1363</v>
      </c>
      <c r="CA61" s="2" t="s">
        <v>1494</v>
      </c>
      <c r="CB61" s="2" t="s">
        <v>1424</v>
      </c>
      <c r="CC61" s="2" t="s">
        <v>1137</v>
      </c>
      <c r="CD61" s="2" t="s">
        <v>1167</v>
      </c>
      <c r="CE61" s="2" t="s">
        <v>1182</v>
      </c>
      <c r="CF61" s="111" t="s">
        <v>1168</v>
      </c>
      <c r="CG61" s="111" t="s">
        <v>1140</v>
      </c>
      <c r="CH61" s="111" t="s">
        <v>1496</v>
      </c>
      <c r="CI61" s="111">
        <v>22621.431700000001</v>
      </c>
      <c r="CJ61" s="111" t="s">
        <v>1849</v>
      </c>
      <c r="CK61" s="2" t="s">
        <v>1366</v>
      </c>
      <c r="CL61" s="111" t="s">
        <v>926</v>
      </c>
      <c r="CM61" s="111" t="s">
        <v>926</v>
      </c>
      <c r="CN61" s="111" t="s">
        <v>926</v>
      </c>
      <c r="CO61" s="111" t="s">
        <v>926</v>
      </c>
      <c r="CP61" s="111" t="s">
        <v>926</v>
      </c>
      <c r="CQ61" s="111" t="s">
        <v>926</v>
      </c>
      <c r="CR61" s="111" t="s">
        <v>926</v>
      </c>
      <c r="CS61" s="111" t="s">
        <v>926</v>
      </c>
      <c r="CT61" s="111" t="s">
        <v>926</v>
      </c>
      <c r="CU61" s="111" t="s">
        <v>926</v>
      </c>
      <c r="CV61" s="111" t="s">
        <v>926</v>
      </c>
      <c r="CW61" s="111" t="s">
        <v>926</v>
      </c>
      <c r="CX61" s="111" t="s">
        <v>926</v>
      </c>
      <c r="CY61" s="111" t="s">
        <v>926</v>
      </c>
      <c r="CZ61" s="111" t="s">
        <v>926</v>
      </c>
      <c r="DA61" s="111" t="s">
        <v>926</v>
      </c>
      <c r="DB61" s="111" t="s">
        <v>926</v>
      </c>
      <c r="DC61" s="111" t="s">
        <v>926</v>
      </c>
      <c r="DD61" s="111" t="s">
        <v>926</v>
      </c>
      <c r="DE61" s="111" t="s">
        <v>926</v>
      </c>
      <c r="DF61" s="111" t="s">
        <v>926</v>
      </c>
      <c r="DG61" s="111" t="s">
        <v>926</v>
      </c>
      <c r="DH61" s="111" t="s">
        <v>926</v>
      </c>
      <c r="DI61" s="111" t="s">
        <v>926</v>
      </c>
      <c r="DJ61" s="111" t="s">
        <v>926</v>
      </c>
      <c r="DK61" s="111" t="s">
        <v>926</v>
      </c>
      <c r="DL61" s="111"/>
      <c r="DM61" s="171"/>
      <c r="DN61" s="111"/>
      <c r="DP61" s="111"/>
      <c r="DQ61" s="111"/>
      <c r="DR61" s="111" t="s">
        <v>926</v>
      </c>
      <c r="DS61" s="111" t="s">
        <v>926</v>
      </c>
      <c r="DT61" s="111" t="s">
        <v>926</v>
      </c>
      <c r="DU61" s="111" t="s">
        <v>926</v>
      </c>
      <c r="DV61" s="111" t="s">
        <v>926</v>
      </c>
      <c r="DW61" s="111" t="s">
        <v>926</v>
      </c>
      <c r="DX61" s="167" t="s">
        <v>926</v>
      </c>
      <c r="DY61" s="111" t="s">
        <v>926</v>
      </c>
      <c r="DZ61" s="124" t="s">
        <v>1850</v>
      </c>
    </row>
    <row r="62" spans="1:130" ht="12" hidden="1" customHeight="1">
      <c r="A62" s="165">
        <v>45757</v>
      </c>
      <c r="B62" s="186" t="s">
        <v>1499</v>
      </c>
      <c r="C62" s="111" t="s">
        <v>926</v>
      </c>
      <c r="D62" s="111" t="s">
        <v>1470</v>
      </c>
      <c r="E62" s="111" t="s">
        <v>1471</v>
      </c>
      <c r="F62" s="111" t="s">
        <v>926</v>
      </c>
      <c r="G62" s="111" t="s">
        <v>1615</v>
      </c>
      <c r="H62" s="111" t="s">
        <v>1615</v>
      </c>
      <c r="I62" s="111" t="s">
        <v>1615</v>
      </c>
      <c r="J62" s="111" t="s">
        <v>926</v>
      </c>
      <c r="K62" s="111" t="s">
        <v>926</v>
      </c>
      <c r="L62" s="111" t="s">
        <v>926</v>
      </c>
      <c r="M62" s="111" t="s">
        <v>926</v>
      </c>
      <c r="N62" s="111" t="s">
        <v>926</v>
      </c>
      <c r="O62" s="111" t="s">
        <v>926</v>
      </c>
      <c r="P62" s="111" t="s">
        <v>926</v>
      </c>
      <c r="Q62" s="111" t="s">
        <v>926</v>
      </c>
      <c r="R62" s="111" t="s">
        <v>926</v>
      </c>
      <c r="S62" s="111" t="s">
        <v>926</v>
      </c>
      <c r="T62" s="111" t="s">
        <v>926</v>
      </c>
      <c r="U62" s="111" t="s">
        <v>926</v>
      </c>
      <c r="V62" s="111" t="s">
        <v>926</v>
      </c>
      <c r="W62" s="111" t="s">
        <v>926</v>
      </c>
      <c r="X62" s="111" t="s">
        <v>926</v>
      </c>
      <c r="Y62" s="111" t="s">
        <v>926</v>
      </c>
      <c r="Z62" s="166" t="s">
        <v>926</v>
      </c>
      <c r="AA62" s="167" t="s">
        <v>926</v>
      </c>
      <c r="AB62" s="111" t="s">
        <v>926</v>
      </c>
      <c r="AC62" s="111" t="s">
        <v>926</v>
      </c>
      <c r="AD62" s="168" t="s">
        <v>926</v>
      </c>
      <c r="AE62" s="111" t="s">
        <v>926</v>
      </c>
      <c r="AF62" s="111" t="s">
        <v>926</v>
      </c>
      <c r="AG62" s="111" t="s">
        <v>926</v>
      </c>
      <c r="AH62" s="111" t="s">
        <v>926</v>
      </c>
      <c r="AI62" s="111" t="s">
        <v>926</v>
      </c>
      <c r="AJ62" s="111" t="s">
        <v>926</v>
      </c>
      <c r="AK62" s="111" t="s">
        <v>926</v>
      </c>
      <c r="AL62" s="111" t="s">
        <v>926</v>
      </c>
      <c r="AM62" s="111">
        <v>1</v>
      </c>
      <c r="AN62" s="111">
        <v>1</v>
      </c>
      <c r="AO62" s="111">
        <v>1</v>
      </c>
      <c r="AP62" s="111">
        <v>1</v>
      </c>
      <c r="AQ62" s="111">
        <v>1</v>
      </c>
      <c r="AR62" s="111">
        <v>1</v>
      </c>
      <c r="AS62" s="111">
        <v>3</v>
      </c>
      <c r="AT62" s="111" t="s">
        <v>926</v>
      </c>
      <c r="AU62" s="111" t="s">
        <v>926</v>
      </c>
      <c r="AV62" s="111">
        <v>1</v>
      </c>
      <c r="AW62" s="111">
        <v>1</v>
      </c>
      <c r="AX62" s="111" t="s">
        <v>926</v>
      </c>
      <c r="AY62" s="169" t="s">
        <v>926</v>
      </c>
      <c r="AZ62" s="169" t="s">
        <v>926</v>
      </c>
      <c r="BA62" s="166" t="s">
        <v>926</v>
      </c>
      <c r="BB62" s="166" t="s">
        <v>926</v>
      </c>
      <c r="BC62" s="169" t="s">
        <v>926</v>
      </c>
      <c r="BD62" s="166" t="s">
        <v>926</v>
      </c>
      <c r="BE62" s="166" t="s">
        <v>926</v>
      </c>
      <c r="BF62" s="169">
        <v>0</v>
      </c>
      <c r="BG62" s="166">
        <v>0</v>
      </c>
      <c r="BH62" s="166">
        <v>0</v>
      </c>
      <c r="BI62" s="111" t="s">
        <v>926</v>
      </c>
      <c r="BJ62" s="111" t="s">
        <v>926</v>
      </c>
      <c r="BK62" s="111">
        <v>2</v>
      </c>
      <c r="BL62" s="170">
        <v>2</v>
      </c>
      <c r="BM62" s="173" t="s">
        <v>926</v>
      </c>
      <c r="BN62" s="173" t="s">
        <v>926</v>
      </c>
      <c r="BO62" s="170" t="s">
        <v>1211</v>
      </c>
      <c r="BP62" s="111" t="s">
        <v>470</v>
      </c>
      <c r="BQ62" s="111" t="s">
        <v>1670</v>
      </c>
      <c r="BR62" s="111" t="s">
        <v>926</v>
      </c>
      <c r="BS62" s="111" t="s">
        <v>926</v>
      </c>
      <c r="BT62" s="111" t="s">
        <v>926</v>
      </c>
      <c r="BU62" s="111" t="s">
        <v>926</v>
      </c>
      <c r="BV62" s="111">
        <v>1</v>
      </c>
      <c r="BW62" s="2" t="s">
        <v>1182</v>
      </c>
      <c r="BX62" s="2" t="s">
        <v>1851</v>
      </c>
      <c r="BY62" s="2" t="s">
        <v>1852</v>
      </c>
      <c r="BZ62" s="2" t="s">
        <v>1853</v>
      </c>
      <c r="CA62" s="2" t="s">
        <v>926</v>
      </c>
      <c r="CB62" s="2" t="s">
        <v>926</v>
      </c>
      <c r="CC62" s="2" t="s">
        <v>926</v>
      </c>
      <c r="CD62" s="2" t="s">
        <v>926</v>
      </c>
      <c r="CE62" s="2" t="s">
        <v>1182</v>
      </c>
      <c r="CF62" s="172" t="s">
        <v>1854</v>
      </c>
      <c r="CG62" s="111" t="s">
        <v>1855</v>
      </c>
      <c r="CH62" s="111" t="s">
        <v>926</v>
      </c>
      <c r="CI62" s="111" t="s">
        <v>926</v>
      </c>
      <c r="CJ62" s="111" t="s">
        <v>1856</v>
      </c>
      <c r="CK62" s="2" t="s">
        <v>926</v>
      </c>
      <c r="CL62" s="111" t="s">
        <v>926</v>
      </c>
      <c r="CM62" s="111" t="s">
        <v>926</v>
      </c>
      <c r="CN62" s="111" t="s">
        <v>926</v>
      </c>
      <c r="CO62" s="111" t="s">
        <v>926</v>
      </c>
      <c r="CP62" s="111" t="s">
        <v>926</v>
      </c>
      <c r="CQ62" s="111" t="s">
        <v>926</v>
      </c>
      <c r="CR62" s="111" t="s">
        <v>926</v>
      </c>
      <c r="CS62" s="111" t="s">
        <v>926</v>
      </c>
      <c r="CT62" s="111" t="s">
        <v>926</v>
      </c>
      <c r="CU62" s="111" t="s">
        <v>926</v>
      </c>
      <c r="CV62" s="111" t="s">
        <v>926</v>
      </c>
      <c r="CW62" s="111" t="s">
        <v>926</v>
      </c>
      <c r="CX62" s="170">
        <v>2</v>
      </c>
      <c r="CY62" s="111" t="s">
        <v>926</v>
      </c>
      <c r="CZ62" s="111" t="s">
        <v>926</v>
      </c>
      <c r="DA62" s="111" t="s">
        <v>926</v>
      </c>
      <c r="DB62" s="111" t="s">
        <v>926</v>
      </c>
      <c r="DC62" s="111" t="s">
        <v>926</v>
      </c>
      <c r="DD62" s="111" t="s">
        <v>926</v>
      </c>
      <c r="DE62" s="111" t="s">
        <v>926</v>
      </c>
      <c r="DF62" s="111" t="s">
        <v>926</v>
      </c>
      <c r="DG62" s="111" t="s">
        <v>926</v>
      </c>
      <c r="DH62" s="111" t="s">
        <v>926</v>
      </c>
      <c r="DI62" s="111" t="s">
        <v>926</v>
      </c>
      <c r="DJ62" s="111" t="s">
        <v>926</v>
      </c>
      <c r="DK62" s="111" t="s">
        <v>926</v>
      </c>
      <c r="DL62" s="111" t="s">
        <v>1012</v>
      </c>
      <c r="DM62" s="171" t="s">
        <v>926</v>
      </c>
      <c r="DN62" s="111" t="s">
        <v>1224</v>
      </c>
      <c r="DO62" s="2" t="s">
        <v>1500</v>
      </c>
      <c r="DP62" s="111" t="s">
        <v>926</v>
      </c>
      <c r="DQ62" s="111" t="s">
        <v>926</v>
      </c>
      <c r="DR62" s="111" t="s">
        <v>926</v>
      </c>
      <c r="DS62" s="111" t="s">
        <v>926</v>
      </c>
      <c r="DT62" s="111" t="s">
        <v>926</v>
      </c>
      <c r="DU62" s="111" t="s">
        <v>926</v>
      </c>
      <c r="DV62" s="111" t="s">
        <v>926</v>
      </c>
      <c r="DW62" s="111" t="s">
        <v>926</v>
      </c>
      <c r="DX62" s="167" t="s">
        <v>926</v>
      </c>
      <c r="DY62" s="111" t="s">
        <v>926</v>
      </c>
      <c r="DZ62" s="124" t="s">
        <v>1501</v>
      </c>
    </row>
    <row r="63" spans="1:130" ht="12" hidden="1" customHeight="1">
      <c r="A63" s="165">
        <v>45757</v>
      </c>
      <c r="B63" s="2" t="s">
        <v>1502</v>
      </c>
      <c r="C63" s="111" t="s">
        <v>926</v>
      </c>
      <c r="D63" s="111" t="s">
        <v>1290</v>
      </c>
      <c r="E63" s="111" t="s">
        <v>1291</v>
      </c>
      <c r="F63" s="111" t="s">
        <v>926</v>
      </c>
      <c r="G63" s="111" t="s">
        <v>1857</v>
      </c>
      <c r="H63" s="111" t="s">
        <v>1858</v>
      </c>
      <c r="I63" s="111" t="s">
        <v>1666</v>
      </c>
      <c r="J63" s="111" t="s">
        <v>1269</v>
      </c>
      <c r="K63" s="111">
        <v>4</v>
      </c>
      <c r="L63" s="111">
        <v>4</v>
      </c>
      <c r="M63" s="111">
        <v>2</v>
      </c>
      <c r="N63" s="111">
        <v>3</v>
      </c>
      <c r="O63" s="111">
        <v>1</v>
      </c>
      <c r="P63" s="111">
        <v>2</v>
      </c>
      <c r="Q63" s="111">
        <v>3</v>
      </c>
      <c r="R63" s="111">
        <v>4</v>
      </c>
      <c r="S63" s="111">
        <v>2</v>
      </c>
      <c r="T63" s="111">
        <v>4</v>
      </c>
      <c r="U63" s="111">
        <v>3</v>
      </c>
      <c r="V63" s="111">
        <v>2</v>
      </c>
      <c r="W63" s="111">
        <v>2</v>
      </c>
      <c r="X63" s="111">
        <v>1</v>
      </c>
      <c r="Y63" s="111">
        <v>2</v>
      </c>
      <c r="Z63" s="166">
        <v>2690073</v>
      </c>
      <c r="AA63" s="167">
        <v>2.6900729999999999</v>
      </c>
      <c r="AB63" s="111">
        <v>4</v>
      </c>
      <c r="AC63" s="111">
        <v>4</v>
      </c>
      <c r="AD63" s="168">
        <v>1</v>
      </c>
      <c r="AE63" s="111">
        <v>2</v>
      </c>
      <c r="AF63" s="111">
        <v>2</v>
      </c>
      <c r="AG63" s="111">
        <v>2</v>
      </c>
      <c r="AH63" s="111">
        <v>1</v>
      </c>
      <c r="AI63" s="111">
        <v>2</v>
      </c>
      <c r="AJ63" s="111">
        <v>3</v>
      </c>
      <c r="AK63" s="111">
        <v>2</v>
      </c>
      <c r="AL63" s="111">
        <v>3</v>
      </c>
      <c r="AM63" s="111">
        <v>4</v>
      </c>
      <c r="AN63" s="111">
        <v>1</v>
      </c>
      <c r="AO63" s="111">
        <v>1</v>
      </c>
      <c r="AP63" s="111">
        <v>1</v>
      </c>
      <c r="AQ63" s="111">
        <v>1</v>
      </c>
      <c r="AR63" s="111">
        <v>1</v>
      </c>
      <c r="AS63" s="111">
        <v>1</v>
      </c>
      <c r="AT63" s="111">
        <v>1</v>
      </c>
      <c r="AU63" s="111">
        <v>1</v>
      </c>
      <c r="AV63" s="111">
        <v>1</v>
      </c>
      <c r="AW63" s="111">
        <v>1</v>
      </c>
      <c r="AX63" s="111" t="s">
        <v>926</v>
      </c>
      <c r="AY63" s="169">
        <v>6.95</v>
      </c>
      <c r="AZ63" s="169">
        <v>7.05</v>
      </c>
      <c r="BA63" s="166">
        <v>34390</v>
      </c>
      <c r="BB63" s="166">
        <v>2569</v>
      </c>
      <c r="BC63" s="169" t="s">
        <v>926</v>
      </c>
      <c r="BD63" s="166" t="s">
        <v>926</v>
      </c>
      <c r="BE63" s="166" t="s">
        <v>926</v>
      </c>
      <c r="BF63" s="169">
        <v>9.7400729999999989</v>
      </c>
      <c r="BG63" s="166">
        <v>34390</v>
      </c>
      <c r="BH63" s="166">
        <v>2569</v>
      </c>
      <c r="BI63" s="111" t="s">
        <v>926</v>
      </c>
      <c r="BJ63" s="111">
        <v>2</v>
      </c>
      <c r="BK63" s="111">
        <v>2</v>
      </c>
      <c r="BL63" s="111">
        <v>1</v>
      </c>
      <c r="BM63" s="111">
        <v>1</v>
      </c>
      <c r="BN63" s="111">
        <v>1</v>
      </c>
      <c r="BO63" s="170" t="s">
        <v>1211</v>
      </c>
      <c r="BP63" s="111" t="s">
        <v>470</v>
      </c>
      <c r="BQ63" s="111" t="s">
        <v>1670</v>
      </c>
      <c r="BR63" s="111" t="s">
        <v>926</v>
      </c>
      <c r="BS63" s="111" t="s">
        <v>926</v>
      </c>
      <c r="BT63" s="111" t="s">
        <v>926</v>
      </c>
      <c r="BU63" s="111" t="s">
        <v>926</v>
      </c>
      <c r="BV63" s="111">
        <v>1</v>
      </c>
      <c r="BW63" s="2" t="s">
        <v>1182</v>
      </c>
      <c r="BX63" s="2" t="s">
        <v>1503</v>
      </c>
      <c r="BY63" s="2" t="s">
        <v>1504</v>
      </c>
      <c r="BZ63" s="2" t="s">
        <v>1466</v>
      </c>
      <c r="CA63" s="2" t="s">
        <v>1505</v>
      </c>
      <c r="CB63" s="2" t="s">
        <v>1506</v>
      </c>
      <c r="CC63" s="2" t="s">
        <v>1137</v>
      </c>
      <c r="CD63" s="2" t="s">
        <v>1167</v>
      </c>
      <c r="CE63" s="2" t="s">
        <v>1182</v>
      </c>
      <c r="CF63" s="111" t="s">
        <v>1183</v>
      </c>
      <c r="CG63" s="111" t="s">
        <v>1184</v>
      </c>
      <c r="CH63" s="111" t="s">
        <v>1462</v>
      </c>
      <c r="CI63" s="111">
        <v>26100.377499999999</v>
      </c>
      <c r="CJ63" s="111">
        <v>71890592</v>
      </c>
      <c r="CK63" s="2" t="s">
        <v>1235</v>
      </c>
      <c r="CL63" s="111">
        <v>1</v>
      </c>
      <c r="CM63" s="111">
        <v>1</v>
      </c>
      <c r="CN63" s="111">
        <v>1</v>
      </c>
      <c r="CO63" s="111" t="s">
        <v>926</v>
      </c>
      <c r="CP63" s="111">
        <v>1</v>
      </c>
      <c r="CQ63" s="111">
        <v>1</v>
      </c>
      <c r="CR63" s="111">
        <v>1</v>
      </c>
      <c r="CS63" s="111">
        <v>1</v>
      </c>
      <c r="CT63" s="111">
        <v>4</v>
      </c>
      <c r="CU63" s="111">
        <v>2</v>
      </c>
      <c r="CV63" s="111">
        <v>2</v>
      </c>
      <c r="CW63" s="111">
        <v>3</v>
      </c>
      <c r="CX63" s="111">
        <v>2</v>
      </c>
      <c r="CY63" s="111">
        <v>1</v>
      </c>
      <c r="CZ63" s="111">
        <v>1</v>
      </c>
      <c r="DA63" s="111">
        <v>1</v>
      </c>
      <c r="DB63" s="111">
        <v>2</v>
      </c>
      <c r="DC63" s="111">
        <v>2</v>
      </c>
      <c r="DD63" s="111">
        <v>1</v>
      </c>
      <c r="DE63" s="111">
        <v>3</v>
      </c>
      <c r="DF63" s="111">
        <v>3</v>
      </c>
      <c r="DG63" s="111">
        <v>2</v>
      </c>
      <c r="DH63" s="111">
        <v>1</v>
      </c>
      <c r="DI63" s="111">
        <v>2</v>
      </c>
      <c r="DJ63" s="111">
        <v>2</v>
      </c>
      <c r="DK63" s="111">
        <v>2</v>
      </c>
      <c r="DL63" s="111" t="s">
        <v>937</v>
      </c>
      <c r="DM63" s="171" t="s">
        <v>926</v>
      </c>
      <c r="DN63" s="111" t="s">
        <v>1144</v>
      </c>
      <c r="DO63" s="2" t="s">
        <v>926</v>
      </c>
      <c r="DP63" s="111" t="s">
        <v>926</v>
      </c>
      <c r="DQ63" s="111" t="s">
        <v>926</v>
      </c>
      <c r="DR63" s="111">
        <v>1</v>
      </c>
      <c r="DS63" s="111">
        <v>1</v>
      </c>
      <c r="DT63" s="111" t="s">
        <v>1155</v>
      </c>
      <c r="DU63" s="111" t="s">
        <v>971</v>
      </c>
      <c r="DV63" s="111" t="s">
        <v>1269</v>
      </c>
      <c r="DW63" s="111" t="s">
        <v>1269</v>
      </c>
      <c r="DX63" s="167">
        <v>1</v>
      </c>
      <c r="DY63" s="111">
        <v>1</v>
      </c>
      <c r="DZ63" s="124"/>
    </row>
    <row r="64" spans="1:130" s="195" customFormat="1" ht="12" hidden="1" customHeight="1">
      <c r="A64" s="194">
        <v>45757</v>
      </c>
      <c r="B64" s="195" t="s">
        <v>1507</v>
      </c>
      <c r="C64" s="196" t="s">
        <v>926</v>
      </c>
      <c r="D64" s="196" t="s">
        <v>1290</v>
      </c>
      <c r="E64" s="196" t="s">
        <v>1291</v>
      </c>
      <c r="F64" s="196" t="s">
        <v>926</v>
      </c>
      <c r="G64" s="196" t="s">
        <v>1615</v>
      </c>
      <c r="H64" s="196" t="s">
        <v>1615</v>
      </c>
      <c r="I64" s="197" t="s">
        <v>1615</v>
      </c>
      <c r="J64" s="196" t="s">
        <v>1269</v>
      </c>
      <c r="K64" s="196" t="s">
        <v>926</v>
      </c>
      <c r="L64" s="196" t="s">
        <v>926</v>
      </c>
      <c r="M64" s="196" t="s">
        <v>926</v>
      </c>
      <c r="N64" s="196" t="s">
        <v>926</v>
      </c>
      <c r="O64" s="196" t="s">
        <v>926</v>
      </c>
      <c r="P64" s="196" t="s">
        <v>926</v>
      </c>
      <c r="Q64" s="196" t="s">
        <v>926</v>
      </c>
      <c r="R64" s="196" t="s">
        <v>926</v>
      </c>
      <c r="S64" s="196" t="s">
        <v>926</v>
      </c>
      <c r="T64" s="196" t="s">
        <v>926</v>
      </c>
      <c r="U64" s="196" t="s">
        <v>926</v>
      </c>
      <c r="V64" s="196" t="s">
        <v>926</v>
      </c>
      <c r="W64" s="196" t="s">
        <v>926</v>
      </c>
      <c r="X64" s="196" t="s">
        <v>926</v>
      </c>
      <c r="Y64" s="196" t="s">
        <v>926</v>
      </c>
      <c r="Z64" s="198">
        <v>0.1</v>
      </c>
      <c r="AA64" s="199">
        <v>1.0000000000000001E-7</v>
      </c>
      <c r="AB64" s="196" t="s">
        <v>926</v>
      </c>
      <c r="AC64" s="196" t="s">
        <v>926</v>
      </c>
      <c r="AD64" s="200" t="s">
        <v>926</v>
      </c>
      <c r="AE64" s="196" t="s">
        <v>926</v>
      </c>
      <c r="AF64" s="196" t="s">
        <v>926</v>
      </c>
      <c r="AG64" s="196" t="s">
        <v>926</v>
      </c>
      <c r="AH64" s="196" t="s">
        <v>926</v>
      </c>
      <c r="AI64" s="196" t="s">
        <v>926</v>
      </c>
      <c r="AJ64" s="196" t="s">
        <v>926</v>
      </c>
      <c r="AK64" s="196" t="s">
        <v>926</v>
      </c>
      <c r="AL64" s="196" t="s">
        <v>926</v>
      </c>
      <c r="AM64" s="196" t="s">
        <v>926</v>
      </c>
      <c r="AN64" s="196" t="s">
        <v>926</v>
      </c>
      <c r="AO64" s="196" t="s">
        <v>926</v>
      </c>
      <c r="AP64" s="196" t="s">
        <v>926</v>
      </c>
      <c r="AQ64" s="196" t="s">
        <v>926</v>
      </c>
      <c r="AR64" s="196" t="s">
        <v>926</v>
      </c>
      <c r="AS64" s="196" t="s">
        <v>926</v>
      </c>
      <c r="AT64" s="196" t="s">
        <v>926</v>
      </c>
      <c r="AU64" s="196" t="s">
        <v>926</v>
      </c>
      <c r="AV64" s="196" t="s">
        <v>926</v>
      </c>
      <c r="AW64" s="196" t="s">
        <v>926</v>
      </c>
      <c r="AX64" s="196" t="s">
        <v>926</v>
      </c>
      <c r="AY64" s="201" t="s">
        <v>926</v>
      </c>
      <c r="AZ64" s="201" t="s">
        <v>926</v>
      </c>
      <c r="BA64" s="198" t="s">
        <v>926</v>
      </c>
      <c r="BB64" s="198" t="s">
        <v>926</v>
      </c>
      <c r="BC64" s="201" t="s">
        <v>926</v>
      </c>
      <c r="BD64" s="198" t="s">
        <v>926</v>
      </c>
      <c r="BE64" s="198" t="s">
        <v>926</v>
      </c>
      <c r="BF64" s="201">
        <v>1.0000000000000001E-7</v>
      </c>
      <c r="BG64" s="198">
        <v>0</v>
      </c>
      <c r="BH64" s="198">
        <v>0</v>
      </c>
      <c r="BI64" s="196" t="s">
        <v>926</v>
      </c>
      <c r="BJ64" s="196">
        <v>1</v>
      </c>
      <c r="BK64" s="196">
        <v>2</v>
      </c>
      <c r="BL64" s="196">
        <v>1</v>
      </c>
      <c r="BM64" s="196">
        <v>1</v>
      </c>
      <c r="BN64" s="196">
        <v>1</v>
      </c>
      <c r="BO64" s="196" t="s">
        <v>1211</v>
      </c>
      <c r="BP64" s="196" t="s">
        <v>470</v>
      </c>
      <c r="BQ64" s="196" t="s">
        <v>1670</v>
      </c>
      <c r="BR64" s="196" t="s">
        <v>926</v>
      </c>
      <c r="BS64" s="196" t="s">
        <v>926</v>
      </c>
      <c r="BT64" s="196" t="s">
        <v>926</v>
      </c>
      <c r="BU64" s="196" t="s">
        <v>926</v>
      </c>
      <c r="BV64" s="196">
        <v>1</v>
      </c>
      <c r="BW64" s="195" t="s">
        <v>1182</v>
      </c>
      <c r="BX64" s="195" t="s">
        <v>1508</v>
      </c>
      <c r="BY64" s="195" t="s">
        <v>1509</v>
      </c>
      <c r="BZ64" s="195" t="s">
        <v>1459</v>
      </c>
      <c r="CA64" s="195" t="s">
        <v>1510</v>
      </c>
      <c r="CB64" s="195" t="s">
        <v>1511</v>
      </c>
      <c r="CC64" s="195" t="s">
        <v>1137</v>
      </c>
      <c r="CD64" s="195" t="s">
        <v>1167</v>
      </c>
      <c r="CE64" s="195" t="s">
        <v>1182</v>
      </c>
      <c r="CF64" s="196" t="s">
        <v>1183</v>
      </c>
      <c r="CG64" s="196" t="s">
        <v>1184</v>
      </c>
      <c r="CH64" s="196" t="s">
        <v>1512</v>
      </c>
      <c r="CI64" s="196">
        <v>26100.3194</v>
      </c>
      <c r="CJ64" s="196">
        <v>2.4110515930010998E+18</v>
      </c>
      <c r="CK64" s="195" t="s">
        <v>1187</v>
      </c>
      <c r="CL64" s="196" t="s">
        <v>926</v>
      </c>
      <c r="CM64" s="196" t="s">
        <v>926</v>
      </c>
      <c r="CN64" s="196" t="s">
        <v>926</v>
      </c>
      <c r="CO64" s="196" t="s">
        <v>926</v>
      </c>
      <c r="CP64" s="196" t="s">
        <v>926</v>
      </c>
      <c r="CQ64" s="196" t="s">
        <v>926</v>
      </c>
      <c r="CR64" s="196" t="s">
        <v>926</v>
      </c>
      <c r="CS64" s="196" t="s">
        <v>926</v>
      </c>
      <c r="CT64" s="196" t="s">
        <v>926</v>
      </c>
      <c r="CU64" s="196" t="s">
        <v>926</v>
      </c>
      <c r="CV64" s="196" t="s">
        <v>926</v>
      </c>
      <c r="CW64" s="196" t="s">
        <v>926</v>
      </c>
      <c r="CX64" s="196" t="s">
        <v>926</v>
      </c>
      <c r="CY64" s="196" t="s">
        <v>926</v>
      </c>
      <c r="CZ64" s="196" t="s">
        <v>926</v>
      </c>
      <c r="DA64" s="196" t="s">
        <v>926</v>
      </c>
      <c r="DB64" s="196" t="s">
        <v>926</v>
      </c>
      <c r="DC64" s="196" t="s">
        <v>926</v>
      </c>
      <c r="DD64" s="196" t="s">
        <v>926</v>
      </c>
      <c r="DE64" s="196" t="s">
        <v>926</v>
      </c>
      <c r="DF64" s="196" t="s">
        <v>926</v>
      </c>
      <c r="DG64" s="196" t="s">
        <v>926</v>
      </c>
      <c r="DH64" s="196" t="s">
        <v>926</v>
      </c>
      <c r="DI64" s="196" t="s">
        <v>926</v>
      </c>
      <c r="DJ64" s="196" t="s">
        <v>926</v>
      </c>
      <c r="DK64" s="196" t="s">
        <v>926</v>
      </c>
      <c r="DL64" s="196" t="s">
        <v>937</v>
      </c>
      <c r="DM64" s="202" t="s">
        <v>926</v>
      </c>
      <c r="DN64" s="196" t="s">
        <v>1144</v>
      </c>
      <c r="DO64" s="195" t="s">
        <v>926</v>
      </c>
      <c r="DP64" s="196" t="s">
        <v>926</v>
      </c>
      <c r="DQ64" s="196" t="s">
        <v>926</v>
      </c>
      <c r="DR64" s="196">
        <v>1</v>
      </c>
      <c r="DS64" s="196">
        <v>1</v>
      </c>
      <c r="DT64" s="196" t="s">
        <v>1155</v>
      </c>
      <c r="DU64" s="196" t="s">
        <v>971</v>
      </c>
      <c r="DV64" s="196" t="s">
        <v>1269</v>
      </c>
      <c r="DW64" s="196" t="s">
        <v>1269</v>
      </c>
      <c r="DX64" s="199" t="s">
        <v>926</v>
      </c>
      <c r="DY64" s="196" t="s">
        <v>926</v>
      </c>
      <c r="DZ64" s="203"/>
    </row>
    <row r="65" spans="1:130" s="195" customFormat="1" ht="12" hidden="1" customHeight="1">
      <c r="A65" s="194">
        <v>45757</v>
      </c>
      <c r="B65" s="195" t="s">
        <v>1513</v>
      </c>
      <c r="C65" s="196" t="s">
        <v>926</v>
      </c>
      <c r="D65" s="196" t="s">
        <v>1290</v>
      </c>
      <c r="E65" s="196" t="s">
        <v>1291</v>
      </c>
      <c r="F65" s="196" t="s">
        <v>926</v>
      </c>
      <c r="G65" s="196" t="s">
        <v>1615</v>
      </c>
      <c r="H65" s="196" t="s">
        <v>1615</v>
      </c>
      <c r="I65" s="197" t="s">
        <v>1615</v>
      </c>
      <c r="J65" s="196" t="s">
        <v>1269</v>
      </c>
      <c r="K65" s="196" t="s">
        <v>926</v>
      </c>
      <c r="L65" s="196" t="s">
        <v>926</v>
      </c>
      <c r="M65" s="196" t="s">
        <v>926</v>
      </c>
      <c r="N65" s="196" t="s">
        <v>926</v>
      </c>
      <c r="O65" s="196" t="s">
        <v>926</v>
      </c>
      <c r="P65" s="196" t="s">
        <v>926</v>
      </c>
      <c r="Q65" s="196" t="s">
        <v>926</v>
      </c>
      <c r="R65" s="196" t="s">
        <v>926</v>
      </c>
      <c r="S65" s="196" t="s">
        <v>926</v>
      </c>
      <c r="T65" s="196" t="s">
        <v>926</v>
      </c>
      <c r="U65" s="196" t="s">
        <v>926</v>
      </c>
      <c r="V65" s="196" t="s">
        <v>926</v>
      </c>
      <c r="W65" s="196" t="s">
        <v>926</v>
      </c>
      <c r="X65" s="196" t="s">
        <v>926</v>
      </c>
      <c r="Y65" s="196" t="s">
        <v>926</v>
      </c>
      <c r="Z65" s="198">
        <v>0.1</v>
      </c>
      <c r="AA65" s="199">
        <v>1.0000000000000001E-7</v>
      </c>
      <c r="AB65" s="196" t="s">
        <v>926</v>
      </c>
      <c r="AC65" s="196" t="s">
        <v>926</v>
      </c>
      <c r="AD65" s="200" t="s">
        <v>926</v>
      </c>
      <c r="AE65" s="196" t="s">
        <v>926</v>
      </c>
      <c r="AF65" s="196" t="s">
        <v>926</v>
      </c>
      <c r="AG65" s="196" t="s">
        <v>926</v>
      </c>
      <c r="AH65" s="196" t="s">
        <v>926</v>
      </c>
      <c r="AI65" s="196" t="s">
        <v>926</v>
      </c>
      <c r="AJ65" s="196" t="s">
        <v>926</v>
      </c>
      <c r="AK65" s="196" t="s">
        <v>926</v>
      </c>
      <c r="AL65" s="196" t="s">
        <v>926</v>
      </c>
      <c r="AM65" s="196" t="s">
        <v>926</v>
      </c>
      <c r="AN65" s="196" t="s">
        <v>926</v>
      </c>
      <c r="AO65" s="196" t="s">
        <v>926</v>
      </c>
      <c r="AP65" s="196" t="s">
        <v>926</v>
      </c>
      <c r="AQ65" s="196" t="s">
        <v>926</v>
      </c>
      <c r="AR65" s="196" t="s">
        <v>926</v>
      </c>
      <c r="AS65" s="196" t="s">
        <v>926</v>
      </c>
      <c r="AT65" s="196" t="s">
        <v>926</v>
      </c>
      <c r="AU65" s="196" t="s">
        <v>926</v>
      </c>
      <c r="AV65" s="196" t="s">
        <v>926</v>
      </c>
      <c r="AW65" s="196" t="s">
        <v>926</v>
      </c>
      <c r="AX65" s="196" t="s">
        <v>926</v>
      </c>
      <c r="AY65" s="201" t="s">
        <v>926</v>
      </c>
      <c r="AZ65" s="201" t="s">
        <v>926</v>
      </c>
      <c r="BA65" s="198" t="s">
        <v>926</v>
      </c>
      <c r="BB65" s="198" t="s">
        <v>926</v>
      </c>
      <c r="BC65" s="201" t="s">
        <v>926</v>
      </c>
      <c r="BD65" s="198" t="s">
        <v>926</v>
      </c>
      <c r="BE65" s="198" t="s">
        <v>926</v>
      </c>
      <c r="BF65" s="201">
        <v>1.0000000000000001E-7</v>
      </c>
      <c r="BG65" s="198">
        <v>0</v>
      </c>
      <c r="BH65" s="198">
        <v>0</v>
      </c>
      <c r="BI65" s="196" t="s">
        <v>926</v>
      </c>
      <c r="BJ65" s="196">
        <v>1</v>
      </c>
      <c r="BK65" s="196">
        <v>2</v>
      </c>
      <c r="BL65" s="196">
        <v>1</v>
      </c>
      <c r="BM65" s="196">
        <v>1</v>
      </c>
      <c r="BN65" s="196">
        <v>1</v>
      </c>
      <c r="BO65" s="196" t="s">
        <v>1211</v>
      </c>
      <c r="BP65" s="196" t="s">
        <v>470</v>
      </c>
      <c r="BQ65" s="196" t="s">
        <v>1670</v>
      </c>
      <c r="BR65" s="196" t="s">
        <v>926</v>
      </c>
      <c r="BS65" s="196" t="s">
        <v>926</v>
      </c>
      <c r="BT65" s="196" t="s">
        <v>926</v>
      </c>
      <c r="BU65" s="196" t="s">
        <v>926</v>
      </c>
      <c r="BV65" s="196">
        <v>1</v>
      </c>
      <c r="BW65" s="195" t="s">
        <v>1182</v>
      </c>
      <c r="BX65" s="195" t="s">
        <v>1514</v>
      </c>
      <c r="BY65" s="195" t="s">
        <v>1504</v>
      </c>
      <c r="BZ65" s="195" t="s">
        <v>1466</v>
      </c>
      <c r="CA65" s="195" t="s">
        <v>1515</v>
      </c>
      <c r="CB65" s="195" t="s">
        <v>1516</v>
      </c>
      <c r="CC65" s="195" t="s">
        <v>1137</v>
      </c>
      <c r="CD65" s="195" t="s">
        <v>1167</v>
      </c>
      <c r="CE65" s="195" t="s">
        <v>1182</v>
      </c>
      <c r="CF65" s="196" t="s">
        <v>1183</v>
      </c>
      <c r="CG65" s="196" t="s">
        <v>1169</v>
      </c>
      <c r="CH65" s="196" t="s">
        <v>1517</v>
      </c>
      <c r="CI65" s="196">
        <v>22631.460200000001</v>
      </c>
      <c r="CJ65" s="196">
        <v>71890591</v>
      </c>
      <c r="CK65" s="195" t="s">
        <v>1518</v>
      </c>
      <c r="CL65" s="196" t="s">
        <v>926</v>
      </c>
      <c r="CM65" s="196" t="s">
        <v>926</v>
      </c>
      <c r="CN65" s="196" t="s">
        <v>926</v>
      </c>
      <c r="CO65" s="196" t="s">
        <v>926</v>
      </c>
      <c r="CP65" s="196" t="s">
        <v>926</v>
      </c>
      <c r="CQ65" s="196" t="s">
        <v>926</v>
      </c>
      <c r="CR65" s="196" t="s">
        <v>926</v>
      </c>
      <c r="CS65" s="196" t="s">
        <v>926</v>
      </c>
      <c r="CT65" s="196" t="s">
        <v>926</v>
      </c>
      <c r="CU65" s="196" t="s">
        <v>926</v>
      </c>
      <c r="CV65" s="196" t="s">
        <v>926</v>
      </c>
      <c r="CW65" s="196" t="s">
        <v>926</v>
      </c>
      <c r="CX65" s="196" t="s">
        <v>926</v>
      </c>
      <c r="CY65" s="196" t="s">
        <v>926</v>
      </c>
      <c r="CZ65" s="196" t="s">
        <v>926</v>
      </c>
      <c r="DA65" s="196" t="s">
        <v>926</v>
      </c>
      <c r="DB65" s="196" t="s">
        <v>926</v>
      </c>
      <c r="DC65" s="196" t="s">
        <v>926</v>
      </c>
      <c r="DD65" s="196" t="s">
        <v>926</v>
      </c>
      <c r="DE65" s="196" t="s">
        <v>926</v>
      </c>
      <c r="DF65" s="196" t="s">
        <v>926</v>
      </c>
      <c r="DG65" s="196" t="s">
        <v>926</v>
      </c>
      <c r="DH65" s="196" t="s">
        <v>926</v>
      </c>
      <c r="DI65" s="196" t="s">
        <v>926</v>
      </c>
      <c r="DJ65" s="196" t="s">
        <v>926</v>
      </c>
      <c r="DK65" s="196" t="s">
        <v>926</v>
      </c>
      <c r="DL65" s="196" t="s">
        <v>937</v>
      </c>
      <c r="DM65" s="202" t="s">
        <v>926</v>
      </c>
      <c r="DN65" s="196" t="s">
        <v>1144</v>
      </c>
      <c r="DO65" s="195" t="s">
        <v>926</v>
      </c>
      <c r="DP65" s="196" t="s">
        <v>926</v>
      </c>
      <c r="DQ65" s="196" t="s">
        <v>926</v>
      </c>
      <c r="DR65" s="196">
        <v>1</v>
      </c>
      <c r="DS65" s="196">
        <v>1</v>
      </c>
      <c r="DT65" s="196" t="s">
        <v>1155</v>
      </c>
      <c r="DU65" s="196" t="s">
        <v>971</v>
      </c>
      <c r="DV65" s="196" t="s">
        <v>1269</v>
      </c>
      <c r="DW65" s="196" t="s">
        <v>1269</v>
      </c>
      <c r="DX65" s="199">
        <v>1</v>
      </c>
      <c r="DY65" s="196" t="s">
        <v>926</v>
      </c>
      <c r="DZ65" s="203" t="s">
        <v>1519</v>
      </c>
    </row>
    <row r="66" spans="1:130" ht="12" hidden="1" customHeight="1">
      <c r="A66" s="165">
        <v>45761</v>
      </c>
      <c r="B66" s="2" t="s">
        <v>1520</v>
      </c>
      <c r="C66" s="111" t="s">
        <v>926</v>
      </c>
      <c r="D66" s="111" t="s">
        <v>1290</v>
      </c>
      <c r="E66" s="111" t="s">
        <v>926</v>
      </c>
      <c r="F66" s="111" t="s">
        <v>926</v>
      </c>
      <c r="G66" s="111" t="s">
        <v>1859</v>
      </c>
      <c r="H66" s="111" t="s">
        <v>1860</v>
      </c>
      <c r="I66" s="111" t="s">
        <v>1666</v>
      </c>
      <c r="J66" s="111" t="s">
        <v>1148</v>
      </c>
      <c r="K66" s="111">
        <v>4</v>
      </c>
      <c r="L66" s="111">
        <v>4</v>
      </c>
      <c r="M66" s="111">
        <v>4</v>
      </c>
      <c r="N66" s="111">
        <v>1</v>
      </c>
      <c r="O66" s="111">
        <v>2</v>
      </c>
      <c r="P66" s="111">
        <v>2</v>
      </c>
      <c r="Q66" s="111">
        <v>4</v>
      </c>
      <c r="R66" s="111">
        <v>2</v>
      </c>
      <c r="S66" s="111">
        <v>1</v>
      </c>
      <c r="T66" s="111">
        <v>4</v>
      </c>
      <c r="U66" s="111">
        <v>4</v>
      </c>
      <c r="V66" s="111">
        <v>4</v>
      </c>
      <c r="W66" s="111">
        <v>4</v>
      </c>
      <c r="X66" s="111">
        <v>2</v>
      </c>
      <c r="Y66" s="111">
        <v>3</v>
      </c>
      <c r="Z66" s="166">
        <v>16831084</v>
      </c>
      <c r="AA66" s="167">
        <v>16.831084000000001</v>
      </c>
      <c r="AB66" s="111">
        <v>4</v>
      </c>
      <c r="AC66" s="111">
        <v>4</v>
      </c>
      <c r="AD66" s="168">
        <v>1</v>
      </c>
      <c r="AE66" s="111">
        <v>2</v>
      </c>
      <c r="AF66" s="111">
        <v>3</v>
      </c>
      <c r="AG66" s="111">
        <v>1</v>
      </c>
      <c r="AH66" s="111">
        <v>1</v>
      </c>
      <c r="AI66" s="111">
        <v>4</v>
      </c>
      <c r="AJ66" s="111">
        <v>4</v>
      </c>
      <c r="AK66" s="111">
        <v>1</v>
      </c>
      <c r="AL66" s="111">
        <v>1</v>
      </c>
      <c r="AM66" s="111">
        <v>4</v>
      </c>
      <c r="AN66" s="111">
        <v>1</v>
      </c>
      <c r="AO66" s="111">
        <v>1</v>
      </c>
      <c r="AP66" s="111">
        <v>1</v>
      </c>
      <c r="AQ66" s="111">
        <v>1</v>
      </c>
      <c r="AR66" s="111">
        <v>1</v>
      </c>
      <c r="AS66" s="111">
        <v>1</v>
      </c>
      <c r="AT66" s="111">
        <v>2</v>
      </c>
      <c r="AU66" s="111">
        <v>2</v>
      </c>
      <c r="AV66" s="111">
        <v>1</v>
      </c>
      <c r="AW66" s="111">
        <v>1</v>
      </c>
      <c r="AX66" s="111" t="s">
        <v>926</v>
      </c>
      <c r="AY66" s="169">
        <v>19.8</v>
      </c>
      <c r="AZ66" s="169">
        <v>19.899999999999999</v>
      </c>
      <c r="BA66" s="166">
        <v>41070</v>
      </c>
      <c r="BB66" s="166">
        <v>3580</v>
      </c>
      <c r="BC66" s="169">
        <v>4.16</v>
      </c>
      <c r="BD66" s="166">
        <v>2696</v>
      </c>
      <c r="BE66" s="166">
        <v>312</v>
      </c>
      <c r="BF66" s="169">
        <v>40.891083999999992</v>
      </c>
      <c r="BG66" s="166">
        <v>43766</v>
      </c>
      <c r="BH66" s="166">
        <v>3892</v>
      </c>
      <c r="BI66" s="111" t="s">
        <v>926</v>
      </c>
      <c r="BJ66" s="111">
        <v>1</v>
      </c>
      <c r="BK66" s="111">
        <v>1</v>
      </c>
      <c r="BL66" s="111">
        <v>1</v>
      </c>
      <c r="BM66" s="111">
        <v>3</v>
      </c>
      <c r="BN66" s="111">
        <v>2</v>
      </c>
      <c r="BO66" s="111" t="s">
        <v>1523</v>
      </c>
      <c r="BP66" s="111" t="s">
        <v>1861</v>
      </c>
      <c r="BQ66" s="111" t="s">
        <v>926</v>
      </c>
      <c r="BR66" s="111" t="s">
        <v>1529</v>
      </c>
      <c r="BS66" s="111" t="s">
        <v>1817</v>
      </c>
      <c r="BT66" s="111" t="s">
        <v>1822</v>
      </c>
      <c r="BU66" s="111" t="s">
        <v>1192</v>
      </c>
      <c r="BV66" s="111">
        <v>1</v>
      </c>
      <c r="BW66" s="2" t="s">
        <v>1182</v>
      </c>
      <c r="BX66" s="2" t="s">
        <v>1862</v>
      </c>
      <c r="BY66" s="2" t="s">
        <v>1863</v>
      </c>
      <c r="BZ66" s="2" t="s">
        <v>1676</v>
      </c>
      <c r="CA66" s="2" t="s">
        <v>1864</v>
      </c>
      <c r="CB66" s="2" t="s">
        <v>1865</v>
      </c>
      <c r="CC66" s="2" t="s">
        <v>1137</v>
      </c>
      <c r="CD66" s="2" t="s">
        <v>1138</v>
      </c>
      <c r="CE66" s="2" t="s">
        <v>1182</v>
      </c>
      <c r="CF66" s="111" t="s">
        <v>1168</v>
      </c>
      <c r="CG66" s="111" t="s">
        <v>1184</v>
      </c>
      <c r="CH66" s="111" t="s">
        <v>1866</v>
      </c>
      <c r="CI66" s="111">
        <v>26100.377499999999</v>
      </c>
      <c r="CJ66" s="111" t="s">
        <v>1867</v>
      </c>
      <c r="CK66" s="2" t="s">
        <v>1235</v>
      </c>
      <c r="CL66" s="111">
        <v>2</v>
      </c>
      <c r="CM66" s="111">
        <v>1</v>
      </c>
      <c r="CN66" s="111">
        <v>1</v>
      </c>
      <c r="CO66" s="111" t="s">
        <v>926</v>
      </c>
      <c r="CP66" s="111">
        <v>4</v>
      </c>
      <c r="CQ66" s="111">
        <v>2</v>
      </c>
      <c r="CR66" s="111">
        <v>2</v>
      </c>
      <c r="CS66" s="111">
        <v>2</v>
      </c>
      <c r="CT66" s="111">
        <v>2</v>
      </c>
      <c r="CU66" s="111">
        <v>2</v>
      </c>
      <c r="CV66" s="111">
        <v>2</v>
      </c>
      <c r="CW66" s="111">
        <v>4</v>
      </c>
      <c r="CX66" s="111">
        <v>2</v>
      </c>
      <c r="CY66" s="111">
        <v>2</v>
      </c>
      <c r="CZ66" s="111">
        <v>2</v>
      </c>
      <c r="DA66" s="111">
        <v>2</v>
      </c>
      <c r="DB66" s="111">
        <v>2</v>
      </c>
      <c r="DC66" s="111">
        <v>2</v>
      </c>
      <c r="DD66" s="111">
        <v>2</v>
      </c>
      <c r="DE66" s="111">
        <v>3</v>
      </c>
      <c r="DF66" s="111">
        <v>3</v>
      </c>
      <c r="DG66" s="111">
        <v>2</v>
      </c>
      <c r="DH66" s="111">
        <v>2</v>
      </c>
      <c r="DI66" s="111">
        <v>3</v>
      </c>
      <c r="DJ66" s="111">
        <v>2</v>
      </c>
      <c r="DK66" s="111">
        <v>2</v>
      </c>
      <c r="DL66" s="111" t="s">
        <v>937</v>
      </c>
      <c r="DM66" s="171" t="s">
        <v>926</v>
      </c>
      <c r="DN66" s="111" t="s">
        <v>1144</v>
      </c>
      <c r="DO66" s="2" t="s">
        <v>926</v>
      </c>
      <c r="DP66" s="111" t="s">
        <v>926</v>
      </c>
      <c r="DQ66" s="111" t="s">
        <v>926</v>
      </c>
      <c r="DR66" s="111">
        <v>1</v>
      </c>
      <c r="DS66" s="111">
        <v>2</v>
      </c>
      <c r="DT66" s="111" t="s">
        <v>1520</v>
      </c>
      <c r="DU66" s="178" t="s">
        <v>941</v>
      </c>
      <c r="DV66" s="111" t="s">
        <v>1148</v>
      </c>
      <c r="DW66" s="111" t="s">
        <v>1148</v>
      </c>
      <c r="DX66" s="167">
        <v>0.5</v>
      </c>
      <c r="DY66" s="111">
        <v>1</v>
      </c>
      <c r="DZ66" s="124"/>
    </row>
    <row r="67" spans="1:130" ht="12" hidden="1" customHeight="1">
      <c r="A67" s="165">
        <v>45756</v>
      </c>
      <c r="B67" s="2" t="s">
        <v>1521</v>
      </c>
      <c r="C67" s="111" t="s">
        <v>926</v>
      </c>
      <c r="D67" s="111" t="s">
        <v>1290</v>
      </c>
      <c r="E67" s="111" t="s">
        <v>1522</v>
      </c>
      <c r="F67" s="111" t="s">
        <v>926</v>
      </c>
      <c r="G67" s="111" t="s">
        <v>1868</v>
      </c>
      <c r="H67" s="111" t="s">
        <v>1869</v>
      </c>
      <c r="I67" s="111" t="s">
        <v>1396</v>
      </c>
      <c r="J67" s="111" t="s">
        <v>1269</v>
      </c>
      <c r="K67" s="111">
        <v>4</v>
      </c>
      <c r="L67" s="111">
        <v>3</v>
      </c>
      <c r="M67" s="111">
        <v>4</v>
      </c>
      <c r="N67" s="111">
        <v>2</v>
      </c>
      <c r="O67" s="111">
        <v>3</v>
      </c>
      <c r="P67" s="111">
        <v>2</v>
      </c>
      <c r="Q67" s="111">
        <v>3</v>
      </c>
      <c r="R67" s="111">
        <v>2</v>
      </c>
      <c r="S67" s="111">
        <v>2</v>
      </c>
      <c r="T67" s="111">
        <v>4</v>
      </c>
      <c r="U67" s="111">
        <v>3</v>
      </c>
      <c r="V67" s="111">
        <v>4</v>
      </c>
      <c r="W67" s="111">
        <v>3</v>
      </c>
      <c r="X67" s="111">
        <v>2</v>
      </c>
      <c r="Y67" s="111">
        <v>3</v>
      </c>
      <c r="Z67" s="166">
        <v>44623734</v>
      </c>
      <c r="AA67" s="167">
        <v>44.623733999999999</v>
      </c>
      <c r="AB67" s="111">
        <v>4</v>
      </c>
      <c r="AC67" s="111">
        <v>3</v>
      </c>
      <c r="AD67" s="168">
        <v>2</v>
      </c>
      <c r="AE67" s="111">
        <v>3</v>
      </c>
      <c r="AF67" s="111">
        <v>3</v>
      </c>
      <c r="AG67" s="111">
        <v>3</v>
      </c>
      <c r="AH67" s="111">
        <v>1</v>
      </c>
      <c r="AI67" s="111">
        <v>4</v>
      </c>
      <c r="AJ67" s="111">
        <v>4</v>
      </c>
      <c r="AK67" s="111">
        <v>2</v>
      </c>
      <c r="AL67" s="111">
        <v>3</v>
      </c>
      <c r="AM67" s="111">
        <v>4</v>
      </c>
      <c r="AN67" s="111">
        <v>1</v>
      </c>
      <c r="AO67" s="111">
        <v>1</v>
      </c>
      <c r="AP67" s="111">
        <v>1</v>
      </c>
      <c r="AQ67" s="111">
        <v>1</v>
      </c>
      <c r="AR67" s="111">
        <v>1</v>
      </c>
      <c r="AS67" s="111">
        <v>1</v>
      </c>
      <c r="AT67" s="111">
        <v>2</v>
      </c>
      <c r="AU67" s="111">
        <v>1</v>
      </c>
      <c r="AV67" s="111">
        <v>1</v>
      </c>
      <c r="AW67" s="111">
        <v>1</v>
      </c>
      <c r="AX67" s="111" t="s">
        <v>926</v>
      </c>
      <c r="AY67" s="169">
        <v>1E-3</v>
      </c>
      <c r="AZ67" s="169">
        <v>2E-3</v>
      </c>
      <c r="BA67" s="166">
        <v>39</v>
      </c>
      <c r="BB67" s="166">
        <v>1</v>
      </c>
      <c r="BC67" s="169">
        <v>1.39</v>
      </c>
      <c r="BD67" s="166">
        <v>1895</v>
      </c>
      <c r="BE67" s="166">
        <v>475</v>
      </c>
      <c r="BF67" s="169">
        <v>46.015734000000002</v>
      </c>
      <c r="BG67" s="166">
        <v>1934</v>
      </c>
      <c r="BH67" s="166">
        <v>476</v>
      </c>
      <c r="BI67" s="111" t="s">
        <v>926</v>
      </c>
      <c r="BJ67" s="111">
        <v>1</v>
      </c>
      <c r="BK67" s="111">
        <v>1</v>
      </c>
      <c r="BL67" s="111">
        <v>1</v>
      </c>
      <c r="BM67" s="111">
        <v>3</v>
      </c>
      <c r="BN67" s="111">
        <v>2</v>
      </c>
      <c r="BO67" s="111" t="s">
        <v>1523</v>
      </c>
      <c r="BP67" s="111" t="s">
        <v>1861</v>
      </c>
      <c r="BQ67" s="111" t="s">
        <v>926</v>
      </c>
      <c r="BR67" s="111" t="s">
        <v>926</v>
      </c>
      <c r="BS67" s="111" t="s">
        <v>926</v>
      </c>
      <c r="BT67" s="111" t="s">
        <v>926</v>
      </c>
      <c r="BU67" s="111" t="s">
        <v>926</v>
      </c>
      <c r="BV67" s="111">
        <v>1</v>
      </c>
      <c r="BW67" s="2" t="s">
        <v>1182</v>
      </c>
      <c r="BX67" s="2" t="s">
        <v>1870</v>
      </c>
      <c r="BY67" s="2" t="s">
        <v>1871</v>
      </c>
      <c r="BZ67" s="2" t="s">
        <v>1532</v>
      </c>
      <c r="CA67" s="2" t="s">
        <v>1872</v>
      </c>
      <c r="CB67" s="2" t="s">
        <v>1873</v>
      </c>
      <c r="CC67" s="2" t="s">
        <v>1137</v>
      </c>
      <c r="CD67" s="2" t="s">
        <v>1167</v>
      </c>
      <c r="CE67" s="2" t="s">
        <v>1182</v>
      </c>
      <c r="CF67" s="111" t="s">
        <v>1183</v>
      </c>
      <c r="CG67" s="111" t="s">
        <v>1184</v>
      </c>
      <c r="CH67" s="111" t="s">
        <v>1874</v>
      </c>
      <c r="CI67" s="111">
        <v>26100.347600000001</v>
      </c>
      <c r="CJ67" s="111" t="s">
        <v>1875</v>
      </c>
      <c r="CK67" s="2" t="s">
        <v>1198</v>
      </c>
      <c r="CL67" s="111">
        <v>2</v>
      </c>
      <c r="CM67" s="111">
        <v>1</v>
      </c>
      <c r="CN67" s="111">
        <v>1</v>
      </c>
      <c r="CO67" s="111" t="s">
        <v>926</v>
      </c>
      <c r="CP67" s="111">
        <v>4</v>
      </c>
      <c r="CQ67" s="111">
        <v>1</v>
      </c>
      <c r="CR67" s="111">
        <v>1</v>
      </c>
      <c r="CS67" s="111">
        <v>1</v>
      </c>
      <c r="CT67" s="111">
        <v>1</v>
      </c>
      <c r="CU67" s="111">
        <v>1</v>
      </c>
      <c r="CV67" s="111">
        <v>2</v>
      </c>
      <c r="CW67" s="111">
        <v>4</v>
      </c>
      <c r="CX67" s="111">
        <v>1</v>
      </c>
      <c r="CY67" s="111">
        <v>1</v>
      </c>
      <c r="CZ67" s="111">
        <v>1</v>
      </c>
      <c r="DA67" s="111">
        <v>2</v>
      </c>
      <c r="DB67" s="111">
        <v>1</v>
      </c>
      <c r="DC67" s="111">
        <v>1</v>
      </c>
      <c r="DD67" s="111">
        <v>1</v>
      </c>
      <c r="DE67" s="111">
        <v>2</v>
      </c>
      <c r="DF67" s="111">
        <v>3</v>
      </c>
      <c r="DG67" s="111">
        <v>2</v>
      </c>
      <c r="DH67" s="111">
        <v>1</v>
      </c>
      <c r="DI67" s="111">
        <v>2</v>
      </c>
      <c r="DJ67" s="111">
        <v>2</v>
      </c>
      <c r="DK67" s="111">
        <v>2</v>
      </c>
      <c r="DL67" s="111" t="s">
        <v>937</v>
      </c>
      <c r="DM67" s="171" t="s">
        <v>926</v>
      </c>
      <c r="DN67" s="111" t="s">
        <v>1144</v>
      </c>
      <c r="DO67" s="2" t="s">
        <v>926</v>
      </c>
      <c r="DP67" s="111" t="s">
        <v>926</v>
      </c>
      <c r="DQ67" s="111" t="s">
        <v>926</v>
      </c>
      <c r="DR67" s="111">
        <v>1</v>
      </c>
      <c r="DS67" s="111">
        <v>2</v>
      </c>
      <c r="DT67" s="111" t="s">
        <v>1521</v>
      </c>
      <c r="DU67" s="178" t="s">
        <v>941</v>
      </c>
      <c r="DV67" s="111" t="s">
        <v>1269</v>
      </c>
      <c r="DW67" s="111" t="s">
        <v>1269</v>
      </c>
      <c r="DX67" s="167">
        <v>0.5</v>
      </c>
      <c r="DY67" s="111">
        <v>1</v>
      </c>
      <c r="DZ67" s="124"/>
    </row>
    <row r="68" spans="1:130" ht="12" customHeight="1">
      <c r="A68" s="165">
        <v>45754</v>
      </c>
      <c r="B68" s="2" t="s">
        <v>1524</v>
      </c>
      <c r="C68" s="111" t="s">
        <v>926</v>
      </c>
      <c r="D68" s="111" t="s">
        <v>1290</v>
      </c>
      <c r="E68" s="111" t="s">
        <v>1522</v>
      </c>
      <c r="F68" s="111" t="s">
        <v>926</v>
      </c>
      <c r="G68" s="111" t="s">
        <v>1876</v>
      </c>
      <c r="H68" s="111" t="s">
        <v>1877</v>
      </c>
      <c r="I68" s="111" t="s">
        <v>1666</v>
      </c>
      <c r="J68" s="111" t="s">
        <v>1269</v>
      </c>
      <c r="K68" s="111">
        <v>4</v>
      </c>
      <c r="L68" s="111">
        <v>3</v>
      </c>
      <c r="M68" s="170">
        <v>4</v>
      </c>
      <c r="N68" s="111">
        <v>2</v>
      </c>
      <c r="O68" s="111">
        <v>2</v>
      </c>
      <c r="P68" s="111">
        <v>4</v>
      </c>
      <c r="Q68" s="111">
        <v>3</v>
      </c>
      <c r="R68" s="111">
        <v>4</v>
      </c>
      <c r="S68" s="111">
        <v>3</v>
      </c>
      <c r="T68" s="111">
        <v>4</v>
      </c>
      <c r="U68" s="111">
        <v>3</v>
      </c>
      <c r="V68" s="111">
        <v>3</v>
      </c>
      <c r="W68" s="111">
        <v>3</v>
      </c>
      <c r="X68" s="111">
        <v>2</v>
      </c>
      <c r="Y68" s="111">
        <v>2</v>
      </c>
      <c r="Z68" s="166">
        <v>45501569</v>
      </c>
      <c r="AA68" s="167">
        <v>45.501569000000003</v>
      </c>
      <c r="AB68" s="111">
        <v>4</v>
      </c>
      <c r="AC68" s="111">
        <v>3</v>
      </c>
      <c r="AD68" s="168">
        <v>1</v>
      </c>
      <c r="AE68" s="111">
        <v>2</v>
      </c>
      <c r="AF68" s="111">
        <v>2</v>
      </c>
      <c r="AG68" s="111">
        <v>1</v>
      </c>
      <c r="AH68" s="111">
        <v>1</v>
      </c>
      <c r="AI68" s="111">
        <v>1</v>
      </c>
      <c r="AJ68" s="111">
        <v>1</v>
      </c>
      <c r="AK68" s="111">
        <v>1</v>
      </c>
      <c r="AL68" s="111">
        <v>2</v>
      </c>
      <c r="AM68" s="111">
        <v>4</v>
      </c>
      <c r="AN68" s="111">
        <v>2</v>
      </c>
      <c r="AO68" s="111">
        <v>2</v>
      </c>
      <c r="AP68" s="111">
        <v>1</v>
      </c>
      <c r="AQ68" s="111">
        <v>1</v>
      </c>
      <c r="AR68" s="111">
        <v>1</v>
      </c>
      <c r="AS68" s="111">
        <v>1</v>
      </c>
      <c r="AT68" s="111">
        <v>2</v>
      </c>
      <c r="AU68" s="111">
        <v>1</v>
      </c>
      <c r="AV68" s="111">
        <v>1</v>
      </c>
      <c r="AW68" s="111">
        <v>1</v>
      </c>
      <c r="AX68" s="111" t="s">
        <v>926</v>
      </c>
      <c r="AY68" s="169">
        <v>89.3</v>
      </c>
      <c r="AZ68" s="169">
        <v>90.3</v>
      </c>
      <c r="BA68" s="166">
        <v>175432</v>
      </c>
      <c r="BB68" s="166">
        <v>19812</v>
      </c>
      <c r="BC68" s="169">
        <v>0.89200000000000002</v>
      </c>
      <c r="BD68" s="166">
        <v>879</v>
      </c>
      <c r="BE68" s="166">
        <v>186</v>
      </c>
      <c r="BF68" s="169">
        <v>136.693569</v>
      </c>
      <c r="BG68" s="166">
        <v>176311</v>
      </c>
      <c r="BH68" s="166">
        <v>19998</v>
      </c>
      <c r="BI68" s="111" t="s">
        <v>926</v>
      </c>
      <c r="BJ68" s="111">
        <v>1</v>
      </c>
      <c r="BK68" s="111">
        <v>1</v>
      </c>
      <c r="BL68" s="111">
        <v>1</v>
      </c>
      <c r="BM68" s="111">
        <v>3</v>
      </c>
      <c r="BN68" s="111">
        <v>3</v>
      </c>
      <c r="BO68" s="111" t="s">
        <v>1523</v>
      </c>
      <c r="BP68" s="111" t="s">
        <v>1861</v>
      </c>
      <c r="BQ68" s="111" t="s">
        <v>926</v>
      </c>
      <c r="BR68" s="111" t="s">
        <v>926</v>
      </c>
      <c r="BS68" s="111" t="s">
        <v>926</v>
      </c>
      <c r="BT68" s="111" t="s">
        <v>926</v>
      </c>
      <c r="BU68" s="111" t="s">
        <v>926</v>
      </c>
      <c r="BV68" s="111">
        <v>1</v>
      </c>
      <c r="BW68" s="2" t="s">
        <v>1182</v>
      </c>
      <c r="BX68" s="2" t="s">
        <v>1878</v>
      </c>
      <c r="BY68" s="2" t="s">
        <v>1879</v>
      </c>
      <c r="BZ68" s="2" t="s">
        <v>1880</v>
      </c>
      <c r="CA68" s="2" t="s">
        <v>1881</v>
      </c>
      <c r="CB68" s="2" t="s">
        <v>1882</v>
      </c>
      <c r="CC68" s="2" t="s">
        <v>1137</v>
      </c>
      <c r="CD68" s="2" t="s">
        <v>1167</v>
      </c>
      <c r="CE68" s="2" t="s">
        <v>1182</v>
      </c>
      <c r="CF68" s="111" t="s">
        <v>1183</v>
      </c>
      <c r="CG68" s="111" t="s">
        <v>1184</v>
      </c>
      <c r="CH68" s="111" t="s">
        <v>1883</v>
      </c>
      <c r="CI68" s="111">
        <v>26100.347600000001</v>
      </c>
      <c r="CJ68" s="111" t="s">
        <v>1884</v>
      </c>
      <c r="CK68" s="2" t="s">
        <v>1198</v>
      </c>
      <c r="CL68" s="111">
        <v>2</v>
      </c>
      <c r="CM68" s="111">
        <v>1</v>
      </c>
      <c r="CN68" s="111">
        <v>1</v>
      </c>
      <c r="CO68" s="111" t="s">
        <v>926</v>
      </c>
      <c r="CP68" s="111">
        <v>4</v>
      </c>
      <c r="CQ68" s="111">
        <v>1</v>
      </c>
      <c r="CR68" s="111">
        <v>1</v>
      </c>
      <c r="CS68" s="111">
        <v>1</v>
      </c>
      <c r="CT68" s="111">
        <v>1</v>
      </c>
      <c r="CU68" s="111">
        <v>1</v>
      </c>
      <c r="CV68" s="111">
        <v>2</v>
      </c>
      <c r="CW68" s="111">
        <v>4</v>
      </c>
      <c r="CX68" s="111">
        <v>1</v>
      </c>
      <c r="CY68" s="111">
        <v>1</v>
      </c>
      <c r="CZ68" s="111">
        <v>1</v>
      </c>
      <c r="DA68" s="111">
        <v>2</v>
      </c>
      <c r="DB68" s="111">
        <v>1</v>
      </c>
      <c r="DC68" s="111">
        <v>1</v>
      </c>
      <c r="DD68" s="111">
        <v>1</v>
      </c>
      <c r="DE68" s="111">
        <v>2</v>
      </c>
      <c r="DF68" s="111">
        <v>3</v>
      </c>
      <c r="DG68" s="111">
        <v>2</v>
      </c>
      <c r="DH68" s="111">
        <v>1</v>
      </c>
      <c r="DI68" s="111">
        <v>2</v>
      </c>
      <c r="DJ68" s="111">
        <v>2</v>
      </c>
      <c r="DK68" s="111">
        <v>2</v>
      </c>
      <c r="DL68" s="111" t="s">
        <v>937</v>
      </c>
      <c r="DM68" s="171" t="s">
        <v>926</v>
      </c>
      <c r="DN68" s="111" t="s">
        <v>1144</v>
      </c>
      <c r="DO68" s="2" t="s">
        <v>926</v>
      </c>
      <c r="DP68" s="111" t="s">
        <v>926</v>
      </c>
      <c r="DQ68" s="111" t="s">
        <v>926</v>
      </c>
      <c r="DR68" s="111">
        <v>1</v>
      </c>
      <c r="DS68" s="111">
        <v>2</v>
      </c>
      <c r="DT68" s="111" t="s">
        <v>1524</v>
      </c>
      <c r="DU68" s="178" t="s">
        <v>941</v>
      </c>
      <c r="DV68" s="111" t="s">
        <v>1269</v>
      </c>
      <c r="DW68" s="111" t="s">
        <v>1269</v>
      </c>
      <c r="DX68" s="167">
        <v>0.5</v>
      </c>
      <c r="DY68" s="111">
        <v>1</v>
      </c>
      <c r="DZ68" s="124"/>
    </row>
    <row r="69" spans="1:130" ht="12" customHeight="1">
      <c r="A69" s="165">
        <v>45755</v>
      </c>
      <c r="B69" s="181" t="s">
        <v>1525</v>
      </c>
      <c r="C69" s="111" t="s">
        <v>926</v>
      </c>
      <c r="D69" s="111" t="s">
        <v>1290</v>
      </c>
      <c r="E69" s="111" t="s">
        <v>1522</v>
      </c>
      <c r="F69" s="111" t="s">
        <v>926</v>
      </c>
      <c r="G69" s="111" t="s">
        <v>1885</v>
      </c>
      <c r="H69" s="111" t="s">
        <v>1886</v>
      </c>
      <c r="I69" s="111" t="s">
        <v>1666</v>
      </c>
      <c r="J69" s="111" t="s">
        <v>1269</v>
      </c>
      <c r="K69" s="111">
        <v>4</v>
      </c>
      <c r="L69" s="111">
        <v>2</v>
      </c>
      <c r="M69" s="111">
        <v>4</v>
      </c>
      <c r="N69" s="111">
        <v>2</v>
      </c>
      <c r="O69" s="111">
        <v>2</v>
      </c>
      <c r="P69" s="111">
        <v>2</v>
      </c>
      <c r="Q69" s="111">
        <v>3</v>
      </c>
      <c r="R69" s="111">
        <v>3</v>
      </c>
      <c r="S69" s="111">
        <v>3</v>
      </c>
      <c r="T69" s="111">
        <v>4</v>
      </c>
      <c r="U69" s="111">
        <v>2</v>
      </c>
      <c r="V69" s="111">
        <v>4</v>
      </c>
      <c r="W69" s="111">
        <v>3</v>
      </c>
      <c r="X69" s="111">
        <v>2</v>
      </c>
      <c r="Y69" s="111">
        <v>2</v>
      </c>
      <c r="Z69" s="166">
        <v>9744185</v>
      </c>
      <c r="AA69" s="167">
        <v>9.7441849999999999</v>
      </c>
      <c r="AB69" s="111">
        <v>3</v>
      </c>
      <c r="AC69" s="111">
        <v>2</v>
      </c>
      <c r="AD69" s="168">
        <v>1</v>
      </c>
      <c r="AE69" s="111">
        <v>2</v>
      </c>
      <c r="AF69" s="111">
        <v>2</v>
      </c>
      <c r="AG69" s="111">
        <v>4</v>
      </c>
      <c r="AH69" s="111">
        <v>1</v>
      </c>
      <c r="AI69" s="111">
        <v>4</v>
      </c>
      <c r="AJ69" s="111">
        <v>2</v>
      </c>
      <c r="AK69" s="111">
        <v>2</v>
      </c>
      <c r="AL69" s="111">
        <v>2</v>
      </c>
      <c r="AM69" s="111">
        <v>4</v>
      </c>
      <c r="AN69" s="111">
        <v>1</v>
      </c>
      <c r="AO69" s="111">
        <v>1</v>
      </c>
      <c r="AP69" s="111">
        <v>1</v>
      </c>
      <c r="AQ69" s="111">
        <v>1</v>
      </c>
      <c r="AR69" s="111">
        <v>1</v>
      </c>
      <c r="AS69" s="111">
        <v>1</v>
      </c>
      <c r="AT69" s="111">
        <v>2</v>
      </c>
      <c r="AU69" s="111">
        <v>1</v>
      </c>
      <c r="AV69" s="111">
        <v>1</v>
      </c>
      <c r="AW69" s="111">
        <v>1</v>
      </c>
      <c r="AX69" s="111" t="s">
        <v>926</v>
      </c>
      <c r="AY69" s="169">
        <v>6.1100000000000002E-2</v>
      </c>
      <c r="AZ69" s="169">
        <v>6.13E-2</v>
      </c>
      <c r="BA69" s="166">
        <v>88</v>
      </c>
      <c r="BB69" s="166">
        <v>5</v>
      </c>
      <c r="BC69" s="169">
        <v>0.14699999999999999</v>
      </c>
      <c r="BD69" s="166">
        <v>146</v>
      </c>
      <c r="BE69" s="166">
        <v>44</v>
      </c>
      <c r="BF69" s="169">
        <v>9.9524849999999994</v>
      </c>
      <c r="BG69" s="166">
        <v>234</v>
      </c>
      <c r="BH69" s="166">
        <v>49</v>
      </c>
      <c r="BI69" s="111" t="s">
        <v>926</v>
      </c>
      <c r="BJ69" s="111">
        <v>1</v>
      </c>
      <c r="BK69" s="111">
        <v>1</v>
      </c>
      <c r="BL69" s="111">
        <v>1</v>
      </c>
      <c r="BM69" s="111">
        <v>2</v>
      </c>
      <c r="BN69" s="111">
        <v>4</v>
      </c>
      <c r="BO69" s="111" t="s">
        <v>1523</v>
      </c>
      <c r="BP69" s="111" t="s">
        <v>1861</v>
      </c>
      <c r="BQ69" s="111" t="s">
        <v>926</v>
      </c>
      <c r="BR69" s="111" t="s">
        <v>926</v>
      </c>
      <c r="BS69" s="111" t="s">
        <v>926</v>
      </c>
      <c r="BT69" s="111" t="s">
        <v>926</v>
      </c>
      <c r="BU69" s="111" t="s">
        <v>926</v>
      </c>
      <c r="BV69" s="111">
        <v>1</v>
      </c>
      <c r="BW69" s="2" t="s">
        <v>1182</v>
      </c>
      <c r="BX69" s="2" t="s">
        <v>1886</v>
      </c>
      <c r="BY69" s="2" t="s">
        <v>1871</v>
      </c>
      <c r="BZ69" s="2" t="s">
        <v>1532</v>
      </c>
      <c r="CA69" s="2" t="s">
        <v>1887</v>
      </c>
      <c r="CB69" s="2" t="s">
        <v>1888</v>
      </c>
      <c r="CC69" s="2" t="s">
        <v>1137</v>
      </c>
      <c r="CD69" s="2" t="s">
        <v>1167</v>
      </c>
      <c r="CE69" s="2" t="s">
        <v>1182</v>
      </c>
      <c r="CF69" s="111" t="s">
        <v>1183</v>
      </c>
      <c r="CG69" s="111" t="s">
        <v>1184</v>
      </c>
      <c r="CH69" s="111" t="s">
        <v>1889</v>
      </c>
      <c r="CI69" s="111">
        <v>26100.347600000001</v>
      </c>
      <c r="CJ69" s="111" t="s">
        <v>1890</v>
      </c>
      <c r="CK69" s="2" t="s">
        <v>1198</v>
      </c>
      <c r="CL69" s="111">
        <v>2</v>
      </c>
      <c r="CM69" s="111">
        <v>1</v>
      </c>
      <c r="CN69" s="111">
        <v>1</v>
      </c>
      <c r="CO69" s="111" t="s">
        <v>926</v>
      </c>
      <c r="CP69" s="111">
        <v>4</v>
      </c>
      <c r="CQ69" s="111">
        <v>1</v>
      </c>
      <c r="CR69" s="111">
        <v>1</v>
      </c>
      <c r="CS69" s="111">
        <v>1</v>
      </c>
      <c r="CT69" s="111">
        <v>1</v>
      </c>
      <c r="CU69" s="111">
        <v>1</v>
      </c>
      <c r="CV69" s="111">
        <v>1</v>
      </c>
      <c r="CW69" s="111">
        <v>4</v>
      </c>
      <c r="CX69" s="111">
        <v>1</v>
      </c>
      <c r="CY69" s="111">
        <v>1</v>
      </c>
      <c r="CZ69" s="111">
        <v>1</v>
      </c>
      <c r="DA69" s="111">
        <v>2</v>
      </c>
      <c r="DB69" s="111">
        <v>1</v>
      </c>
      <c r="DC69" s="111">
        <v>1</v>
      </c>
      <c r="DD69" s="111">
        <v>2</v>
      </c>
      <c r="DE69" s="111">
        <v>2</v>
      </c>
      <c r="DF69" s="111">
        <v>3</v>
      </c>
      <c r="DG69" s="111">
        <v>2</v>
      </c>
      <c r="DH69" s="111">
        <v>2</v>
      </c>
      <c r="DI69" s="174">
        <v>2</v>
      </c>
      <c r="DJ69" s="111">
        <v>2</v>
      </c>
      <c r="DK69" s="111">
        <v>2</v>
      </c>
      <c r="DL69" s="111" t="s">
        <v>937</v>
      </c>
      <c r="DM69" s="171" t="s">
        <v>926</v>
      </c>
      <c r="DN69" s="111" t="s">
        <v>1144</v>
      </c>
      <c r="DO69" s="2" t="s">
        <v>926</v>
      </c>
      <c r="DP69" s="111" t="s">
        <v>926</v>
      </c>
      <c r="DQ69" s="111" t="s">
        <v>926</v>
      </c>
      <c r="DR69" s="111">
        <v>1</v>
      </c>
      <c r="DS69" s="111">
        <v>2</v>
      </c>
      <c r="DT69" s="111" t="s">
        <v>1525</v>
      </c>
      <c r="DU69" s="178" t="s">
        <v>941</v>
      </c>
      <c r="DV69" s="111" t="s">
        <v>1269</v>
      </c>
      <c r="DW69" s="111" t="s">
        <v>1269</v>
      </c>
      <c r="DX69" s="167">
        <v>0.5</v>
      </c>
      <c r="DY69" s="184" t="s">
        <v>926</v>
      </c>
      <c r="DZ69" s="124"/>
    </row>
    <row r="70" spans="1:130" ht="12" customHeight="1">
      <c r="A70" s="165">
        <v>45755</v>
      </c>
      <c r="B70" s="181" t="s">
        <v>1526</v>
      </c>
      <c r="C70" s="111" t="s">
        <v>926</v>
      </c>
      <c r="D70" s="111" t="s">
        <v>1290</v>
      </c>
      <c r="E70" s="111" t="s">
        <v>1522</v>
      </c>
      <c r="F70" s="111" t="s">
        <v>926</v>
      </c>
      <c r="G70" s="111" t="s">
        <v>1891</v>
      </c>
      <c r="H70" s="111" t="s">
        <v>1892</v>
      </c>
      <c r="I70" s="111" t="s">
        <v>1666</v>
      </c>
      <c r="J70" s="204" t="s">
        <v>1148</v>
      </c>
      <c r="K70" s="111">
        <v>4</v>
      </c>
      <c r="L70" s="111">
        <v>4</v>
      </c>
      <c r="M70" s="111">
        <v>2</v>
      </c>
      <c r="N70" s="111">
        <v>1</v>
      </c>
      <c r="O70" s="111">
        <v>2</v>
      </c>
      <c r="P70" s="111">
        <v>1</v>
      </c>
      <c r="Q70" s="111">
        <v>2</v>
      </c>
      <c r="R70" s="111">
        <v>2</v>
      </c>
      <c r="S70" s="111">
        <v>1</v>
      </c>
      <c r="T70" s="111">
        <v>4</v>
      </c>
      <c r="U70" s="111">
        <v>4</v>
      </c>
      <c r="V70" s="111">
        <v>4</v>
      </c>
      <c r="W70" s="111">
        <v>3</v>
      </c>
      <c r="X70" s="111">
        <v>1</v>
      </c>
      <c r="Y70" s="111">
        <v>2</v>
      </c>
      <c r="Z70" s="166">
        <v>9690882</v>
      </c>
      <c r="AA70" s="167">
        <v>9.6908820000000002</v>
      </c>
      <c r="AB70" s="111">
        <v>4</v>
      </c>
      <c r="AC70" s="111">
        <v>4</v>
      </c>
      <c r="AD70" s="168">
        <v>4</v>
      </c>
      <c r="AE70" s="111">
        <v>3</v>
      </c>
      <c r="AF70" s="111">
        <v>1</v>
      </c>
      <c r="AG70" s="111">
        <v>1</v>
      </c>
      <c r="AH70" s="111">
        <v>4</v>
      </c>
      <c r="AI70" s="111">
        <v>4</v>
      </c>
      <c r="AJ70" s="111">
        <v>4</v>
      </c>
      <c r="AK70" s="111">
        <v>1</v>
      </c>
      <c r="AL70" s="111">
        <v>1</v>
      </c>
      <c r="AM70" s="111">
        <v>4</v>
      </c>
      <c r="AN70" s="111">
        <v>2</v>
      </c>
      <c r="AO70" s="111">
        <v>1</v>
      </c>
      <c r="AP70" s="111">
        <v>1</v>
      </c>
      <c r="AQ70" s="111">
        <v>1</v>
      </c>
      <c r="AR70" s="111">
        <v>1</v>
      </c>
      <c r="AS70" s="111">
        <v>1</v>
      </c>
      <c r="AT70" s="111">
        <v>1</v>
      </c>
      <c r="AU70" s="111">
        <v>1</v>
      </c>
      <c r="AV70" s="111">
        <v>1</v>
      </c>
      <c r="AW70" s="111">
        <v>1</v>
      </c>
      <c r="AX70" s="111" t="s">
        <v>926</v>
      </c>
      <c r="AY70" s="169">
        <v>8.2500000000000004E-2</v>
      </c>
      <c r="AZ70" s="169">
        <v>8.2799999999999999E-2</v>
      </c>
      <c r="BA70" s="166">
        <v>154</v>
      </c>
      <c r="BB70" s="166">
        <v>14</v>
      </c>
      <c r="BC70" s="169" t="s">
        <v>926</v>
      </c>
      <c r="BD70" s="166" t="s">
        <v>926</v>
      </c>
      <c r="BE70" s="166" t="s">
        <v>926</v>
      </c>
      <c r="BF70" s="169">
        <v>9.7736820000000009</v>
      </c>
      <c r="BG70" s="166">
        <v>154</v>
      </c>
      <c r="BH70" s="166">
        <v>14</v>
      </c>
      <c r="BI70" s="111" t="s">
        <v>926</v>
      </c>
      <c r="BJ70" s="111">
        <v>1</v>
      </c>
      <c r="BK70" s="170">
        <v>1</v>
      </c>
      <c r="BL70" s="111">
        <v>1</v>
      </c>
      <c r="BM70" s="111">
        <v>2</v>
      </c>
      <c r="BN70" s="111">
        <v>3</v>
      </c>
      <c r="BO70" s="111" t="s">
        <v>1523</v>
      </c>
      <c r="BP70" s="111" t="s">
        <v>1861</v>
      </c>
      <c r="BQ70" s="111" t="s">
        <v>926</v>
      </c>
      <c r="BR70" s="111" t="s">
        <v>926</v>
      </c>
      <c r="BS70" s="111" t="s">
        <v>926</v>
      </c>
      <c r="BT70" s="111" t="s">
        <v>926</v>
      </c>
      <c r="BU70" s="111" t="s">
        <v>926</v>
      </c>
      <c r="BV70" s="111">
        <v>1</v>
      </c>
      <c r="BW70" s="2" t="s">
        <v>1182</v>
      </c>
      <c r="BX70" s="2" t="s">
        <v>1893</v>
      </c>
      <c r="BY70" s="2" t="s">
        <v>1178</v>
      </c>
      <c r="BZ70" s="2" t="s">
        <v>1894</v>
      </c>
      <c r="CA70" s="2" t="s">
        <v>1895</v>
      </c>
      <c r="CB70" s="2" t="s">
        <v>1896</v>
      </c>
      <c r="CC70" s="2" t="s">
        <v>1137</v>
      </c>
      <c r="CD70" s="2" t="s">
        <v>1167</v>
      </c>
      <c r="CE70" s="2" t="s">
        <v>1182</v>
      </c>
      <c r="CF70" s="111" t="s">
        <v>1183</v>
      </c>
      <c r="CG70" s="111" t="s">
        <v>1184</v>
      </c>
      <c r="CH70" s="111" t="s">
        <v>1866</v>
      </c>
      <c r="CI70" s="111">
        <v>26100.347600000001</v>
      </c>
      <c r="CJ70" s="111" t="s">
        <v>1527</v>
      </c>
      <c r="CK70" s="2" t="s">
        <v>1198</v>
      </c>
      <c r="CL70" s="111">
        <v>1</v>
      </c>
      <c r="CM70" s="111">
        <v>1</v>
      </c>
      <c r="CN70" s="111">
        <v>1</v>
      </c>
      <c r="CO70" s="111" t="s">
        <v>926</v>
      </c>
      <c r="CP70" s="111">
        <v>4</v>
      </c>
      <c r="CQ70" s="111">
        <v>2</v>
      </c>
      <c r="CR70" s="111">
        <v>1</v>
      </c>
      <c r="CS70" s="111">
        <v>1</v>
      </c>
      <c r="CT70" s="111">
        <v>2</v>
      </c>
      <c r="CU70" s="111">
        <v>1</v>
      </c>
      <c r="CV70" s="111">
        <v>2</v>
      </c>
      <c r="CW70" s="111">
        <v>3</v>
      </c>
      <c r="CX70" s="111">
        <v>1</v>
      </c>
      <c r="CY70" s="111">
        <v>2</v>
      </c>
      <c r="CZ70" s="111">
        <v>1</v>
      </c>
      <c r="DA70" s="111">
        <v>2</v>
      </c>
      <c r="DB70" s="111">
        <v>1</v>
      </c>
      <c r="DC70" s="111">
        <v>2</v>
      </c>
      <c r="DD70" s="111">
        <v>1</v>
      </c>
      <c r="DE70" s="111">
        <v>2</v>
      </c>
      <c r="DF70" s="111">
        <v>2</v>
      </c>
      <c r="DG70" s="111">
        <v>2</v>
      </c>
      <c r="DH70" s="111">
        <v>1</v>
      </c>
      <c r="DI70" s="111">
        <v>2</v>
      </c>
      <c r="DJ70" s="111">
        <v>2</v>
      </c>
      <c r="DK70" s="111">
        <v>2</v>
      </c>
      <c r="DL70" s="111" t="s">
        <v>937</v>
      </c>
      <c r="DM70" s="171" t="s">
        <v>926</v>
      </c>
      <c r="DN70" s="111" t="s">
        <v>1144</v>
      </c>
      <c r="DO70" s="2" t="s">
        <v>926</v>
      </c>
      <c r="DP70" s="111" t="s">
        <v>926</v>
      </c>
      <c r="DQ70" s="111" t="s">
        <v>926</v>
      </c>
      <c r="DR70" s="111">
        <v>1</v>
      </c>
      <c r="DS70" s="111">
        <v>1</v>
      </c>
      <c r="DT70" s="111" t="s">
        <v>1147</v>
      </c>
      <c r="DU70" s="111" t="s">
        <v>941</v>
      </c>
      <c r="DV70" s="111" t="s">
        <v>1148</v>
      </c>
      <c r="DW70" s="111" t="s">
        <v>1148</v>
      </c>
      <c r="DX70" s="167">
        <v>1</v>
      </c>
      <c r="DY70" s="184" t="s">
        <v>926</v>
      </c>
      <c r="DZ70" s="124"/>
    </row>
    <row r="71" spans="1:130" ht="12" hidden="1" customHeight="1">
      <c r="A71" s="165">
        <v>45755</v>
      </c>
      <c r="B71" s="2" t="s">
        <v>1528</v>
      </c>
      <c r="C71" s="111" t="s">
        <v>926</v>
      </c>
      <c r="D71" s="111" t="s">
        <v>1290</v>
      </c>
      <c r="E71" s="111" t="s">
        <v>1522</v>
      </c>
      <c r="F71" s="111" t="s">
        <v>926</v>
      </c>
      <c r="G71" s="111" t="s">
        <v>1897</v>
      </c>
      <c r="H71" s="111" t="s">
        <v>1898</v>
      </c>
      <c r="I71" s="111" t="s">
        <v>1666</v>
      </c>
      <c r="J71" s="111" t="s">
        <v>1148</v>
      </c>
      <c r="K71" s="111">
        <v>4</v>
      </c>
      <c r="L71" s="111">
        <v>4</v>
      </c>
      <c r="M71" s="111">
        <v>4</v>
      </c>
      <c r="N71" s="111">
        <v>2</v>
      </c>
      <c r="O71" s="111">
        <v>2</v>
      </c>
      <c r="P71" s="111">
        <v>2</v>
      </c>
      <c r="Q71" s="111">
        <v>1</v>
      </c>
      <c r="R71" s="111">
        <v>2</v>
      </c>
      <c r="S71" s="111">
        <v>2</v>
      </c>
      <c r="T71" s="111">
        <v>4</v>
      </c>
      <c r="U71" s="111">
        <v>4</v>
      </c>
      <c r="V71" s="111">
        <v>4</v>
      </c>
      <c r="W71" s="111">
        <v>3</v>
      </c>
      <c r="X71" s="111">
        <v>2</v>
      </c>
      <c r="Y71" s="111">
        <v>3</v>
      </c>
      <c r="Z71" s="166">
        <v>19303678</v>
      </c>
      <c r="AA71" s="167">
        <v>19.303678000000001</v>
      </c>
      <c r="AB71" s="111">
        <v>4</v>
      </c>
      <c r="AC71" s="111">
        <v>4</v>
      </c>
      <c r="AD71" s="168">
        <v>4</v>
      </c>
      <c r="AE71" s="111">
        <v>3</v>
      </c>
      <c r="AF71" s="111">
        <v>2</v>
      </c>
      <c r="AG71" s="111">
        <v>2</v>
      </c>
      <c r="AH71" s="111">
        <v>1</v>
      </c>
      <c r="AI71" s="111">
        <v>4</v>
      </c>
      <c r="AJ71" s="111">
        <v>4</v>
      </c>
      <c r="AK71" s="111">
        <v>3</v>
      </c>
      <c r="AL71" s="111">
        <v>2</v>
      </c>
      <c r="AM71" s="111">
        <v>4</v>
      </c>
      <c r="AN71" s="111">
        <v>1</v>
      </c>
      <c r="AO71" s="111">
        <v>1</v>
      </c>
      <c r="AP71" s="111">
        <v>1</v>
      </c>
      <c r="AQ71" s="111">
        <v>2</v>
      </c>
      <c r="AR71" s="111">
        <v>1</v>
      </c>
      <c r="AS71" s="111">
        <v>1</v>
      </c>
      <c r="AT71" s="111">
        <v>1</v>
      </c>
      <c r="AU71" s="111">
        <v>1</v>
      </c>
      <c r="AV71" s="111">
        <v>1</v>
      </c>
      <c r="AW71" s="111">
        <v>1</v>
      </c>
      <c r="AX71" s="111" t="s">
        <v>926</v>
      </c>
      <c r="AY71" s="169">
        <v>30.9</v>
      </c>
      <c r="AZ71" s="169">
        <v>30.9</v>
      </c>
      <c r="BA71" s="166">
        <v>43170</v>
      </c>
      <c r="BB71" s="166">
        <v>1656</v>
      </c>
      <c r="BC71" s="169">
        <v>1.97</v>
      </c>
      <c r="BD71" s="166">
        <v>2320</v>
      </c>
      <c r="BE71" s="166">
        <v>387</v>
      </c>
      <c r="BF71" s="169">
        <v>52.173677999999995</v>
      </c>
      <c r="BG71" s="166">
        <v>45490</v>
      </c>
      <c r="BH71" s="166">
        <v>2043</v>
      </c>
      <c r="BI71" s="111" t="s">
        <v>926</v>
      </c>
      <c r="BJ71" s="111">
        <v>1</v>
      </c>
      <c r="BK71" s="111">
        <v>1</v>
      </c>
      <c r="BL71" s="111">
        <v>1</v>
      </c>
      <c r="BM71" s="111">
        <v>1</v>
      </c>
      <c r="BN71" s="111">
        <v>2</v>
      </c>
      <c r="BO71" s="111" t="s">
        <v>1523</v>
      </c>
      <c r="BP71" s="111" t="s">
        <v>1861</v>
      </c>
      <c r="BQ71" s="111" t="s">
        <v>926</v>
      </c>
      <c r="BR71" s="111" t="s">
        <v>1529</v>
      </c>
      <c r="BS71" s="111" t="s">
        <v>926</v>
      </c>
      <c r="BT71" s="111" t="s">
        <v>926</v>
      </c>
      <c r="BU71" s="111" t="s">
        <v>926</v>
      </c>
      <c r="BV71" s="111">
        <v>1</v>
      </c>
      <c r="BW71" s="2" t="s">
        <v>1182</v>
      </c>
      <c r="BX71" s="2" t="s">
        <v>1530</v>
      </c>
      <c r="BY71" s="2" t="s">
        <v>1531</v>
      </c>
      <c r="BZ71" s="2" t="s">
        <v>1532</v>
      </c>
      <c r="CA71" s="2" t="s">
        <v>1533</v>
      </c>
      <c r="CB71" s="2" t="s">
        <v>1534</v>
      </c>
      <c r="CC71" s="2" t="s">
        <v>1137</v>
      </c>
      <c r="CD71" s="2" t="s">
        <v>1167</v>
      </c>
      <c r="CE71" s="2" t="s">
        <v>1182</v>
      </c>
      <c r="CF71" s="111" t="s">
        <v>1183</v>
      </c>
      <c r="CG71" s="111" t="s">
        <v>1184</v>
      </c>
      <c r="CH71" s="111" t="s">
        <v>1535</v>
      </c>
      <c r="CI71" s="111">
        <v>26100.362400000002</v>
      </c>
      <c r="CJ71" s="111" t="s">
        <v>1536</v>
      </c>
      <c r="CK71" s="2" t="s">
        <v>1235</v>
      </c>
      <c r="CL71" s="111">
        <v>1</v>
      </c>
      <c r="CM71" s="111">
        <v>1</v>
      </c>
      <c r="CN71" s="111">
        <v>1</v>
      </c>
      <c r="CO71" s="111" t="s">
        <v>926</v>
      </c>
      <c r="CP71" s="111">
        <v>4</v>
      </c>
      <c r="CQ71" s="111">
        <v>2</v>
      </c>
      <c r="CR71" s="111">
        <v>1</v>
      </c>
      <c r="CS71" s="111">
        <v>1</v>
      </c>
      <c r="CT71" s="111">
        <v>2</v>
      </c>
      <c r="CU71" s="111">
        <v>1</v>
      </c>
      <c r="CV71" s="111">
        <v>2</v>
      </c>
      <c r="CW71" s="111">
        <v>4</v>
      </c>
      <c r="CX71" s="111">
        <v>1</v>
      </c>
      <c r="CY71" s="111">
        <v>2</v>
      </c>
      <c r="CZ71" s="111">
        <v>1</v>
      </c>
      <c r="DA71" s="111">
        <v>2</v>
      </c>
      <c r="DB71" s="111">
        <v>1</v>
      </c>
      <c r="DC71" s="111">
        <v>1</v>
      </c>
      <c r="DD71" s="111">
        <v>1</v>
      </c>
      <c r="DE71" s="111">
        <v>2</v>
      </c>
      <c r="DF71" s="111">
        <v>4</v>
      </c>
      <c r="DG71" s="111">
        <v>2</v>
      </c>
      <c r="DH71" s="111">
        <v>1</v>
      </c>
      <c r="DI71" s="111">
        <v>2</v>
      </c>
      <c r="DJ71" s="111">
        <v>2</v>
      </c>
      <c r="DK71" s="111">
        <v>2</v>
      </c>
      <c r="DL71" s="111" t="s">
        <v>937</v>
      </c>
      <c r="DM71" s="171" t="s">
        <v>926</v>
      </c>
      <c r="DN71" s="111" t="s">
        <v>1144</v>
      </c>
      <c r="DO71" s="2" t="s">
        <v>926</v>
      </c>
      <c r="DP71" s="111" t="s">
        <v>926</v>
      </c>
      <c r="DQ71" s="111" t="s">
        <v>926</v>
      </c>
      <c r="DR71" s="111">
        <v>1</v>
      </c>
      <c r="DS71" s="111">
        <v>1</v>
      </c>
      <c r="DT71" s="111" t="s">
        <v>1147</v>
      </c>
      <c r="DU71" s="111" t="s">
        <v>941</v>
      </c>
      <c r="DV71" s="111" t="s">
        <v>1148</v>
      </c>
      <c r="DW71" s="111" t="s">
        <v>1148</v>
      </c>
      <c r="DX71" s="167">
        <v>1</v>
      </c>
      <c r="DY71" s="111">
        <v>1</v>
      </c>
      <c r="DZ71" s="124"/>
    </row>
    <row r="72" spans="1:130" ht="12" hidden="1" customHeight="1">
      <c r="A72" s="165">
        <v>45764</v>
      </c>
      <c r="B72" s="2" t="s">
        <v>1899</v>
      </c>
      <c r="C72" s="111" t="s">
        <v>1538</v>
      </c>
      <c r="D72" s="111" t="s">
        <v>1214</v>
      </c>
      <c r="E72" s="111" t="s">
        <v>1326</v>
      </c>
      <c r="F72" s="111" t="s">
        <v>1327</v>
      </c>
      <c r="G72" s="111" t="s">
        <v>1615</v>
      </c>
      <c r="H72" s="111" t="s">
        <v>1615</v>
      </c>
      <c r="I72" s="111" t="s">
        <v>1615</v>
      </c>
      <c r="J72" s="111" t="s">
        <v>926</v>
      </c>
      <c r="K72" s="111" t="s">
        <v>926</v>
      </c>
      <c r="L72" s="111" t="s">
        <v>926</v>
      </c>
      <c r="M72" s="111" t="s">
        <v>926</v>
      </c>
      <c r="N72" s="111" t="s">
        <v>926</v>
      </c>
      <c r="O72" s="111" t="s">
        <v>926</v>
      </c>
      <c r="P72" s="111" t="s">
        <v>926</v>
      </c>
      <c r="Q72" s="111" t="s">
        <v>926</v>
      </c>
      <c r="R72" s="111" t="s">
        <v>926</v>
      </c>
      <c r="S72" s="111" t="s">
        <v>926</v>
      </c>
      <c r="T72" s="111" t="s">
        <v>926</v>
      </c>
      <c r="U72" s="111" t="s">
        <v>926</v>
      </c>
      <c r="V72" s="111" t="s">
        <v>926</v>
      </c>
      <c r="W72" s="111" t="s">
        <v>926</v>
      </c>
      <c r="X72" s="111" t="s">
        <v>926</v>
      </c>
      <c r="Y72" s="111" t="s">
        <v>926</v>
      </c>
      <c r="Z72" s="166" t="s">
        <v>926</v>
      </c>
      <c r="AA72" s="167" t="s">
        <v>926</v>
      </c>
      <c r="AB72" s="111" t="s">
        <v>926</v>
      </c>
      <c r="AC72" s="111" t="s">
        <v>926</v>
      </c>
      <c r="AD72" s="168" t="s">
        <v>926</v>
      </c>
      <c r="AE72" s="111" t="s">
        <v>926</v>
      </c>
      <c r="AF72" s="111" t="s">
        <v>926</v>
      </c>
      <c r="AG72" s="111" t="s">
        <v>926</v>
      </c>
      <c r="AH72" s="111" t="s">
        <v>926</v>
      </c>
      <c r="AI72" s="111" t="s">
        <v>926</v>
      </c>
      <c r="AJ72" s="111" t="s">
        <v>926</v>
      </c>
      <c r="AK72" s="111" t="s">
        <v>926</v>
      </c>
      <c r="AL72" s="111" t="s">
        <v>926</v>
      </c>
      <c r="AM72" s="111" t="s">
        <v>926</v>
      </c>
      <c r="AN72" s="111" t="s">
        <v>926</v>
      </c>
      <c r="AO72" s="111" t="s">
        <v>926</v>
      </c>
      <c r="AP72" s="111" t="s">
        <v>926</v>
      </c>
      <c r="AQ72" s="111" t="s">
        <v>926</v>
      </c>
      <c r="AR72" s="111" t="s">
        <v>926</v>
      </c>
      <c r="AS72" s="111" t="s">
        <v>926</v>
      </c>
      <c r="AT72" s="111" t="s">
        <v>926</v>
      </c>
      <c r="AU72" s="111" t="s">
        <v>926</v>
      </c>
      <c r="AV72" s="111" t="s">
        <v>926</v>
      </c>
      <c r="AW72" s="111" t="s">
        <v>926</v>
      </c>
      <c r="AX72" s="111" t="s">
        <v>926</v>
      </c>
      <c r="AY72" s="169" t="s">
        <v>926</v>
      </c>
      <c r="AZ72" s="169" t="s">
        <v>926</v>
      </c>
      <c r="BA72" s="166" t="s">
        <v>926</v>
      </c>
      <c r="BB72" s="166" t="s">
        <v>926</v>
      </c>
      <c r="BC72" s="169" t="s">
        <v>926</v>
      </c>
      <c r="BD72" s="166" t="s">
        <v>926</v>
      </c>
      <c r="BE72" s="166" t="s">
        <v>926</v>
      </c>
      <c r="BF72" s="169">
        <v>0</v>
      </c>
      <c r="BG72" s="166">
        <v>0</v>
      </c>
      <c r="BH72" s="166">
        <v>0</v>
      </c>
      <c r="BI72" s="111" t="s">
        <v>926</v>
      </c>
      <c r="BJ72" s="111" t="s">
        <v>926</v>
      </c>
      <c r="BK72" s="111">
        <v>3</v>
      </c>
      <c r="BL72" s="111">
        <v>1</v>
      </c>
      <c r="BM72" s="111" t="s">
        <v>926</v>
      </c>
      <c r="BN72" s="111" t="s">
        <v>926</v>
      </c>
      <c r="BO72" s="170" t="s">
        <v>1335</v>
      </c>
      <c r="BP72" s="111" t="s">
        <v>1745</v>
      </c>
      <c r="BQ72" s="111" t="s">
        <v>1779</v>
      </c>
      <c r="BR72" s="111" t="s">
        <v>926</v>
      </c>
      <c r="BS72" s="111" t="s">
        <v>926</v>
      </c>
      <c r="BT72" s="111" t="s">
        <v>926</v>
      </c>
      <c r="BU72" s="111" t="s">
        <v>926</v>
      </c>
      <c r="BV72" s="111" t="s">
        <v>926</v>
      </c>
      <c r="BW72" s="2" t="s">
        <v>1182</v>
      </c>
      <c r="BX72" s="2" t="s">
        <v>1900</v>
      </c>
      <c r="BY72" s="2" t="s">
        <v>1539</v>
      </c>
      <c r="BZ72" s="2" t="s">
        <v>1537</v>
      </c>
      <c r="CA72" s="2" t="s">
        <v>1901</v>
      </c>
      <c r="CB72" s="2" t="s">
        <v>1902</v>
      </c>
      <c r="CC72" s="2" t="s">
        <v>1137</v>
      </c>
      <c r="CD72" s="2" t="s">
        <v>1138</v>
      </c>
      <c r="CE72" s="2" t="s">
        <v>1182</v>
      </c>
      <c r="CF72" s="111" t="s">
        <v>1139</v>
      </c>
      <c r="CG72" s="111" t="s">
        <v>1540</v>
      </c>
      <c r="CH72" s="177">
        <v>44524</v>
      </c>
      <c r="CI72" s="111">
        <v>19043.150300000001</v>
      </c>
      <c r="CJ72" s="111" t="s">
        <v>1903</v>
      </c>
      <c r="CK72" s="2" t="s">
        <v>1904</v>
      </c>
      <c r="CL72" s="111" t="s">
        <v>926</v>
      </c>
      <c r="CM72" s="111" t="s">
        <v>926</v>
      </c>
      <c r="CN72" s="111" t="s">
        <v>926</v>
      </c>
      <c r="CO72" s="111" t="s">
        <v>926</v>
      </c>
      <c r="CP72" s="111" t="s">
        <v>926</v>
      </c>
      <c r="CQ72" s="111" t="s">
        <v>926</v>
      </c>
      <c r="CR72" s="111" t="s">
        <v>926</v>
      </c>
      <c r="CS72" s="111" t="s">
        <v>926</v>
      </c>
      <c r="CT72" s="111" t="s">
        <v>926</v>
      </c>
      <c r="CU72" s="111" t="s">
        <v>926</v>
      </c>
      <c r="CV72" s="111" t="s">
        <v>926</v>
      </c>
      <c r="CW72" s="111" t="s">
        <v>926</v>
      </c>
      <c r="CX72" s="111" t="s">
        <v>926</v>
      </c>
      <c r="CY72" s="111" t="s">
        <v>926</v>
      </c>
      <c r="CZ72" s="111" t="s">
        <v>926</v>
      </c>
      <c r="DA72" s="111" t="s">
        <v>926</v>
      </c>
      <c r="DB72" s="111" t="s">
        <v>926</v>
      </c>
      <c r="DC72" s="111" t="s">
        <v>926</v>
      </c>
      <c r="DD72" s="111" t="s">
        <v>926</v>
      </c>
      <c r="DE72" s="111" t="s">
        <v>926</v>
      </c>
      <c r="DF72" s="111" t="s">
        <v>926</v>
      </c>
      <c r="DG72" s="111" t="s">
        <v>926</v>
      </c>
      <c r="DH72" s="111" t="s">
        <v>926</v>
      </c>
      <c r="DI72" s="111" t="s">
        <v>926</v>
      </c>
      <c r="DJ72" s="111" t="s">
        <v>926</v>
      </c>
      <c r="DK72" s="111" t="s">
        <v>926</v>
      </c>
      <c r="DL72" s="111" t="s">
        <v>926</v>
      </c>
      <c r="DM72" s="171" t="s">
        <v>926</v>
      </c>
      <c r="DN72" s="111" t="s">
        <v>926</v>
      </c>
      <c r="DO72" s="2" t="s">
        <v>926</v>
      </c>
      <c r="DP72" s="111" t="s">
        <v>926</v>
      </c>
      <c r="DQ72" s="111" t="s">
        <v>926</v>
      </c>
      <c r="DR72" s="111" t="s">
        <v>926</v>
      </c>
      <c r="DS72" s="111" t="s">
        <v>926</v>
      </c>
      <c r="DT72" s="111" t="s">
        <v>926</v>
      </c>
      <c r="DU72" s="111" t="s">
        <v>926</v>
      </c>
      <c r="DV72" s="111" t="s">
        <v>926</v>
      </c>
      <c r="DW72" s="111" t="s">
        <v>926</v>
      </c>
      <c r="DX72" s="167" t="s">
        <v>926</v>
      </c>
      <c r="DY72" s="111" t="s">
        <v>926</v>
      </c>
      <c r="DZ72" s="124"/>
    </row>
    <row r="73" spans="1:130" ht="12" hidden="1" customHeight="1">
      <c r="A73" s="165">
        <v>45764</v>
      </c>
      <c r="B73" s="2" t="s">
        <v>1905</v>
      </c>
      <c r="C73" s="111" t="s">
        <v>1538</v>
      </c>
      <c r="D73" s="111" t="s">
        <v>1214</v>
      </c>
      <c r="E73" s="111" t="s">
        <v>1326</v>
      </c>
      <c r="F73" s="111" t="s">
        <v>1327</v>
      </c>
      <c r="G73" s="111" t="s">
        <v>1615</v>
      </c>
      <c r="H73" s="111" t="s">
        <v>1615</v>
      </c>
      <c r="I73" s="111" t="s">
        <v>1615</v>
      </c>
      <c r="J73" s="111" t="s">
        <v>926</v>
      </c>
      <c r="K73" s="111" t="s">
        <v>926</v>
      </c>
      <c r="L73" s="111" t="s">
        <v>926</v>
      </c>
      <c r="M73" s="111" t="s">
        <v>926</v>
      </c>
      <c r="N73" s="111" t="s">
        <v>926</v>
      </c>
      <c r="O73" s="111" t="s">
        <v>926</v>
      </c>
      <c r="P73" s="111" t="s">
        <v>926</v>
      </c>
      <c r="Q73" s="111" t="s">
        <v>926</v>
      </c>
      <c r="R73" s="111" t="s">
        <v>926</v>
      </c>
      <c r="S73" s="111" t="s">
        <v>926</v>
      </c>
      <c r="T73" s="111" t="s">
        <v>926</v>
      </c>
      <c r="U73" s="111" t="s">
        <v>926</v>
      </c>
      <c r="V73" s="111" t="s">
        <v>926</v>
      </c>
      <c r="W73" s="111" t="s">
        <v>926</v>
      </c>
      <c r="X73" s="111" t="s">
        <v>926</v>
      </c>
      <c r="Y73" s="111" t="s">
        <v>926</v>
      </c>
      <c r="Z73" s="166" t="s">
        <v>926</v>
      </c>
      <c r="AA73" s="167" t="s">
        <v>926</v>
      </c>
      <c r="AB73" s="111" t="s">
        <v>926</v>
      </c>
      <c r="AC73" s="111" t="s">
        <v>926</v>
      </c>
      <c r="AD73" s="168" t="s">
        <v>926</v>
      </c>
      <c r="AE73" s="111" t="s">
        <v>926</v>
      </c>
      <c r="AF73" s="111" t="s">
        <v>926</v>
      </c>
      <c r="AG73" s="111" t="s">
        <v>926</v>
      </c>
      <c r="AH73" s="111" t="s">
        <v>926</v>
      </c>
      <c r="AI73" s="111" t="s">
        <v>926</v>
      </c>
      <c r="AJ73" s="111" t="s">
        <v>926</v>
      </c>
      <c r="AK73" s="111" t="s">
        <v>926</v>
      </c>
      <c r="AL73" s="111" t="s">
        <v>926</v>
      </c>
      <c r="AM73" s="111" t="s">
        <v>926</v>
      </c>
      <c r="AN73" s="111" t="s">
        <v>926</v>
      </c>
      <c r="AO73" s="111" t="s">
        <v>926</v>
      </c>
      <c r="AP73" s="111" t="s">
        <v>926</v>
      </c>
      <c r="AQ73" s="111" t="s">
        <v>926</v>
      </c>
      <c r="AR73" s="111" t="s">
        <v>926</v>
      </c>
      <c r="AS73" s="111" t="s">
        <v>926</v>
      </c>
      <c r="AT73" s="111" t="s">
        <v>926</v>
      </c>
      <c r="AU73" s="111" t="s">
        <v>926</v>
      </c>
      <c r="AV73" s="111" t="s">
        <v>926</v>
      </c>
      <c r="AW73" s="111" t="s">
        <v>926</v>
      </c>
      <c r="AX73" s="111" t="s">
        <v>926</v>
      </c>
      <c r="AY73" s="169" t="s">
        <v>926</v>
      </c>
      <c r="AZ73" s="169" t="s">
        <v>926</v>
      </c>
      <c r="BA73" s="166" t="s">
        <v>926</v>
      </c>
      <c r="BB73" s="166" t="s">
        <v>926</v>
      </c>
      <c r="BC73" s="169" t="s">
        <v>926</v>
      </c>
      <c r="BD73" s="166" t="s">
        <v>926</v>
      </c>
      <c r="BE73" s="166" t="s">
        <v>926</v>
      </c>
      <c r="BF73" s="169">
        <v>0</v>
      </c>
      <c r="BG73" s="166">
        <v>0</v>
      </c>
      <c r="BH73" s="166">
        <v>0</v>
      </c>
      <c r="BI73" s="111" t="s">
        <v>926</v>
      </c>
      <c r="BJ73" s="111" t="s">
        <v>926</v>
      </c>
      <c r="BK73" s="111">
        <v>3</v>
      </c>
      <c r="BL73" s="111">
        <v>1</v>
      </c>
      <c r="BM73" s="111" t="s">
        <v>926</v>
      </c>
      <c r="BN73" s="111" t="s">
        <v>926</v>
      </c>
      <c r="BO73" s="170" t="s">
        <v>1335</v>
      </c>
      <c r="BP73" s="111" t="s">
        <v>1745</v>
      </c>
      <c r="BQ73" s="111" t="s">
        <v>1779</v>
      </c>
      <c r="BR73" s="111" t="s">
        <v>926</v>
      </c>
      <c r="BS73" s="111" t="s">
        <v>926</v>
      </c>
      <c r="BT73" s="111" t="s">
        <v>926</v>
      </c>
      <c r="BU73" s="111" t="s">
        <v>926</v>
      </c>
      <c r="BV73" s="111">
        <v>1</v>
      </c>
      <c r="BW73" s="2" t="s">
        <v>1182</v>
      </c>
      <c r="BX73" s="2" t="s">
        <v>1906</v>
      </c>
      <c r="BY73" s="2" t="s">
        <v>1539</v>
      </c>
      <c r="BZ73" s="2" t="s">
        <v>1537</v>
      </c>
      <c r="CA73" s="2" t="s">
        <v>1907</v>
      </c>
      <c r="CB73" s="2" t="s">
        <v>1908</v>
      </c>
      <c r="CC73" s="2" t="s">
        <v>1137</v>
      </c>
      <c r="CD73" s="2" t="s">
        <v>1138</v>
      </c>
      <c r="CE73" s="2" t="s">
        <v>1182</v>
      </c>
      <c r="CF73" s="111" t="s">
        <v>1139</v>
      </c>
      <c r="CG73" s="111" t="s">
        <v>1540</v>
      </c>
      <c r="CH73" s="177">
        <v>44524</v>
      </c>
      <c r="CI73" s="111">
        <v>19043.111000000001</v>
      </c>
      <c r="CJ73" s="111" t="s">
        <v>1909</v>
      </c>
      <c r="CK73" s="2" t="s">
        <v>1910</v>
      </c>
      <c r="CL73" s="111" t="s">
        <v>926</v>
      </c>
      <c r="CM73" s="111" t="s">
        <v>926</v>
      </c>
      <c r="CN73" s="111" t="s">
        <v>926</v>
      </c>
      <c r="CO73" s="111" t="s">
        <v>926</v>
      </c>
      <c r="CP73" s="111" t="s">
        <v>926</v>
      </c>
      <c r="CQ73" s="111" t="s">
        <v>926</v>
      </c>
      <c r="CR73" s="111" t="s">
        <v>926</v>
      </c>
      <c r="CS73" s="111" t="s">
        <v>926</v>
      </c>
      <c r="CT73" s="111" t="s">
        <v>926</v>
      </c>
      <c r="CU73" s="111" t="s">
        <v>926</v>
      </c>
      <c r="CV73" s="111" t="s">
        <v>926</v>
      </c>
      <c r="CW73" s="111" t="s">
        <v>926</v>
      </c>
      <c r="CX73" s="111" t="s">
        <v>926</v>
      </c>
      <c r="CY73" s="111" t="s">
        <v>926</v>
      </c>
      <c r="CZ73" s="111" t="s">
        <v>926</v>
      </c>
      <c r="DA73" s="111" t="s">
        <v>926</v>
      </c>
      <c r="DB73" s="111" t="s">
        <v>926</v>
      </c>
      <c r="DC73" s="111" t="s">
        <v>926</v>
      </c>
      <c r="DD73" s="111" t="s">
        <v>926</v>
      </c>
      <c r="DE73" s="111" t="s">
        <v>926</v>
      </c>
      <c r="DF73" s="111" t="s">
        <v>926</v>
      </c>
      <c r="DG73" s="111" t="s">
        <v>926</v>
      </c>
      <c r="DH73" s="111" t="s">
        <v>926</v>
      </c>
      <c r="DI73" s="111" t="s">
        <v>926</v>
      </c>
      <c r="DJ73" s="111" t="s">
        <v>926</v>
      </c>
      <c r="DK73" s="111" t="s">
        <v>926</v>
      </c>
      <c r="DL73" s="111" t="s">
        <v>926</v>
      </c>
      <c r="DM73" s="171" t="s">
        <v>926</v>
      </c>
      <c r="DN73" s="111" t="s">
        <v>926</v>
      </c>
      <c r="DO73" s="2" t="s">
        <v>926</v>
      </c>
      <c r="DP73" s="111" t="s">
        <v>926</v>
      </c>
      <c r="DQ73" s="111" t="s">
        <v>926</v>
      </c>
      <c r="DR73" s="111" t="s">
        <v>926</v>
      </c>
      <c r="DS73" s="111" t="s">
        <v>926</v>
      </c>
      <c r="DT73" s="111" t="s">
        <v>926</v>
      </c>
      <c r="DU73" s="111" t="s">
        <v>926</v>
      </c>
      <c r="DV73" s="111" t="s">
        <v>926</v>
      </c>
      <c r="DW73" s="111" t="s">
        <v>926</v>
      </c>
      <c r="DX73" s="167" t="s">
        <v>926</v>
      </c>
      <c r="DY73" s="111" t="s">
        <v>926</v>
      </c>
      <c r="DZ73" s="124"/>
    </row>
    <row r="74" spans="1:130" ht="12" hidden="1" customHeight="1">
      <c r="A74" s="165">
        <v>45764</v>
      </c>
      <c r="B74" s="2" t="s">
        <v>1911</v>
      </c>
      <c r="C74" s="111" t="s">
        <v>1538</v>
      </c>
      <c r="D74" s="111" t="s">
        <v>1214</v>
      </c>
      <c r="E74" s="111" t="s">
        <v>1326</v>
      </c>
      <c r="F74" s="111" t="s">
        <v>1327</v>
      </c>
      <c r="G74" s="111" t="s">
        <v>1615</v>
      </c>
      <c r="H74" s="111" t="s">
        <v>1615</v>
      </c>
      <c r="I74" s="111" t="s">
        <v>1615</v>
      </c>
      <c r="J74" s="111" t="s">
        <v>926</v>
      </c>
      <c r="K74" s="111" t="s">
        <v>926</v>
      </c>
      <c r="L74" s="111" t="s">
        <v>926</v>
      </c>
      <c r="M74" s="111" t="s">
        <v>926</v>
      </c>
      <c r="N74" s="111" t="s">
        <v>926</v>
      </c>
      <c r="O74" s="111" t="s">
        <v>926</v>
      </c>
      <c r="P74" s="111" t="s">
        <v>926</v>
      </c>
      <c r="Q74" s="111" t="s">
        <v>926</v>
      </c>
      <c r="R74" s="111" t="s">
        <v>926</v>
      </c>
      <c r="S74" s="111" t="s">
        <v>926</v>
      </c>
      <c r="T74" s="111" t="s">
        <v>926</v>
      </c>
      <c r="U74" s="111" t="s">
        <v>926</v>
      </c>
      <c r="V74" s="111" t="s">
        <v>926</v>
      </c>
      <c r="W74" s="111" t="s">
        <v>926</v>
      </c>
      <c r="X74" s="111" t="s">
        <v>926</v>
      </c>
      <c r="Y74" s="111" t="s">
        <v>926</v>
      </c>
      <c r="Z74" s="166" t="s">
        <v>926</v>
      </c>
      <c r="AA74" s="167" t="s">
        <v>926</v>
      </c>
      <c r="AB74" s="111" t="s">
        <v>926</v>
      </c>
      <c r="AC74" s="111" t="s">
        <v>926</v>
      </c>
      <c r="AD74" s="168" t="s">
        <v>926</v>
      </c>
      <c r="AE74" s="111" t="s">
        <v>926</v>
      </c>
      <c r="AF74" s="111" t="s">
        <v>926</v>
      </c>
      <c r="AG74" s="111" t="s">
        <v>926</v>
      </c>
      <c r="AH74" s="111" t="s">
        <v>926</v>
      </c>
      <c r="AI74" s="111" t="s">
        <v>926</v>
      </c>
      <c r="AJ74" s="111" t="s">
        <v>926</v>
      </c>
      <c r="AK74" s="111" t="s">
        <v>926</v>
      </c>
      <c r="AL74" s="111" t="s">
        <v>926</v>
      </c>
      <c r="AM74" s="111" t="s">
        <v>926</v>
      </c>
      <c r="AN74" s="111" t="s">
        <v>926</v>
      </c>
      <c r="AO74" s="111" t="s">
        <v>926</v>
      </c>
      <c r="AP74" s="111" t="s">
        <v>926</v>
      </c>
      <c r="AQ74" s="111" t="s">
        <v>926</v>
      </c>
      <c r="AR74" s="111" t="s">
        <v>926</v>
      </c>
      <c r="AS74" s="111" t="s">
        <v>926</v>
      </c>
      <c r="AT74" s="111" t="s">
        <v>926</v>
      </c>
      <c r="AU74" s="111" t="s">
        <v>926</v>
      </c>
      <c r="AV74" s="111" t="s">
        <v>926</v>
      </c>
      <c r="AW74" s="111" t="s">
        <v>926</v>
      </c>
      <c r="AX74" s="111" t="s">
        <v>926</v>
      </c>
      <c r="AY74" s="169" t="s">
        <v>926</v>
      </c>
      <c r="AZ74" s="169" t="s">
        <v>926</v>
      </c>
      <c r="BA74" s="166" t="s">
        <v>926</v>
      </c>
      <c r="BB74" s="166" t="s">
        <v>926</v>
      </c>
      <c r="BC74" s="169" t="s">
        <v>926</v>
      </c>
      <c r="BD74" s="166" t="s">
        <v>926</v>
      </c>
      <c r="BE74" s="166" t="s">
        <v>926</v>
      </c>
      <c r="BF74" s="169">
        <v>0</v>
      </c>
      <c r="BG74" s="166">
        <v>0</v>
      </c>
      <c r="BH74" s="166">
        <v>0</v>
      </c>
      <c r="BI74" s="111" t="s">
        <v>926</v>
      </c>
      <c r="BJ74" s="111" t="s">
        <v>926</v>
      </c>
      <c r="BK74" s="111">
        <v>3</v>
      </c>
      <c r="BL74" s="111">
        <v>1</v>
      </c>
      <c r="BM74" s="111" t="s">
        <v>926</v>
      </c>
      <c r="BN74" s="111" t="s">
        <v>926</v>
      </c>
      <c r="BO74" s="170" t="s">
        <v>1335</v>
      </c>
      <c r="BP74" s="111" t="s">
        <v>1745</v>
      </c>
      <c r="BQ74" s="111" t="s">
        <v>1779</v>
      </c>
      <c r="BR74" s="111" t="s">
        <v>926</v>
      </c>
      <c r="BS74" s="111" t="s">
        <v>926</v>
      </c>
      <c r="BT74" s="111" t="s">
        <v>926</v>
      </c>
      <c r="BU74" s="111" t="s">
        <v>926</v>
      </c>
      <c r="BV74" s="111">
        <v>1</v>
      </c>
      <c r="BW74" s="2" t="s">
        <v>1182</v>
      </c>
      <c r="BX74" s="2" t="s">
        <v>1912</v>
      </c>
      <c r="BY74" s="2" t="s">
        <v>1539</v>
      </c>
      <c r="BZ74" s="2" t="s">
        <v>1537</v>
      </c>
      <c r="CA74" s="2" t="s">
        <v>1913</v>
      </c>
      <c r="CB74" s="2" t="s">
        <v>1914</v>
      </c>
      <c r="CC74" s="2" t="s">
        <v>1137</v>
      </c>
      <c r="CD74" s="2" t="s">
        <v>1138</v>
      </c>
      <c r="CE74" s="2" t="s">
        <v>1182</v>
      </c>
      <c r="CF74" s="111" t="s">
        <v>1139</v>
      </c>
      <c r="CG74" s="111" t="s">
        <v>1540</v>
      </c>
      <c r="CH74" s="177">
        <v>44524</v>
      </c>
      <c r="CI74" s="111">
        <v>19403.111000000001</v>
      </c>
      <c r="CJ74" s="111" t="s">
        <v>1915</v>
      </c>
      <c r="CK74" s="2" t="s">
        <v>1910</v>
      </c>
      <c r="CL74" s="111" t="s">
        <v>926</v>
      </c>
      <c r="CM74" s="111" t="s">
        <v>926</v>
      </c>
      <c r="CN74" s="111" t="s">
        <v>926</v>
      </c>
      <c r="CO74" s="111" t="s">
        <v>926</v>
      </c>
      <c r="CP74" s="111" t="s">
        <v>926</v>
      </c>
      <c r="CQ74" s="111" t="s">
        <v>926</v>
      </c>
      <c r="CR74" s="111" t="s">
        <v>926</v>
      </c>
      <c r="CS74" s="111" t="s">
        <v>926</v>
      </c>
      <c r="CT74" s="111" t="s">
        <v>926</v>
      </c>
      <c r="CU74" s="111" t="s">
        <v>926</v>
      </c>
      <c r="CV74" s="111" t="s">
        <v>926</v>
      </c>
      <c r="CW74" s="111" t="s">
        <v>926</v>
      </c>
      <c r="CX74" s="111" t="s">
        <v>926</v>
      </c>
      <c r="CY74" s="111" t="s">
        <v>926</v>
      </c>
      <c r="CZ74" s="111" t="s">
        <v>926</v>
      </c>
      <c r="DA74" s="111" t="s">
        <v>926</v>
      </c>
      <c r="DB74" s="111" t="s">
        <v>926</v>
      </c>
      <c r="DC74" s="111" t="s">
        <v>926</v>
      </c>
      <c r="DD74" s="111" t="s">
        <v>926</v>
      </c>
      <c r="DE74" s="111" t="s">
        <v>926</v>
      </c>
      <c r="DF74" s="111" t="s">
        <v>926</v>
      </c>
      <c r="DG74" s="111" t="s">
        <v>926</v>
      </c>
      <c r="DH74" s="111" t="s">
        <v>926</v>
      </c>
      <c r="DI74" s="111" t="s">
        <v>926</v>
      </c>
      <c r="DJ74" s="111" t="s">
        <v>926</v>
      </c>
      <c r="DK74" s="111" t="s">
        <v>926</v>
      </c>
      <c r="DL74" s="111" t="s">
        <v>926</v>
      </c>
      <c r="DM74" s="171" t="s">
        <v>926</v>
      </c>
      <c r="DN74" s="111" t="s">
        <v>926</v>
      </c>
      <c r="DO74" s="2" t="s">
        <v>926</v>
      </c>
      <c r="DP74" s="111" t="s">
        <v>926</v>
      </c>
      <c r="DQ74" s="111" t="s">
        <v>926</v>
      </c>
      <c r="DR74" s="111" t="s">
        <v>926</v>
      </c>
      <c r="DS74" s="111" t="s">
        <v>926</v>
      </c>
      <c r="DT74" s="111" t="s">
        <v>926</v>
      </c>
      <c r="DU74" s="111" t="s">
        <v>926</v>
      </c>
      <c r="DV74" s="111" t="s">
        <v>926</v>
      </c>
      <c r="DW74" s="111" t="s">
        <v>926</v>
      </c>
      <c r="DX74" s="167" t="s">
        <v>926</v>
      </c>
      <c r="DY74" s="111" t="s">
        <v>926</v>
      </c>
      <c r="DZ74" s="124"/>
    </row>
    <row r="75" spans="1:130" ht="12" hidden="1" customHeight="1">
      <c r="A75" s="165">
        <v>45764</v>
      </c>
      <c r="B75" s="2" t="s">
        <v>1334</v>
      </c>
      <c r="C75" s="111" t="s">
        <v>1538</v>
      </c>
      <c r="D75" s="111" t="s">
        <v>1214</v>
      </c>
      <c r="E75" s="111" t="s">
        <v>1326</v>
      </c>
      <c r="F75" s="111" t="s">
        <v>1327</v>
      </c>
      <c r="G75" s="111" t="s">
        <v>1615</v>
      </c>
      <c r="H75" s="111" t="s">
        <v>1615</v>
      </c>
      <c r="I75" s="111" t="s">
        <v>1615</v>
      </c>
      <c r="J75" s="111" t="s">
        <v>926</v>
      </c>
      <c r="K75" s="170" t="s">
        <v>926</v>
      </c>
      <c r="L75" s="170" t="s">
        <v>926</v>
      </c>
      <c r="M75" s="170" t="s">
        <v>926</v>
      </c>
      <c r="N75" s="170" t="s">
        <v>926</v>
      </c>
      <c r="O75" s="170" t="s">
        <v>926</v>
      </c>
      <c r="P75" s="170" t="s">
        <v>926</v>
      </c>
      <c r="Q75" s="170" t="s">
        <v>926</v>
      </c>
      <c r="R75" s="170" t="s">
        <v>926</v>
      </c>
      <c r="S75" s="170" t="s">
        <v>926</v>
      </c>
      <c r="T75" s="170" t="s">
        <v>926</v>
      </c>
      <c r="U75" s="170" t="s">
        <v>926</v>
      </c>
      <c r="V75" s="170" t="s">
        <v>926</v>
      </c>
      <c r="W75" s="170" t="s">
        <v>926</v>
      </c>
      <c r="X75" s="170" t="s">
        <v>926</v>
      </c>
      <c r="Y75" s="170" t="s">
        <v>926</v>
      </c>
      <c r="Z75" s="192" t="s">
        <v>926</v>
      </c>
      <c r="AA75" s="193" t="s">
        <v>926</v>
      </c>
      <c r="AB75" s="170" t="s">
        <v>926</v>
      </c>
      <c r="AC75" s="170" t="s">
        <v>926</v>
      </c>
      <c r="AD75" s="176" t="s">
        <v>926</v>
      </c>
      <c r="AE75" s="170" t="s">
        <v>926</v>
      </c>
      <c r="AF75" s="170" t="s">
        <v>926</v>
      </c>
      <c r="AG75" s="170" t="s">
        <v>926</v>
      </c>
      <c r="AH75" s="170" t="s">
        <v>926</v>
      </c>
      <c r="AI75" s="170" t="s">
        <v>926</v>
      </c>
      <c r="AJ75" s="170" t="s">
        <v>926</v>
      </c>
      <c r="AK75" s="170" t="s">
        <v>926</v>
      </c>
      <c r="AL75" s="170" t="s">
        <v>926</v>
      </c>
      <c r="AM75" s="170" t="s">
        <v>926</v>
      </c>
      <c r="AN75" s="170" t="s">
        <v>926</v>
      </c>
      <c r="AO75" s="170" t="s">
        <v>926</v>
      </c>
      <c r="AP75" s="170" t="s">
        <v>926</v>
      </c>
      <c r="AQ75" s="170" t="s">
        <v>926</v>
      </c>
      <c r="AR75" s="170" t="s">
        <v>926</v>
      </c>
      <c r="AS75" s="170" t="s">
        <v>926</v>
      </c>
      <c r="AT75" s="170" t="s">
        <v>926</v>
      </c>
      <c r="AU75" s="170" t="s">
        <v>926</v>
      </c>
      <c r="AV75" s="170" t="s">
        <v>926</v>
      </c>
      <c r="AW75" s="170" t="s">
        <v>926</v>
      </c>
      <c r="AX75" s="111" t="s">
        <v>926</v>
      </c>
      <c r="AY75" s="205" t="s">
        <v>926</v>
      </c>
      <c r="AZ75" s="205" t="s">
        <v>926</v>
      </c>
      <c r="BA75" s="192" t="s">
        <v>926</v>
      </c>
      <c r="BB75" s="192" t="s">
        <v>926</v>
      </c>
      <c r="BC75" s="169" t="s">
        <v>926</v>
      </c>
      <c r="BD75" s="166" t="s">
        <v>926</v>
      </c>
      <c r="BE75" s="166" t="s">
        <v>926</v>
      </c>
      <c r="BF75" s="169">
        <v>0</v>
      </c>
      <c r="BG75" s="166">
        <v>0</v>
      </c>
      <c r="BH75" s="166">
        <v>0</v>
      </c>
      <c r="BI75" s="111" t="s">
        <v>926</v>
      </c>
      <c r="BJ75" s="111">
        <v>2</v>
      </c>
      <c r="BK75" s="111">
        <v>3</v>
      </c>
      <c r="BL75" s="111">
        <v>1</v>
      </c>
      <c r="BM75" s="111">
        <v>2</v>
      </c>
      <c r="BN75" s="111">
        <v>2</v>
      </c>
      <c r="BO75" s="170" t="s">
        <v>1335</v>
      </c>
      <c r="BP75" s="111" t="s">
        <v>1745</v>
      </c>
      <c r="BQ75" s="111" t="s">
        <v>1779</v>
      </c>
      <c r="BR75" s="111" t="s">
        <v>926</v>
      </c>
      <c r="BS75" s="111" t="s">
        <v>926</v>
      </c>
      <c r="BT75" s="111" t="s">
        <v>926</v>
      </c>
      <c r="BU75" s="111" t="s">
        <v>926</v>
      </c>
      <c r="BV75" s="111">
        <v>1</v>
      </c>
      <c r="BW75" s="2" t="s">
        <v>1182</v>
      </c>
      <c r="BX75" s="2" t="s">
        <v>1336</v>
      </c>
      <c r="BY75" s="2" t="s">
        <v>1337</v>
      </c>
      <c r="BZ75" s="2" t="s">
        <v>1338</v>
      </c>
      <c r="CA75" s="2" t="s">
        <v>1339</v>
      </c>
      <c r="CB75" s="2" t="s">
        <v>1340</v>
      </c>
      <c r="CC75" s="2" t="s">
        <v>1137</v>
      </c>
      <c r="CD75" s="2" t="s">
        <v>1138</v>
      </c>
      <c r="CE75" s="2" t="s">
        <v>1182</v>
      </c>
      <c r="CF75" s="111" t="s">
        <v>1168</v>
      </c>
      <c r="CG75" s="111" t="s">
        <v>1169</v>
      </c>
      <c r="CH75" s="177">
        <v>44902</v>
      </c>
      <c r="CI75" s="111">
        <v>22631.5039</v>
      </c>
      <c r="CJ75" s="111" t="s">
        <v>1341</v>
      </c>
      <c r="CK75" s="2" t="s">
        <v>1342</v>
      </c>
      <c r="CL75" s="111">
        <v>1</v>
      </c>
      <c r="CM75" s="111">
        <v>1</v>
      </c>
      <c r="CN75" s="111">
        <v>1</v>
      </c>
      <c r="CO75" s="111" t="s">
        <v>926</v>
      </c>
      <c r="CP75" s="111">
        <v>1</v>
      </c>
      <c r="CQ75" s="111">
        <v>1</v>
      </c>
      <c r="CR75" s="111">
        <v>1</v>
      </c>
      <c r="CS75" s="111">
        <v>1</v>
      </c>
      <c r="CT75" s="111">
        <v>1</v>
      </c>
      <c r="CU75" s="111">
        <v>1</v>
      </c>
      <c r="CV75" s="111">
        <v>1</v>
      </c>
      <c r="CW75" s="111">
        <v>1</v>
      </c>
      <c r="CX75" s="111">
        <v>1</v>
      </c>
      <c r="CY75" s="111">
        <v>1</v>
      </c>
      <c r="CZ75" s="111">
        <v>1</v>
      </c>
      <c r="DA75" s="111">
        <v>1</v>
      </c>
      <c r="DB75" s="111">
        <v>1</v>
      </c>
      <c r="DC75" s="111">
        <v>1</v>
      </c>
      <c r="DD75" s="111">
        <v>1</v>
      </c>
      <c r="DE75" s="111">
        <v>1</v>
      </c>
      <c r="DF75" s="111">
        <v>1</v>
      </c>
      <c r="DG75" s="111">
        <v>1</v>
      </c>
      <c r="DH75" s="111">
        <v>1</v>
      </c>
      <c r="DI75" s="111">
        <v>1</v>
      </c>
      <c r="DJ75" s="111">
        <v>1</v>
      </c>
      <c r="DK75" s="111">
        <v>1</v>
      </c>
      <c r="DL75" s="111" t="s">
        <v>926</v>
      </c>
      <c r="DM75" s="171" t="s">
        <v>926</v>
      </c>
      <c r="DN75" s="111" t="s">
        <v>926</v>
      </c>
      <c r="DO75" s="2" t="s">
        <v>926</v>
      </c>
      <c r="DP75" s="111" t="s">
        <v>926</v>
      </c>
      <c r="DQ75" s="111" t="s">
        <v>926</v>
      </c>
      <c r="DR75" s="111" t="s">
        <v>926</v>
      </c>
      <c r="DS75" s="111" t="s">
        <v>926</v>
      </c>
      <c r="DT75" s="111" t="s">
        <v>926</v>
      </c>
      <c r="DU75" s="111" t="s">
        <v>926</v>
      </c>
      <c r="DV75" s="111" t="s">
        <v>926</v>
      </c>
      <c r="DW75" s="111" t="s">
        <v>926</v>
      </c>
      <c r="DX75" s="167" t="s">
        <v>926</v>
      </c>
      <c r="DY75" s="111" t="s">
        <v>926</v>
      </c>
      <c r="DZ75" s="124"/>
    </row>
    <row r="76" spans="1:130" ht="12" hidden="1" customHeight="1">
      <c r="A76" s="165">
        <v>45764</v>
      </c>
      <c r="B76" s="2" t="s">
        <v>1345</v>
      </c>
      <c r="C76" s="111" t="s">
        <v>1538</v>
      </c>
      <c r="D76" s="111" t="s">
        <v>1214</v>
      </c>
      <c r="E76" s="111" t="s">
        <v>1326</v>
      </c>
      <c r="F76" s="111" t="s">
        <v>1327</v>
      </c>
      <c r="G76" s="111" t="s">
        <v>1615</v>
      </c>
      <c r="H76" s="111" t="s">
        <v>1615</v>
      </c>
      <c r="I76" s="111" t="s">
        <v>1615</v>
      </c>
      <c r="J76" s="111" t="s">
        <v>926</v>
      </c>
      <c r="K76" s="170" t="s">
        <v>926</v>
      </c>
      <c r="L76" s="170" t="s">
        <v>926</v>
      </c>
      <c r="M76" s="170" t="s">
        <v>926</v>
      </c>
      <c r="N76" s="170" t="s">
        <v>926</v>
      </c>
      <c r="O76" s="170" t="s">
        <v>926</v>
      </c>
      <c r="P76" s="170" t="s">
        <v>926</v>
      </c>
      <c r="Q76" s="170" t="s">
        <v>926</v>
      </c>
      <c r="R76" s="170" t="s">
        <v>926</v>
      </c>
      <c r="S76" s="170" t="s">
        <v>926</v>
      </c>
      <c r="T76" s="170" t="s">
        <v>926</v>
      </c>
      <c r="U76" s="170" t="s">
        <v>926</v>
      </c>
      <c r="V76" s="170" t="s">
        <v>926</v>
      </c>
      <c r="W76" s="170" t="s">
        <v>926</v>
      </c>
      <c r="X76" s="170" t="s">
        <v>926</v>
      </c>
      <c r="Y76" s="170" t="s">
        <v>926</v>
      </c>
      <c r="Z76" s="192" t="s">
        <v>926</v>
      </c>
      <c r="AA76" s="193" t="s">
        <v>926</v>
      </c>
      <c r="AB76" s="170" t="s">
        <v>926</v>
      </c>
      <c r="AC76" s="170" t="s">
        <v>926</v>
      </c>
      <c r="AD76" s="176" t="s">
        <v>926</v>
      </c>
      <c r="AE76" s="170" t="s">
        <v>926</v>
      </c>
      <c r="AF76" s="170" t="s">
        <v>926</v>
      </c>
      <c r="AG76" s="170" t="s">
        <v>926</v>
      </c>
      <c r="AH76" s="170" t="s">
        <v>926</v>
      </c>
      <c r="AI76" s="170" t="s">
        <v>926</v>
      </c>
      <c r="AJ76" s="170" t="s">
        <v>926</v>
      </c>
      <c r="AK76" s="170" t="s">
        <v>926</v>
      </c>
      <c r="AL76" s="170" t="s">
        <v>926</v>
      </c>
      <c r="AM76" s="170" t="s">
        <v>926</v>
      </c>
      <c r="AN76" s="170" t="s">
        <v>926</v>
      </c>
      <c r="AO76" s="170" t="s">
        <v>926</v>
      </c>
      <c r="AP76" s="170" t="s">
        <v>926</v>
      </c>
      <c r="AQ76" s="170" t="s">
        <v>926</v>
      </c>
      <c r="AR76" s="170" t="s">
        <v>926</v>
      </c>
      <c r="AS76" s="170" t="s">
        <v>926</v>
      </c>
      <c r="AT76" s="170" t="s">
        <v>926</v>
      </c>
      <c r="AU76" s="170" t="s">
        <v>926</v>
      </c>
      <c r="AV76" s="170" t="s">
        <v>926</v>
      </c>
      <c r="AW76" s="170" t="s">
        <v>926</v>
      </c>
      <c r="AX76" s="111" t="s">
        <v>926</v>
      </c>
      <c r="AY76" s="205" t="s">
        <v>926</v>
      </c>
      <c r="AZ76" s="205" t="s">
        <v>926</v>
      </c>
      <c r="BA76" s="192" t="s">
        <v>926</v>
      </c>
      <c r="BB76" s="192" t="s">
        <v>926</v>
      </c>
      <c r="BC76" s="169" t="s">
        <v>926</v>
      </c>
      <c r="BD76" s="166" t="s">
        <v>926</v>
      </c>
      <c r="BE76" s="166" t="s">
        <v>926</v>
      </c>
      <c r="BF76" s="169">
        <v>0</v>
      </c>
      <c r="BG76" s="166">
        <v>0</v>
      </c>
      <c r="BH76" s="166">
        <v>0</v>
      </c>
      <c r="BI76" s="111" t="s">
        <v>926</v>
      </c>
      <c r="BJ76" s="111">
        <v>2</v>
      </c>
      <c r="BK76" s="111">
        <v>3</v>
      </c>
      <c r="BL76" s="111">
        <v>1</v>
      </c>
      <c r="BM76" s="111">
        <v>2</v>
      </c>
      <c r="BN76" s="111">
        <v>2</v>
      </c>
      <c r="BO76" s="170" t="s">
        <v>1335</v>
      </c>
      <c r="BP76" s="111" t="s">
        <v>1745</v>
      </c>
      <c r="BQ76" s="111" t="s">
        <v>1779</v>
      </c>
      <c r="BR76" s="111" t="s">
        <v>926</v>
      </c>
      <c r="BS76" s="111" t="s">
        <v>926</v>
      </c>
      <c r="BT76" s="111" t="s">
        <v>926</v>
      </c>
      <c r="BU76" s="111" t="s">
        <v>926</v>
      </c>
      <c r="BV76" s="111">
        <v>1</v>
      </c>
      <c r="BW76" s="2" t="s">
        <v>1182</v>
      </c>
      <c r="BX76" s="2" t="s">
        <v>1557</v>
      </c>
      <c r="BY76" s="2" t="s">
        <v>1337</v>
      </c>
      <c r="BZ76" s="2" t="s">
        <v>1338</v>
      </c>
      <c r="CA76" s="2" t="s">
        <v>1559</v>
      </c>
      <c r="CB76" s="2" t="s">
        <v>1340</v>
      </c>
      <c r="CC76" s="2" t="s">
        <v>1137</v>
      </c>
      <c r="CD76" s="2" t="s">
        <v>1138</v>
      </c>
      <c r="CE76" s="2" t="s">
        <v>1182</v>
      </c>
      <c r="CF76" s="111" t="s">
        <v>1139</v>
      </c>
      <c r="CG76" s="111" t="s">
        <v>1169</v>
      </c>
      <c r="CH76" s="177">
        <v>44917</v>
      </c>
      <c r="CI76" s="111">
        <v>22631.518899999999</v>
      </c>
      <c r="CJ76" s="111" t="s">
        <v>1560</v>
      </c>
      <c r="CK76" s="2" t="s">
        <v>1346</v>
      </c>
      <c r="CL76" s="111">
        <v>1</v>
      </c>
      <c r="CM76" s="111">
        <v>1</v>
      </c>
      <c r="CN76" s="111">
        <v>1</v>
      </c>
      <c r="CO76" s="111" t="s">
        <v>926</v>
      </c>
      <c r="CP76" s="111">
        <v>1</v>
      </c>
      <c r="CQ76" s="111">
        <v>1</v>
      </c>
      <c r="CR76" s="111">
        <v>1</v>
      </c>
      <c r="CS76" s="111">
        <v>1</v>
      </c>
      <c r="CT76" s="111">
        <v>1</v>
      </c>
      <c r="CU76" s="111">
        <v>1</v>
      </c>
      <c r="CV76" s="111">
        <v>1</v>
      </c>
      <c r="CW76" s="111">
        <v>1</v>
      </c>
      <c r="CX76" s="111">
        <v>1</v>
      </c>
      <c r="CY76" s="111">
        <v>1</v>
      </c>
      <c r="CZ76" s="111">
        <v>1</v>
      </c>
      <c r="DA76" s="111">
        <v>1</v>
      </c>
      <c r="DB76" s="111">
        <v>1</v>
      </c>
      <c r="DC76" s="111">
        <v>1</v>
      </c>
      <c r="DD76" s="111">
        <v>1</v>
      </c>
      <c r="DE76" s="111">
        <v>1</v>
      </c>
      <c r="DF76" s="111">
        <v>1</v>
      </c>
      <c r="DG76" s="111">
        <v>1</v>
      </c>
      <c r="DH76" s="111">
        <v>1</v>
      </c>
      <c r="DI76" s="111">
        <v>1</v>
      </c>
      <c r="DJ76" s="111">
        <v>1</v>
      </c>
      <c r="DK76" s="111">
        <v>1</v>
      </c>
      <c r="DL76" s="111" t="s">
        <v>926</v>
      </c>
      <c r="DM76" s="171" t="s">
        <v>926</v>
      </c>
      <c r="DN76" s="111" t="s">
        <v>926</v>
      </c>
      <c r="DO76" s="2" t="s">
        <v>926</v>
      </c>
      <c r="DP76" s="111" t="s">
        <v>926</v>
      </c>
      <c r="DQ76" s="111" t="s">
        <v>926</v>
      </c>
      <c r="DR76" s="111" t="s">
        <v>926</v>
      </c>
      <c r="DS76" s="111" t="s">
        <v>926</v>
      </c>
      <c r="DT76" s="111" t="s">
        <v>926</v>
      </c>
      <c r="DU76" s="111" t="s">
        <v>926</v>
      </c>
      <c r="DV76" s="111" t="s">
        <v>926</v>
      </c>
      <c r="DW76" s="111" t="s">
        <v>926</v>
      </c>
      <c r="DX76" s="167" t="s">
        <v>926</v>
      </c>
      <c r="DY76" s="111" t="s">
        <v>926</v>
      </c>
      <c r="DZ76" s="124"/>
    </row>
    <row r="77" spans="1:130" ht="12" hidden="1" customHeight="1">
      <c r="A77" s="165">
        <v>45764</v>
      </c>
      <c r="B77" s="2" t="s">
        <v>1286</v>
      </c>
      <c r="C77" s="111" t="s">
        <v>1541</v>
      </c>
      <c r="D77" s="111" t="s">
        <v>1214</v>
      </c>
      <c r="E77" s="111" t="s">
        <v>1326</v>
      </c>
      <c r="F77" s="111" t="s">
        <v>1327</v>
      </c>
      <c r="G77" s="111" t="s">
        <v>1615</v>
      </c>
      <c r="H77" s="111" t="s">
        <v>1615</v>
      </c>
      <c r="I77" s="111" t="s">
        <v>1615</v>
      </c>
      <c r="J77" s="111" t="s">
        <v>926</v>
      </c>
      <c r="K77" s="111" t="s">
        <v>926</v>
      </c>
      <c r="L77" s="111" t="s">
        <v>926</v>
      </c>
      <c r="M77" s="111" t="s">
        <v>926</v>
      </c>
      <c r="N77" s="111" t="s">
        <v>926</v>
      </c>
      <c r="O77" s="111" t="s">
        <v>926</v>
      </c>
      <c r="P77" s="111" t="s">
        <v>926</v>
      </c>
      <c r="Q77" s="111" t="s">
        <v>926</v>
      </c>
      <c r="R77" s="111" t="s">
        <v>926</v>
      </c>
      <c r="S77" s="111" t="s">
        <v>926</v>
      </c>
      <c r="T77" s="111" t="s">
        <v>926</v>
      </c>
      <c r="U77" s="111" t="s">
        <v>926</v>
      </c>
      <c r="V77" s="111" t="s">
        <v>926</v>
      </c>
      <c r="W77" s="111" t="s">
        <v>926</v>
      </c>
      <c r="X77" s="111" t="s">
        <v>926</v>
      </c>
      <c r="Y77" s="111" t="s">
        <v>926</v>
      </c>
      <c r="Z77" s="166" t="s">
        <v>926</v>
      </c>
      <c r="AA77" s="167" t="s">
        <v>926</v>
      </c>
      <c r="AB77" s="111" t="s">
        <v>926</v>
      </c>
      <c r="AC77" s="111" t="s">
        <v>926</v>
      </c>
      <c r="AD77" s="168" t="s">
        <v>926</v>
      </c>
      <c r="AE77" s="111" t="s">
        <v>926</v>
      </c>
      <c r="AF77" s="111" t="s">
        <v>926</v>
      </c>
      <c r="AG77" s="111" t="s">
        <v>926</v>
      </c>
      <c r="AH77" s="111" t="s">
        <v>926</v>
      </c>
      <c r="AI77" s="111" t="s">
        <v>926</v>
      </c>
      <c r="AJ77" s="111" t="s">
        <v>926</v>
      </c>
      <c r="AK77" s="111" t="s">
        <v>926</v>
      </c>
      <c r="AL77" s="111" t="s">
        <v>926</v>
      </c>
      <c r="AM77" s="111" t="s">
        <v>926</v>
      </c>
      <c r="AN77" s="111" t="s">
        <v>926</v>
      </c>
      <c r="AO77" s="111" t="s">
        <v>926</v>
      </c>
      <c r="AP77" s="111" t="s">
        <v>926</v>
      </c>
      <c r="AQ77" s="111" t="s">
        <v>926</v>
      </c>
      <c r="AR77" s="111" t="s">
        <v>926</v>
      </c>
      <c r="AS77" s="111" t="s">
        <v>926</v>
      </c>
      <c r="AT77" s="111" t="s">
        <v>926</v>
      </c>
      <c r="AU77" s="111" t="s">
        <v>926</v>
      </c>
      <c r="AV77" s="111" t="s">
        <v>926</v>
      </c>
      <c r="AW77" s="111" t="s">
        <v>926</v>
      </c>
      <c r="AX77" s="111" t="s">
        <v>926</v>
      </c>
      <c r="AY77" s="169" t="s">
        <v>926</v>
      </c>
      <c r="AZ77" s="169" t="s">
        <v>926</v>
      </c>
      <c r="BA77" s="166" t="s">
        <v>926</v>
      </c>
      <c r="BB77" s="166" t="s">
        <v>926</v>
      </c>
      <c r="BC77" s="169" t="s">
        <v>926</v>
      </c>
      <c r="BD77" s="166" t="s">
        <v>926</v>
      </c>
      <c r="BE77" s="166" t="s">
        <v>926</v>
      </c>
      <c r="BF77" s="169">
        <v>0</v>
      </c>
      <c r="BG77" s="166">
        <v>0</v>
      </c>
      <c r="BH77" s="166">
        <v>0</v>
      </c>
      <c r="BI77" s="111" t="s">
        <v>926</v>
      </c>
      <c r="BJ77" s="111" t="s">
        <v>926</v>
      </c>
      <c r="BK77" s="111">
        <v>3</v>
      </c>
      <c r="BL77" s="111">
        <v>1</v>
      </c>
      <c r="BM77" s="111">
        <v>2</v>
      </c>
      <c r="BN77" s="111">
        <v>2</v>
      </c>
      <c r="BO77" s="111" t="s">
        <v>1304</v>
      </c>
      <c r="BP77" s="111" t="s">
        <v>470</v>
      </c>
      <c r="BQ77" s="111" t="s">
        <v>1670</v>
      </c>
      <c r="BR77" s="111" t="s">
        <v>926</v>
      </c>
      <c r="BS77" s="111" t="s">
        <v>926</v>
      </c>
      <c r="BT77" s="111" t="s">
        <v>926</v>
      </c>
      <c r="BU77" s="111" t="s">
        <v>926</v>
      </c>
      <c r="BV77" s="111">
        <v>1</v>
      </c>
      <c r="BW77" s="2" t="s">
        <v>1182</v>
      </c>
      <c r="BX77" s="2" t="s">
        <v>1758</v>
      </c>
      <c r="BY77" s="2" t="s">
        <v>1371</v>
      </c>
      <c r="BZ77" s="2" t="s">
        <v>1759</v>
      </c>
      <c r="CA77" s="2" t="s">
        <v>1760</v>
      </c>
      <c r="CB77" s="2" t="s">
        <v>1761</v>
      </c>
      <c r="CC77" s="2" t="s">
        <v>1137</v>
      </c>
      <c r="CD77" s="2" t="s">
        <v>1138</v>
      </c>
      <c r="CE77" s="2" t="s">
        <v>1182</v>
      </c>
      <c r="CF77" s="111" t="s">
        <v>1139</v>
      </c>
      <c r="CG77" s="111" t="s">
        <v>1140</v>
      </c>
      <c r="CH77" s="177">
        <v>44524</v>
      </c>
      <c r="CI77" s="111">
        <v>19045.441200000001</v>
      </c>
      <c r="CJ77" s="111" t="s">
        <v>1762</v>
      </c>
      <c r="CK77" s="2" t="s">
        <v>1763</v>
      </c>
      <c r="CL77" s="111" t="s">
        <v>926</v>
      </c>
      <c r="CM77" s="111" t="s">
        <v>926</v>
      </c>
      <c r="CN77" s="111" t="s">
        <v>926</v>
      </c>
      <c r="CO77" s="111" t="s">
        <v>926</v>
      </c>
      <c r="CP77" s="111" t="s">
        <v>926</v>
      </c>
      <c r="CQ77" s="111" t="s">
        <v>926</v>
      </c>
      <c r="CR77" s="111" t="s">
        <v>926</v>
      </c>
      <c r="CS77" s="111" t="s">
        <v>926</v>
      </c>
      <c r="CT77" s="111" t="s">
        <v>926</v>
      </c>
      <c r="CU77" s="111" t="s">
        <v>926</v>
      </c>
      <c r="CV77" s="111" t="s">
        <v>926</v>
      </c>
      <c r="CW77" s="111" t="s">
        <v>926</v>
      </c>
      <c r="CX77" s="111" t="s">
        <v>926</v>
      </c>
      <c r="CY77" s="111" t="s">
        <v>926</v>
      </c>
      <c r="CZ77" s="111" t="s">
        <v>926</v>
      </c>
      <c r="DA77" s="111" t="s">
        <v>926</v>
      </c>
      <c r="DB77" s="111" t="s">
        <v>926</v>
      </c>
      <c r="DC77" s="111" t="s">
        <v>926</v>
      </c>
      <c r="DD77" s="111" t="s">
        <v>926</v>
      </c>
      <c r="DE77" s="111" t="s">
        <v>926</v>
      </c>
      <c r="DF77" s="111" t="s">
        <v>926</v>
      </c>
      <c r="DG77" s="111" t="s">
        <v>926</v>
      </c>
      <c r="DH77" s="111" t="s">
        <v>926</v>
      </c>
      <c r="DI77" s="111" t="s">
        <v>926</v>
      </c>
      <c r="DJ77" s="111" t="s">
        <v>926</v>
      </c>
      <c r="DK77" s="111" t="s">
        <v>926</v>
      </c>
      <c r="DL77" s="111" t="s">
        <v>926</v>
      </c>
      <c r="DM77" s="171" t="s">
        <v>926</v>
      </c>
      <c r="DN77" s="111" t="s">
        <v>926</v>
      </c>
      <c r="DO77" s="2" t="s">
        <v>926</v>
      </c>
      <c r="DP77" s="111" t="s">
        <v>926</v>
      </c>
      <c r="DQ77" s="111" t="s">
        <v>926</v>
      </c>
      <c r="DR77" s="111" t="s">
        <v>926</v>
      </c>
      <c r="DS77" s="111" t="s">
        <v>926</v>
      </c>
      <c r="DT77" s="111" t="s">
        <v>926</v>
      </c>
      <c r="DU77" s="111" t="s">
        <v>926</v>
      </c>
      <c r="DV77" s="111" t="s">
        <v>926</v>
      </c>
      <c r="DW77" s="111" t="s">
        <v>926</v>
      </c>
      <c r="DX77" s="167" t="s">
        <v>926</v>
      </c>
      <c r="DY77" s="111" t="s">
        <v>926</v>
      </c>
      <c r="DZ77" s="124" t="s">
        <v>1287</v>
      </c>
    </row>
    <row r="78" spans="1:130" ht="12" hidden="1" customHeight="1">
      <c r="A78" s="165">
        <v>45764</v>
      </c>
      <c r="B78" s="2" t="s">
        <v>1916</v>
      </c>
      <c r="C78" s="111" t="s">
        <v>1348</v>
      </c>
      <c r="D78" s="111" t="s">
        <v>1214</v>
      </c>
      <c r="E78" s="111" t="s">
        <v>1326</v>
      </c>
      <c r="F78" s="111" t="s">
        <v>1348</v>
      </c>
      <c r="G78" s="111" t="s">
        <v>1615</v>
      </c>
      <c r="H78" s="111" t="s">
        <v>1615</v>
      </c>
      <c r="I78" s="111" t="s">
        <v>1615</v>
      </c>
      <c r="J78" s="111" t="s">
        <v>926</v>
      </c>
      <c r="K78" s="111" t="s">
        <v>926</v>
      </c>
      <c r="L78" s="111" t="s">
        <v>926</v>
      </c>
      <c r="M78" s="111" t="s">
        <v>926</v>
      </c>
      <c r="N78" s="111" t="s">
        <v>926</v>
      </c>
      <c r="O78" s="111" t="s">
        <v>926</v>
      </c>
      <c r="P78" s="111" t="s">
        <v>926</v>
      </c>
      <c r="Q78" s="111" t="s">
        <v>926</v>
      </c>
      <c r="R78" s="111" t="s">
        <v>926</v>
      </c>
      <c r="S78" s="111" t="s">
        <v>926</v>
      </c>
      <c r="T78" s="111" t="s">
        <v>926</v>
      </c>
      <c r="U78" s="111" t="s">
        <v>926</v>
      </c>
      <c r="V78" s="111" t="s">
        <v>926</v>
      </c>
      <c r="W78" s="111" t="s">
        <v>926</v>
      </c>
      <c r="X78" s="111" t="s">
        <v>926</v>
      </c>
      <c r="Y78" s="111" t="s">
        <v>926</v>
      </c>
      <c r="Z78" s="166" t="s">
        <v>926</v>
      </c>
      <c r="AA78" s="167" t="s">
        <v>926</v>
      </c>
      <c r="AB78" s="111" t="s">
        <v>926</v>
      </c>
      <c r="AC78" s="111" t="s">
        <v>926</v>
      </c>
      <c r="AD78" s="168" t="s">
        <v>926</v>
      </c>
      <c r="AE78" s="111" t="s">
        <v>926</v>
      </c>
      <c r="AF78" s="111" t="s">
        <v>926</v>
      </c>
      <c r="AG78" s="111" t="s">
        <v>926</v>
      </c>
      <c r="AH78" s="111" t="s">
        <v>926</v>
      </c>
      <c r="AI78" s="111" t="s">
        <v>926</v>
      </c>
      <c r="AJ78" s="111" t="s">
        <v>926</v>
      </c>
      <c r="AK78" s="111" t="s">
        <v>926</v>
      </c>
      <c r="AL78" s="111" t="s">
        <v>926</v>
      </c>
      <c r="AM78" s="111" t="s">
        <v>926</v>
      </c>
      <c r="AN78" s="111" t="s">
        <v>926</v>
      </c>
      <c r="AO78" s="111" t="s">
        <v>926</v>
      </c>
      <c r="AP78" s="111" t="s">
        <v>926</v>
      </c>
      <c r="AQ78" s="111" t="s">
        <v>926</v>
      </c>
      <c r="AR78" s="111" t="s">
        <v>926</v>
      </c>
      <c r="AS78" s="111" t="s">
        <v>926</v>
      </c>
      <c r="AT78" s="111" t="s">
        <v>926</v>
      </c>
      <c r="AU78" s="111" t="s">
        <v>926</v>
      </c>
      <c r="AV78" s="111" t="s">
        <v>926</v>
      </c>
      <c r="AW78" s="111" t="s">
        <v>926</v>
      </c>
      <c r="AX78" s="111" t="s">
        <v>926</v>
      </c>
      <c r="AY78" s="169" t="s">
        <v>926</v>
      </c>
      <c r="AZ78" s="169" t="s">
        <v>926</v>
      </c>
      <c r="BA78" s="166" t="s">
        <v>926</v>
      </c>
      <c r="BB78" s="166" t="s">
        <v>926</v>
      </c>
      <c r="BC78" s="169" t="s">
        <v>926</v>
      </c>
      <c r="BD78" s="166" t="s">
        <v>926</v>
      </c>
      <c r="BE78" s="166" t="s">
        <v>926</v>
      </c>
      <c r="BF78" s="169">
        <v>0</v>
      </c>
      <c r="BG78" s="166">
        <v>0</v>
      </c>
      <c r="BH78" s="166">
        <v>0</v>
      </c>
      <c r="BI78" s="111" t="s">
        <v>926</v>
      </c>
      <c r="BJ78" s="111" t="s">
        <v>926</v>
      </c>
      <c r="BK78" s="111">
        <v>3</v>
      </c>
      <c r="BL78" s="111">
        <v>1</v>
      </c>
      <c r="BM78" s="111" t="s">
        <v>926</v>
      </c>
      <c r="BN78" s="111" t="s">
        <v>926</v>
      </c>
      <c r="BO78" s="111" t="s">
        <v>926</v>
      </c>
      <c r="BP78" s="111" t="s">
        <v>926</v>
      </c>
      <c r="BQ78" s="111" t="s">
        <v>926</v>
      </c>
      <c r="BR78" s="111" t="s">
        <v>926</v>
      </c>
      <c r="BS78" s="111" t="s">
        <v>926</v>
      </c>
      <c r="BT78" s="111" t="s">
        <v>926</v>
      </c>
      <c r="BU78" s="111" t="s">
        <v>926</v>
      </c>
      <c r="BV78" s="111" t="s">
        <v>926</v>
      </c>
      <c r="BW78" s="2" t="s">
        <v>1182</v>
      </c>
      <c r="BX78" s="2" t="s">
        <v>1917</v>
      </c>
      <c r="BY78" s="2" t="s">
        <v>1539</v>
      </c>
      <c r="BZ78" s="2" t="s">
        <v>1405</v>
      </c>
      <c r="CA78" s="2" t="s">
        <v>1918</v>
      </c>
      <c r="CB78" s="2" t="s">
        <v>1919</v>
      </c>
      <c r="CC78" s="2" t="s">
        <v>1137</v>
      </c>
      <c r="CD78" s="2" t="s">
        <v>1138</v>
      </c>
      <c r="CE78" s="2" t="s">
        <v>1182</v>
      </c>
      <c r="CF78" s="111" t="s">
        <v>1139</v>
      </c>
      <c r="CG78" s="111">
        <v>2004</v>
      </c>
      <c r="CH78" s="177">
        <v>45054</v>
      </c>
      <c r="CI78" s="111">
        <v>19041.330999999998</v>
      </c>
      <c r="CJ78" s="111" t="s">
        <v>1920</v>
      </c>
      <c r="CK78" s="2" t="s">
        <v>1921</v>
      </c>
      <c r="CL78" s="111" t="s">
        <v>926</v>
      </c>
      <c r="CM78" s="111" t="s">
        <v>926</v>
      </c>
      <c r="CN78" s="111" t="s">
        <v>926</v>
      </c>
      <c r="CO78" s="111" t="s">
        <v>926</v>
      </c>
      <c r="CP78" s="111" t="s">
        <v>926</v>
      </c>
      <c r="CQ78" s="111" t="s">
        <v>926</v>
      </c>
      <c r="CR78" s="111" t="s">
        <v>926</v>
      </c>
      <c r="CS78" s="111" t="s">
        <v>926</v>
      </c>
      <c r="CT78" s="111" t="s">
        <v>926</v>
      </c>
      <c r="CU78" s="111" t="s">
        <v>926</v>
      </c>
      <c r="CV78" s="111" t="s">
        <v>926</v>
      </c>
      <c r="CW78" s="111" t="s">
        <v>926</v>
      </c>
      <c r="CX78" s="111" t="s">
        <v>926</v>
      </c>
      <c r="CY78" s="111" t="s">
        <v>926</v>
      </c>
      <c r="CZ78" s="111" t="s">
        <v>926</v>
      </c>
      <c r="DA78" s="111" t="s">
        <v>926</v>
      </c>
      <c r="DB78" s="111" t="s">
        <v>926</v>
      </c>
      <c r="DC78" s="111" t="s">
        <v>926</v>
      </c>
      <c r="DD78" s="111" t="s">
        <v>926</v>
      </c>
      <c r="DE78" s="111" t="s">
        <v>926</v>
      </c>
      <c r="DF78" s="111" t="s">
        <v>926</v>
      </c>
      <c r="DG78" s="111" t="s">
        <v>926</v>
      </c>
      <c r="DH78" s="111" t="s">
        <v>926</v>
      </c>
      <c r="DI78" s="111" t="s">
        <v>926</v>
      </c>
      <c r="DJ78" s="111" t="s">
        <v>926</v>
      </c>
      <c r="DK78" s="111" t="s">
        <v>926</v>
      </c>
      <c r="DL78" s="111" t="s">
        <v>926</v>
      </c>
      <c r="DM78" s="171" t="s">
        <v>926</v>
      </c>
      <c r="DN78" s="111" t="s">
        <v>926</v>
      </c>
      <c r="DO78" s="2" t="s">
        <v>926</v>
      </c>
      <c r="DP78" s="111" t="s">
        <v>926</v>
      </c>
      <c r="DQ78" s="111" t="s">
        <v>926</v>
      </c>
      <c r="DR78" s="111" t="s">
        <v>926</v>
      </c>
      <c r="DS78" s="111" t="s">
        <v>926</v>
      </c>
      <c r="DT78" s="111" t="s">
        <v>926</v>
      </c>
      <c r="DU78" s="111" t="s">
        <v>926</v>
      </c>
      <c r="DV78" s="111" t="s">
        <v>926</v>
      </c>
      <c r="DW78" s="111" t="s">
        <v>926</v>
      </c>
      <c r="DX78" s="167" t="s">
        <v>926</v>
      </c>
      <c r="DY78" s="111" t="s">
        <v>926</v>
      </c>
      <c r="DZ78" s="124"/>
    </row>
    <row r="79" spans="1:130" ht="12" hidden="1" customHeight="1">
      <c r="A79" s="165">
        <v>45764</v>
      </c>
      <c r="B79" s="2" t="s">
        <v>1922</v>
      </c>
      <c r="C79" s="111" t="s">
        <v>1348</v>
      </c>
      <c r="D79" s="111" t="s">
        <v>1214</v>
      </c>
      <c r="E79" s="111" t="s">
        <v>1326</v>
      </c>
      <c r="F79" s="111" t="s">
        <v>1348</v>
      </c>
      <c r="G79" s="111" t="s">
        <v>1615</v>
      </c>
      <c r="H79" s="111" t="s">
        <v>1615</v>
      </c>
      <c r="I79" s="111" t="s">
        <v>1615</v>
      </c>
      <c r="J79" s="111" t="s">
        <v>926</v>
      </c>
      <c r="K79" s="111" t="s">
        <v>926</v>
      </c>
      <c r="L79" s="111" t="s">
        <v>926</v>
      </c>
      <c r="M79" s="111" t="s">
        <v>926</v>
      </c>
      <c r="N79" s="111" t="s">
        <v>926</v>
      </c>
      <c r="O79" s="111" t="s">
        <v>926</v>
      </c>
      <c r="P79" s="111" t="s">
        <v>926</v>
      </c>
      <c r="Q79" s="111" t="s">
        <v>926</v>
      </c>
      <c r="R79" s="111" t="s">
        <v>926</v>
      </c>
      <c r="S79" s="111" t="s">
        <v>926</v>
      </c>
      <c r="T79" s="111" t="s">
        <v>926</v>
      </c>
      <c r="U79" s="111" t="s">
        <v>926</v>
      </c>
      <c r="V79" s="111" t="s">
        <v>926</v>
      </c>
      <c r="W79" s="111" t="s">
        <v>926</v>
      </c>
      <c r="X79" s="111" t="s">
        <v>926</v>
      </c>
      <c r="Y79" s="111" t="s">
        <v>926</v>
      </c>
      <c r="Z79" s="166" t="s">
        <v>926</v>
      </c>
      <c r="AA79" s="167" t="s">
        <v>926</v>
      </c>
      <c r="AB79" s="111" t="s">
        <v>926</v>
      </c>
      <c r="AC79" s="111" t="s">
        <v>926</v>
      </c>
      <c r="AD79" s="168" t="s">
        <v>926</v>
      </c>
      <c r="AE79" s="111" t="s">
        <v>926</v>
      </c>
      <c r="AF79" s="111" t="s">
        <v>926</v>
      </c>
      <c r="AG79" s="111" t="s">
        <v>926</v>
      </c>
      <c r="AH79" s="111" t="s">
        <v>926</v>
      </c>
      <c r="AI79" s="111" t="s">
        <v>926</v>
      </c>
      <c r="AJ79" s="111" t="s">
        <v>926</v>
      </c>
      <c r="AK79" s="111" t="s">
        <v>926</v>
      </c>
      <c r="AL79" s="111" t="s">
        <v>926</v>
      </c>
      <c r="AM79" s="111" t="s">
        <v>926</v>
      </c>
      <c r="AN79" s="111" t="s">
        <v>926</v>
      </c>
      <c r="AO79" s="111" t="s">
        <v>926</v>
      </c>
      <c r="AP79" s="111" t="s">
        <v>926</v>
      </c>
      <c r="AQ79" s="111" t="s">
        <v>926</v>
      </c>
      <c r="AR79" s="111" t="s">
        <v>926</v>
      </c>
      <c r="AS79" s="111" t="s">
        <v>926</v>
      </c>
      <c r="AT79" s="111" t="s">
        <v>926</v>
      </c>
      <c r="AU79" s="111" t="s">
        <v>926</v>
      </c>
      <c r="AV79" s="111" t="s">
        <v>926</v>
      </c>
      <c r="AW79" s="111" t="s">
        <v>926</v>
      </c>
      <c r="AX79" s="111" t="s">
        <v>926</v>
      </c>
      <c r="AY79" s="169" t="s">
        <v>926</v>
      </c>
      <c r="AZ79" s="169" t="s">
        <v>926</v>
      </c>
      <c r="BA79" s="166" t="s">
        <v>926</v>
      </c>
      <c r="BB79" s="166" t="s">
        <v>926</v>
      </c>
      <c r="BC79" s="169" t="s">
        <v>926</v>
      </c>
      <c r="BD79" s="166" t="s">
        <v>926</v>
      </c>
      <c r="BE79" s="166" t="s">
        <v>926</v>
      </c>
      <c r="BF79" s="169">
        <v>0</v>
      </c>
      <c r="BG79" s="166">
        <v>0</v>
      </c>
      <c r="BH79" s="166">
        <v>0</v>
      </c>
      <c r="BI79" s="111" t="s">
        <v>926</v>
      </c>
      <c r="BJ79" s="111" t="s">
        <v>926</v>
      </c>
      <c r="BK79" s="111">
        <v>3</v>
      </c>
      <c r="BL79" s="111">
        <v>1</v>
      </c>
      <c r="BM79" s="111">
        <v>2</v>
      </c>
      <c r="BN79" s="111">
        <v>2</v>
      </c>
      <c r="BO79" s="111" t="s">
        <v>926</v>
      </c>
      <c r="BP79" s="111" t="s">
        <v>926</v>
      </c>
      <c r="BQ79" s="111" t="s">
        <v>926</v>
      </c>
      <c r="BR79" s="111" t="s">
        <v>926</v>
      </c>
      <c r="BS79" s="111" t="s">
        <v>926</v>
      </c>
      <c r="BT79" s="111" t="s">
        <v>926</v>
      </c>
      <c r="BU79" s="111" t="s">
        <v>926</v>
      </c>
      <c r="BV79" s="111">
        <v>1</v>
      </c>
      <c r="BW79" s="2" t="s">
        <v>1182</v>
      </c>
      <c r="BX79" s="2" t="s">
        <v>1923</v>
      </c>
      <c r="BY79" s="2" t="s">
        <v>1539</v>
      </c>
      <c r="BZ79" s="2" t="s">
        <v>1405</v>
      </c>
      <c r="CA79" s="2" t="s">
        <v>1924</v>
      </c>
      <c r="CB79" s="2" t="s">
        <v>1925</v>
      </c>
      <c r="CC79" s="2" t="s">
        <v>1137</v>
      </c>
      <c r="CD79" s="2" t="s">
        <v>1138</v>
      </c>
      <c r="CE79" s="2" t="s">
        <v>1182</v>
      </c>
      <c r="CF79" s="111" t="s">
        <v>1168</v>
      </c>
      <c r="CG79" s="111" t="s">
        <v>1169</v>
      </c>
      <c r="CH79" s="177">
        <v>45054</v>
      </c>
      <c r="CI79" s="111">
        <v>22631.3737</v>
      </c>
      <c r="CJ79" s="111" t="s">
        <v>1926</v>
      </c>
      <c r="CK79" s="2" t="s">
        <v>1927</v>
      </c>
      <c r="CL79" s="111" t="s">
        <v>926</v>
      </c>
      <c r="CM79" s="111" t="s">
        <v>926</v>
      </c>
      <c r="CN79" s="111" t="s">
        <v>926</v>
      </c>
      <c r="CO79" s="111" t="s">
        <v>926</v>
      </c>
      <c r="CP79" s="111" t="s">
        <v>926</v>
      </c>
      <c r="CQ79" s="111" t="s">
        <v>926</v>
      </c>
      <c r="CR79" s="111" t="s">
        <v>926</v>
      </c>
      <c r="CS79" s="111" t="s">
        <v>926</v>
      </c>
      <c r="CT79" s="111" t="s">
        <v>926</v>
      </c>
      <c r="CU79" s="111" t="s">
        <v>926</v>
      </c>
      <c r="CV79" s="111" t="s">
        <v>926</v>
      </c>
      <c r="CW79" s="111" t="s">
        <v>926</v>
      </c>
      <c r="CX79" s="111" t="s">
        <v>926</v>
      </c>
      <c r="CY79" s="111" t="s">
        <v>926</v>
      </c>
      <c r="CZ79" s="111" t="s">
        <v>926</v>
      </c>
      <c r="DA79" s="111" t="s">
        <v>926</v>
      </c>
      <c r="DB79" s="111" t="s">
        <v>926</v>
      </c>
      <c r="DC79" s="111" t="s">
        <v>926</v>
      </c>
      <c r="DD79" s="111" t="s">
        <v>926</v>
      </c>
      <c r="DE79" s="111" t="s">
        <v>926</v>
      </c>
      <c r="DF79" s="111" t="s">
        <v>926</v>
      </c>
      <c r="DG79" s="111" t="s">
        <v>926</v>
      </c>
      <c r="DH79" s="111" t="s">
        <v>926</v>
      </c>
      <c r="DI79" s="111" t="s">
        <v>926</v>
      </c>
      <c r="DJ79" s="111" t="s">
        <v>926</v>
      </c>
      <c r="DK79" s="111" t="s">
        <v>926</v>
      </c>
      <c r="DL79" s="111" t="s">
        <v>926</v>
      </c>
      <c r="DM79" s="171" t="s">
        <v>926</v>
      </c>
      <c r="DN79" s="111" t="s">
        <v>926</v>
      </c>
      <c r="DO79" s="2" t="s">
        <v>926</v>
      </c>
      <c r="DP79" s="111" t="s">
        <v>926</v>
      </c>
      <c r="DQ79" s="111" t="s">
        <v>926</v>
      </c>
      <c r="DR79" s="111" t="s">
        <v>926</v>
      </c>
      <c r="DS79" s="111" t="s">
        <v>926</v>
      </c>
      <c r="DT79" s="111" t="s">
        <v>926</v>
      </c>
      <c r="DU79" s="111" t="s">
        <v>926</v>
      </c>
      <c r="DV79" s="111" t="s">
        <v>926</v>
      </c>
      <c r="DW79" s="111" t="s">
        <v>926</v>
      </c>
      <c r="DX79" s="167" t="s">
        <v>926</v>
      </c>
      <c r="DY79" s="111" t="s">
        <v>926</v>
      </c>
      <c r="DZ79" s="124"/>
    </row>
    <row r="80" spans="1:130" ht="12" hidden="1" customHeight="1">
      <c r="A80" s="165">
        <v>45764</v>
      </c>
      <c r="B80" s="2" t="s">
        <v>1315</v>
      </c>
      <c r="C80" s="111" t="s">
        <v>1542</v>
      </c>
      <c r="D80" s="111" t="s">
        <v>1214</v>
      </c>
      <c r="E80" s="111" t="s">
        <v>1326</v>
      </c>
      <c r="F80" s="111" t="s">
        <v>1348</v>
      </c>
      <c r="G80" s="111" t="s">
        <v>1615</v>
      </c>
      <c r="H80" s="111" t="s">
        <v>1615</v>
      </c>
      <c r="I80" s="111" t="s">
        <v>1615</v>
      </c>
      <c r="J80" s="111" t="s">
        <v>926</v>
      </c>
      <c r="K80" s="170" t="s">
        <v>926</v>
      </c>
      <c r="L80" s="170" t="s">
        <v>926</v>
      </c>
      <c r="M80" s="170" t="s">
        <v>926</v>
      </c>
      <c r="N80" s="170" t="s">
        <v>926</v>
      </c>
      <c r="O80" s="170" t="s">
        <v>926</v>
      </c>
      <c r="P80" s="170" t="s">
        <v>926</v>
      </c>
      <c r="Q80" s="170" t="s">
        <v>926</v>
      </c>
      <c r="R80" s="170" t="s">
        <v>926</v>
      </c>
      <c r="S80" s="170" t="s">
        <v>926</v>
      </c>
      <c r="T80" s="170" t="s">
        <v>926</v>
      </c>
      <c r="U80" s="170" t="s">
        <v>926</v>
      </c>
      <c r="V80" s="170" t="s">
        <v>926</v>
      </c>
      <c r="W80" s="170" t="s">
        <v>926</v>
      </c>
      <c r="X80" s="170" t="s">
        <v>926</v>
      </c>
      <c r="Y80" s="170" t="s">
        <v>926</v>
      </c>
      <c r="Z80" s="192" t="s">
        <v>926</v>
      </c>
      <c r="AA80" s="193" t="s">
        <v>926</v>
      </c>
      <c r="AB80" s="170" t="s">
        <v>926</v>
      </c>
      <c r="AC80" s="170" t="s">
        <v>926</v>
      </c>
      <c r="AD80" s="176" t="s">
        <v>926</v>
      </c>
      <c r="AE80" s="170" t="s">
        <v>926</v>
      </c>
      <c r="AF80" s="170" t="s">
        <v>926</v>
      </c>
      <c r="AG80" s="170" t="s">
        <v>926</v>
      </c>
      <c r="AH80" s="170" t="s">
        <v>926</v>
      </c>
      <c r="AI80" s="170" t="s">
        <v>926</v>
      </c>
      <c r="AJ80" s="170" t="s">
        <v>926</v>
      </c>
      <c r="AK80" s="170" t="s">
        <v>926</v>
      </c>
      <c r="AL80" s="170" t="s">
        <v>926</v>
      </c>
      <c r="AM80" s="170" t="s">
        <v>926</v>
      </c>
      <c r="AN80" s="170" t="s">
        <v>926</v>
      </c>
      <c r="AO80" s="170" t="s">
        <v>926</v>
      </c>
      <c r="AP80" s="170" t="s">
        <v>926</v>
      </c>
      <c r="AQ80" s="170" t="s">
        <v>926</v>
      </c>
      <c r="AR80" s="170" t="s">
        <v>926</v>
      </c>
      <c r="AS80" s="170" t="s">
        <v>926</v>
      </c>
      <c r="AT80" s="170" t="s">
        <v>926</v>
      </c>
      <c r="AU80" s="170" t="s">
        <v>926</v>
      </c>
      <c r="AV80" s="170" t="s">
        <v>926</v>
      </c>
      <c r="AW80" s="170" t="s">
        <v>926</v>
      </c>
      <c r="AX80" s="111" t="s">
        <v>926</v>
      </c>
      <c r="AY80" s="205" t="s">
        <v>926</v>
      </c>
      <c r="AZ80" s="205" t="s">
        <v>926</v>
      </c>
      <c r="BA80" s="192" t="s">
        <v>926</v>
      </c>
      <c r="BB80" s="192" t="s">
        <v>926</v>
      </c>
      <c r="BC80" s="169" t="s">
        <v>926</v>
      </c>
      <c r="BD80" s="166" t="s">
        <v>926</v>
      </c>
      <c r="BE80" s="166" t="s">
        <v>926</v>
      </c>
      <c r="BF80" s="169">
        <v>0</v>
      </c>
      <c r="BG80" s="166">
        <v>0</v>
      </c>
      <c r="BH80" s="166">
        <v>0</v>
      </c>
      <c r="BI80" s="111" t="s">
        <v>926</v>
      </c>
      <c r="BJ80" s="111" t="s">
        <v>926</v>
      </c>
      <c r="BK80" s="111">
        <v>3</v>
      </c>
      <c r="BL80" s="111">
        <v>1</v>
      </c>
      <c r="BM80" s="111">
        <v>2</v>
      </c>
      <c r="BN80" s="111">
        <v>2</v>
      </c>
      <c r="BO80" s="111" t="s">
        <v>1555</v>
      </c>
      <c r="BP80" s="111" t="s">
        <v>1752</v>
      </c>
      <c r="BQ80" s="111" t="s">
        <v>1753</v>
      </c>
      <c r="BR80" s="111" t="s">
        <v>926</v>
      </c>
      <c r="BS80" s="111" t="s">
        <v>926</v>
      </c>
      <c r="BT80" s="111" t="s">
        <v>926</v>
      </c>
      <c r="BU80" s="111" t="s">
        <v>926</v>
      </c>
      <c r="BV80" s="111" t="s">
        <v>926</v>
      </c>
      <c r="BW80" s="2" t="s">
        <v>1182</v>
      </c>
      <c r="BX80" s="2" t="s">
        <v>1766</v>
      </c>
      <c r="BY80" s="2" t="s">
        <v>1371</v>
      </c>
      <c r="BZ80" s="2" t="s">
        <v>1372</v>
      </c>
      <c r="CA80" s="2" t="s">
        <v>1767</v>
      </c>
      <c r="CB80" s="2" t="s">
        <v>1768</v>
      </c>
      <c r="CC80" s="2" t="s">
        <v>1137</v>
      </c>
      <c r="CD80" s="2" t="s">
        <v>1138</v>
      </c>
      <c r="CE80" s="2" t="s">
        <v>1182</v>
      </c>
      <c r="CF80" s="111" t="s">
        <v>1168</v>
      </c>
      <c r="CG80" s="111" t="s">
        <v>1184</v>
      </c>
      <c r="CH80" s="177">
        <v>45708</v>
      </c>
      <c r="CI80" s="111">
        <v>26100.347600000001</v>
      </c>
      <c r="CJ80" s="111" t="s">
        <v>1769</v>
      </c>
      <c r="CK80" s="2" t="s">
        <v>1209</v>
      </c>
      <c r="CL80" s="111">
        <v>1</v>
      </c>
      <c r="CM80" s="111">
        <v>1</v>
      </c>
      <c r="CN80" s="111">
        <v>1</v>
      </c>
      <c r="CO80" s="111" t="s">
        <v>926</v>
      </c>
      <c r="CP80" s="111">
        <v>1</v>
      </c>
      <c r="CQ80" s="111">
        <v>1</v>
      </c>
      <c r="CR80" s="111">
        <v>1</v>
      </c>
      <c r="CS80" s="111">
        <v>1</v>
      </c>
      <c r="CT80" s="111">
        <v>1</v>
      </c>
      <c r="CU80" s="111">
        <v>1</v>
      </c>
      <c r="CV80" s="111">
        <v>1</v>
      </c>
      <c r="CW80" s="111">
        <v>1</v>
      </c>
      <c r="CX80" s="111">
        <v>1</v>
      </c>
      <c r="CY80" s="111">
        <v>1</v>
      </c>
      <c r="CZ80" s="111">
        <v>1</v>
      </c>
      <c r="DA80" s="111">
        <v>1</v>
      </c>
      <c r="DB80" s="111">
        <v>1</v>
      </c>
      <c r="DC80" s="111">
        <v>1</v>
      </c>
      <c r="DD80" s="111">
        <v>1</v>
      </c>
      <c r="DE80" s="111">
        <v>1</v>
      </c>
      <c r="DF80" s="111">
        <v>1</v>
      </c>
      <c r="DG80" s="111">
        <v>1</v>
      </c>
      <c r="DH80" s="111">
        <v>1</v>
      </c>
      <c r="DI80" s="111">
        <v>1</v>
      </c>
      <c r="DJ80" s="111">
        <v>1</v>
      </c>
      <c r="DK80" s="111">
        <v>1</v>
      </c>
      <c r="DL80" s="111" t="s">
        <v>926</v>
      </c>
      <c r="DM80" s="171" t="s">
        <v>926</v>
      </c>
      <c r="DN80" s="111" t="s">
        <v>926</v>
      </c>
      <c r="DO80" s="2" t="s">
        <v>926</v>
      </c>
      <c r="DP80" s="111" t="s">
        <v>926</v>
      </c>
      <c r="DQ80" s="111" t="s">
        <v>926</v>
      </c>
      <c r="DR80" s="111" t="s">
        <v>926</v>
      </c>
      <c r="DS80" s="111" t="s">
        <v>926</v>
      </c>
      <c r="DT80" s="111" t="s">
        <v>926</v>
      </c>
      <c r="DU80" s="111" t="s">
        <v>926</v>
      </c>
      <c r="DV80" s="111" t="s">
        <v>926</v>
      </c>
      <c r="DW80" s="111" t="s">
        <v>926</v>
      </c>
      <c r="DX80" s="167" t="s">
        <v>926</v>
      </c>
      <c r="DY80" s="111" t="s">
        <v>926</v>
      </c>
      <c r="DZ80" s="124" t="s">
        <v>1543</v>
      </c>
    </row>
    <row r="81" spans="1:130" ht="12" hidden="1" customHeight="1">
      <c r="A81" s="165">
        <v>45764</v>
      </c>
      <c r="B81" s="2" t="s">
        <v>1377</v>
      </c>
      <c r="C81" s="111" t="s">
        <v>1544</v>
      </c>
      <c r="D81" s="111" t="s">
        <v>1214</v>
      </c>
      <c r="E81" s="111" t="s">
        <v>1326</v>
      </c>
      <c r="F81" s="111" t="s">
        <v>1348</v>
      </c>
      <c r="G81" s="111" t="s">
        <v>1615</v>
      </c>
      <c r="H81" s="111" t="s">
        <v>1615</v>
      </c>
      <c r="I81" s="111" t="s">
        <v>1615</v>
      </c>
      <c r="J81" s="111" t="s">
        <v>926</v>
      </c>
      <c r="K81" s="111" t="s">
        <v>926</v>
      </c>
      <c r="L81" s="111" t="s">
        <v>926</v>
      </c>
      <c r="M81" s="111" t="s">
        <v>926</v>
      </c>
      <c r="N81" s="111" t="s">
        <v>926</v>
      </c>
      <c r="O81" s="111" t="s">
        <v>926</v>
      </c>
      <c r="P81" s="111" t="s">
        <v>926</v>
      </c>
      <c r="Q81" s="111" t="s">
        <v>926</v>
      </c>
      <c r="R81" s="111" t="s">
        <v>926</v>
      </c>
      <c r="S81" s="111" t="s">
        <v>926</v>
      </c>
      <c r="T81" s="111" t="s">
        <v>926</v>
      </c>
      <c r="U81" s="111" t="s">
        <v>926</v>
      </c>
      <c r="V81" s="111" t="s">
        <v>926</v>
      </c>
      <c r="W81" s="111" t="s">
        <v>926</v>
      </c>
      <c r="X81" s="111" t="s">
        <v>926</v>
      </c>
      <c r="Y81" s="111" t="s">
        <v>926</v>
      </c>
      <c r="Z81" s="166" t="s">
        <v>926</v>
      </c>
      <c r="AA81" s="167" t="s">
        <v>926</v>
      </c>
      <c r="AB81" s="111" t="s">
        <v>926</v>
      </c>
      <c r="AC81" s="111" t="s">
        <v>926</v>
      </c>
      <c r="AD81" s="168" t="s">
        <v>926</v>
      </c>
      <c r="AE81" s="111" t="s">
        <v>926</v>
      </c>
      <c r="AF81" s="111" t="s">
        <v>926</v>
      </c>
      <c r="AG81" s="111" t="s">
        <v>926</v>
      </c>
      <c r="AH81" s="111" t="s">
        <v>926</v>
      </c>
      <c r="AI81" s="111" t="s">
        <v>926</v>
      </c>
      <c r="AJ81" s="111" t="s">
        <v>926</v>
      </c>
      <c r="AK81" s="111" t="s">
        <v>926</v>
      </c>
      <c r="AL81" s="111" t="s">
        <v>926</v>
      </c>
      <c r="AM81" s="111" t="s">
        <v>926</v>
      </c>
      <c r="AN81" s="111" t="s">
        <v>926</v>
      </c>
      <c r="AO81" s="111" t="s">
        <v>926</v>
      </c>
      <c r="AP81" s="111" t="s">
        <v>926</v>
      </c>
      <c r="AQ81" s="111" t="s">
        <v>926</v>
      </c>
      <c r="AR81" s="111" t="s">
        <v>926</v>
      </c>
      <c r="AS81" s="111" t="s">
        <v>926</v>
      </c>
      <c r="AT81" s="111" t="s">
        <v>926</v>
      </c>
      <c r="AU81" s="111" t="s">
        <v>926</v>
      </c>
      <c r="AV81" s="111" t="s">
        <v>926</v>
      </c>
      <c r="AW81" s="111" t="s">
        <v>926</v>
      </c>
      <c r="AX81" s="111" t="s">
        <v>926</v>
      </c>
      <c r="AY81" s="169" t="s">
        <v>926</v>
      </c>
      <c r="AZ81" s="169" t="s">
        <v>926</v>
      </c>
      <c r="BA81" s="166" t="s">
        <v>926</v>
      </c>
      <c r="BB81" s="166" t="s">
        <v>926</v>
      </c>
      <c r="BC81" s="169" t="s">
        <v>926</v>
      </c>
      <c r="BD81" s="166" t="s">
        <v>926</v>
      </c>
      <c r="BE81" s="166" t="s">
        <v>926</v>
      </c>
      <c r="BF81" s="169">
        <v>0</v>
      </c>
      <c r="BG81" s="166">
        <v>0</v>
      </c>
      <c r="BH81" s="166">
        <v>0</v>
      </c>
      <c r="BI81" s="111" t="s">
        <v>926</v>
      </c>
      <c r="BJ81" s="111" t="s">
        <v>926</v>
      </c>
      <c r="BK81" s="111">
        <v>3</v>
      </c>
      <c r="BL81" s="111">
        <v>1</v>
      </c>
      <c r="BM81" s="111">
        <v>1</v>
      </c>
      <c r="BN81" s="111" t="s">
        <v>926</v>
      </c>
      <c r="BO81" s="111" t="s">
        <v>1545</v>
      </c>
      <c r="BP81" s="111" t="s">
        <v>1683</v>
      </c>
      <c r="BQ81" s="111" t="s">
        <v>1794</v>
      </c>
      <c r="BR81" s="111" t="s">
        <v>926</v>
      </c>
      <c r="BS81" s="111" t="s">
        <v>926</v>
      </c>
      <c r="BT81" s="111" t="s">
        <v>926</v>
      </c>
      <c r="BU81" s="111" t="s">
        <v>926</v>
      </c>
      <c r="BV81" s="111">
        <v>1</v>
      </c>
      <c r="BW81" s="2" t="s">
        <v>1182</v>
      </c>
      <c r="BX81" s="2" t="s">
        <v>1378</v>
      </c>
      <c r="BY81" s="2" t="s">
        <v>1371</v>
      </c>
      <c r="BZ81" s="2" t="s">
        <v>1372</v>
      </c>
      <c r="CA81" s="2" t="s">
        <v>1379</v>
      </c>
      <c r="CB81" s="2" t="s">
        <v>1380</v>
      </c>
      <c r="CC81" s="2" t="s">
        <v>1137</v>
      </c>
      <c r="CD81" s="2" t="s">
        <v>1138</v>
      </c>
      <c r="CE81" s="2" t="s">
        <v>1182</v>
      </c>
      <c r="CF81" s="111" t="s">
        <v>1168</v>
      </c>
      <c r="CG81" s="111" t="s">
        <v>1184</v>
      </c>
      <c r="CH81" s="111" t="s">
        <v>1381</v>
      </c>
      <c r="CI81" s="111">
        <v>26100.289400000001</v>
      </c>
      <c r="CJ81" s="111" t="s">
        <v>1382</v>
      </c>
      <c r="CK81" s="2" t="s">
        <v>1383</v>
      </c>
      <c r="CL81" s="111" t="s">
        <v>926</v>
      </c>
      <c r="CM81" s="111" t="s">
        <v>926</v>
      </c>
      <c r="CN81" s="111" t="s">
        <v>926</v>
      </c>
      <c r="CO81" s="111" t="s">
        <v>926</v>
      </c>
      <c r="CP81" s="111" t="s">
        <v>926</v>
      </c>
      <c r="CQ81" s="111" t="s">
        <v>926</v>
      </c>
      <c r="CR81" s="111" t="s">
        <v>926</v>
      </c>
      <c r="CS81" s="111" t="s">
        <v>926</v>
      </c>
      <c r="CT81" s="111" t="s">
        <v>926</v>
      </c>
      <c r="CU81" s="111" t="s">
        <v>926</v>
      </c>
      <c r="CV81" s="111" t="s">
        <v>926</v>
      </c>
      <c r="CW81" s="111" t="s">
        <v>926</v>
      </c>
      <c r="CX81" s="111" t="s">
        <v>926</v>
      </c>
      <c r="CY81" s="111" t="s">
        <v>926</v>
      </c>
      <c r="CZ81" s="111" t="s">
        <v>926</v>
      </c>
      <c r="DA81" s="111" t="s">
        <v>926</v>
      </c>
      <c r="DB81" s="111" t="s">
        <v>926</v>
      </c>
      <c r="DC81" s="111" t="s">
        <v>926</v>
      </c>
      <c r="DD81" s="111" t="s">
        <v>926</v>
      </c>
      <c r="DE81" s="111" t="s">
        <v>926</v>
      </c>
      <c r="DF81" s="111" t="s">
        <v>926</v>
      </c>
      <c r="DG81" s="111" t="s">
        <v>926</v>
      </c>
      <c r="DH81" s="111" t="s">
        <v>926</v>
      </c>
      <c r="DI81" s="111" t="s">
        <v>926</v>
      </c>
      <c r="DJ81" s="111" t="s">
        <v>926</v>
      </c>
      <c r="DK81" s="111" t="s">
        <v>926</v>
      </c>
      <c r="DL81" s="111" t="s">
        <v>926</v>
      </c>
      <c r="DM81" s="171" t="s">
        <v>926</v>
      </c>
      <c r="DN81" s="111" t="s">
        <v>926</v>
      </c>
      <c r="DO81" s="2" t="s">
        <v>926</v>
      </c>
      <c r="DP81" s="111" t="s">
        <v>926</v>
      </c>
      <c r="DQ81" s="111" t="s">
        <v>926</v>
      </c>
      <c r="DR81" s="111" t="s">
        <v>926</v>
      </c>
      <c r="DS81" s="111" t="s">
        <v>926</v>
      </c>
      <c r="DT81" s="111" t="s">
        <v>926</v>
      </c>
      <c r="DU81" s="111" t="s">
        <v>926</v>
      </c>
      <c r="DV81" s="111" t="s">
        <v>926</v>
      </c>
      <c r="DW81" s="111" t="s">
        <v>926</v>
      </c>
      <c r="DX81" s="167" t="s">
        <v>926</v>
      </c>
      <c r="DY81" s="111" t="s">
        <v>926</v>
      </c>
      <c r="DZ81" s="124" t="s">
        <v>1546</v>
      </c>
    </row>
    <row r="82" spans="1:130" ht="12" hidden="1" customHeight="1">
      <c r="A82" s="165">
        <v>45764</v>
      </c>
      <c r="B82" s="2" t="s">
        <v>1368</v>
      </c>
      <c r="C82" s="111" t="s">
        <v>1547</v>
      </c>
      <c r="D82" s="111" t="s">
        <v>1214</v>
      </c>
      <c r="E82" s="111" t="s">
        <v>1326</v>
      </c>
      <c r="F82" s="111" t="s">
        <v>1348</v>
      </c>
      <c r="G82" s="111" t="s">
        <v>1615</v>
      </c>
      <c r="H82" s="111" t="s">
        <v>1615</v>
      </c>
      <c r="I82" s="111" t="s">
        <v>1615</v>
      </c>
      <c r="J82" s="111" t="s">
        <v>926</v>
      </c>
      <c r="K82" s="111" t="s">
        <v>926</v>
      </c>
      <c r="L82" s="111" t="s">
        <v>926</v>
      </c>
      <c r="M82" s="111" t="s">
        <v>926</v>
      </c>
      <c r="N82" s="111" t="s">
        <v>926</v>
      </c>
      <c r="O82" s="111" t="s">
        <v>926</v>
      </c>
      <c r="P82" s="111" t="s">
        <v>926</v>
      </c>
      <c r="Q82" s="111" t="s">
        <v>926</v>
      </c>
      <c r="R82" s="111" t="s">
        <v>926</v>
      </c>
      <c r="S82" s="111" t="s">
        <v>926</v>
      </c>
      <c r="T82" s="111" t="s">
        <v>926</v>
      </c>
      <c r="U82" s="111" t="s">
        <v>926</v>
      </c>
      <c r="V82" s="111" t="s">
        <v>926</v>
      </c>
      <c r="W82" s="111" t="s">
        <v>926</v>
      </c>
      <c r="X82" s="111" t="s">
        <v>926</v>
      </c>
      <c r="Y82" s="111" t="s">
        <v>926</v>
      </c>
      <c r="Z82" s="166" t="s">
        <v>926</v>
      </c>
      <c r="AA82" s="167" t="s">
        <v>926</v>
      </c>
      <c r="AB82" s="111" t="s">
        <v>926</v>
      </c>
      <c r="AC82" s="111" t="s">
        <v>926</v>
      </c>
      <c r="AD82" s="168" t="s">
        <v>926</v>
      </c>
      <c r="AE82" s="111" t="s">
        <v>926</v>
      </c>
      <c r="AF82" s="111" t="s">
        <v>926</v>
      </c>
      <c r="AG82" s="111" t="s">
        <v>926</v>
      </c>
      <c r="AH82" s="111" t="s">
        <v>926</v>
      </c>
      <c r="AI82" s="111" t="s">
        <v>926</v>
      </c>
      <c r="AJ82" s="111" t="s">
        <v>926</v>
      </c>
      <c r="AK82" s="111" t="s">
        <v>926</v>
      </c>
      <c r="AL82" s="111" t="s">
        <v>926</v>
      </c>
      <c r="AM82" s="111" t="s">
        <v>926</v>
      </c>
      <c r="AN82" s="111" t="s">
        <v>926</v>
      </c>
      <c r="AO82" s="111" t="s">
        <v>926</v>
      </c>
      <c r="AP82" s="111" t="s">
        <v>926</v>
      </c>
      <c r="AQ82" s="111" t="s">
        <v>926</v>
      </c>
      <c r="AR82" s="111" t="s">
        <v>926</v>
      </c>
      <c r="AS82" s="111" t="s">
        <v>926</v>
      </c>
      <c r="AT82" s="111" t="s">
        <v>926</v>
      </c>
      <c r="AU82" s="111" t="s">
        <v>926</v>
      </c>
      <c r="AV82" s="111" t="s">
        <v>926</v>
      </c>
      <c r="AW82" s="111" t="s">
        <v>926</v>
      </c>
      <c r="AX82" s="111" t="s">
        <v>926</v>
      </c>
      <c r="AY82" s="169" t="s">
        <v>926</v>
      </c>
      <c r="AZ82" s="169" t="s">
        <v>926</v>
      </c>
      <c r="BA82" s="166" t="s">
        <v>926</v>
      </c>
      <c r="BB82" s="166" t="s">
        <v>926</v>
      </c>
      <c r="BC82" s="169" t="s">
        <v>926</v>
      </c>
      <c r="BD82" s="166" t="s">
        <v>926</v>
      </c>
      <c r="BE82" s="166" t="s">
        <v>926</v>
      </c>
      <c r="BF82" s="169">
        <v>0</v>
      </c>
      <c r="BG82" s="166">
        <v>0</v>
      </c>
      <c r="BH82" s="166">
        <v>0</v>
      </c>
      <c r="BI82" s="111" t="s">
        <v>926</v>
      </c>
      <c r="BJ82" s="111" t="s">
        <v>926</v>
      </c>
      <c r="BK82" s="111">
        <v>3</v>
      </c>
      <c r="BL82" s="111">
        <v>1</v>
      </c>
      <c r="BM82" s="111">
        <v>2</v>
      </c>
      <c r="BN82" s="111" t="s">
        <v>926</v>
      </c>
      <c r="BO82" s="170" t="s">
        <v>1369</v>
      </c>
      <c r="BP82" s="111" t="s">
        <v>1745</v>
      </c>
      <c r="BQ82" s="111" t="s">
        <v>1791</v>
      </c>
      <c r="BR82" s="111" t="s">
        <v>926</v>
      </c>
      <c r="BS82" s="111" t="s">
        <v>926</v>
      </c>
      <c r="BT82" s="111" t="s">
        <v>926</v>
      </c>
      <c r="BU82" s="111" t="s">
        <v>926</v>
      </c>
      <c r="BV82" s="111">
        <v>1</v>
      </c>
      <c r="BW82" s="2" t="s">
        <v>1182</v>
      </c>
      <c r="BX82" s="2" t="s">
        <v>1370</v>
      </c>
      <c r="BY82" s="2" t="s">
        <v>1371</v>
      </c>
      <c r="BZ82" s="2" t="s">
        <v>1372</v>
      </c>
      <c r="CA82" s="2" t="s">
        <v>1373</v>
      </c>
      <c r="CB82" s="2" t="s">
        <v>1374</v>
      </c>
      <c r="CC82" s="2" t="s">
        <v>1137</v>
      </c>
      <c r="CD82" s="2" t="s">
        <v>1138</v>
      </c>
      <c r="CE82" s="2" t="s">
        <v>1182</v>
      </c>
      <c r="CF82" s="111" t="s">
        <v>1168</v>
      </c>
      <c r="CG82" s="111" t="s">
        <v>1184</v>
      </c>
      <c r="CH82" s="111" t="s">
        <v>1375</v>
      </c>
      <c r="CI82" s="111">
        <v>26100.347600000001</v>
      </c>
      <c r="CJ82" s="111" t="s">
        <v>1563</v>
      </c>
      <c r="CK82" s="2" t="s">
        <v>1198</v>
      </c>
      <c r="CL82" s="111" t="s">
        <v>926</v>
      </c>
      <c r="CM82" s="111" t="s">
        <v>926</v>
      </c>
      <c r="CN82" s="111" t="s">
        <v>926</v>
      </c>
      <c r="CO82" s="111" t="s">
        <v>926</v>
      </c>
      <c r="CP82" s="111" t="s">
        <v>926</v>
      </c>
      <c r="CQ82" s="111" t="s">
        <v>926</v>
      </c>
      <c r="CR82" s="111" t="s">
        <v>926</v>
      </c>
      <c r="CS82" s="111" t="s">
        <v>926</v>
      </c>
      <c r="CT82" s="111" t="s">
        <v>926</v>
      </c>
      <c r="CU82" s="111" t="s">
        <v>926</v>
      </c>
      <c r="CV82" s="111" t="s">
        <v>926</v>
      </c>
      <c r="CW82" s="111" t="s">
        <v>926</v>
      </c>
      <c r="CX82" s="111" t="s">
        <v>926</v>
      </c>
      <c r="CY82" s="111" t="s">
        <v>926</v>
      </c>
      <c r="CZ82" s="111" t="s">
        <v>926</v>
      </c>
      <c r="DA82" s="111" t="s">
        <v>926</v>
      </c>
      <c r="DB82" s="111" t="s">
        <v>926</v>
      </c>
      <c r="DC82" s="111" t="s">
        <v>926</v>
      </c>
      <c r="DD82" s="111" t="s">
        <v>926</v>
      </c>
      <c r="DE82" s="111" t="s">
        <v>926</v>
      </c>
      <c r="DF82" s="111" t="s">
        <v>926</v>
      </c>
      <c r="DG82" s="111" t="s">
        <v>926</v>
      </c>
      <c r="DH82" s="111" t="s">
        <v>926</v>
      </c>
      <c r="DI82" s="111" t="s">
        <v>926</v>
      </c>
      <c r="DJ82" s="111" t="s">
        <v>926</v>
      </c>
      <c r="DK82" s="111" t="s">
        <v>926</v>
      </c>
      <c r="DL82" s="111" t="s">
        <v>926</v>
      </c>
      <c r="DM82" s="171" t="s">
        <v>926</v>
      </c>
      <c r="DN82" s="111" t="s">
        <v>926</v>
      </c>
      <c r="DO82" s="2" t="s">
        <v>926</v>
      </c>
      <c r="DP82" s="111" t="s">
        <v>926</v>
      </c>
      <c r="DQ82" s="111" t="s">
        <v>926</v>
      </c>
      <c r="DR82" s="111" t="s">
        <v>926</v>
      </c>
      <c r="DS82" s="111" t="s">
        <v>926</v>
      </c>
      <c r="DT82" s="111" t="s">
        <v>926</v>
      </c>
      <c r="DU82" s="111" t="s">
        <v>926</v>
      </c>
      <c r="DV82" s="111" t="s">
        <v>926</v>
      </c>
      <c r="DW82" s="111" t="s">
        <v>926</v>
      </c>
      <c r="DX82" s="167" t="s">
        <v>926</v>
      </c>
      <c r="DY82" s="111" t="s">
        <v>926</v>
      </c>
      <c r="DZ82" s="124" t="s">
        <v>1548</v>
      </c>
    </row>
    <row r="83" spans="1:130" ht="12" hidden="1" customHeight="1">
      <c r="A83" s="165">
        <v>45764</v>
      </c>
      <c r="B83" s="206" t="s">
        <v>1928</v>
      </c>
      <c r="C83" s="207" t="s">
        <v>1549</v>
      </c>
      <c r="D83" s="111" t="s">
        <v>1214</v>
      </c>
      <c r="E83" s="111" t="s">
        <v>1326</v>
      </c>
      <c r="F83" s="111" t="s">
        <v>1348</v>
      </c>
      <c r="G83" s="111" t="s">
        <v>1615</v>
      </c>
      <c r="H83" s="111" t="s">
        <v>1615</v>
      </c>
      <c r="I83" s="111" t="s">
        <v>1615</v>
      </c>
      <c r="J83" s="111" t="s">
        <v>926</v>
      </c>
      <c r="K83" s="111" t="s">
        <v>926</v>
      </c>
      <c r="L83" s="111" t="s">
        <v>926</v>
      </c>
      <c r="M83" s="111" t="s">
        <v>926</v>
      </c>
      <c r="N83" s="111" t="s">
        <v>926</v>
      </c>
      <c r="O83" s="111" t="s">
        <v>926</v>
      </c>
      <c r="P83" s="111" t="s">
        <v>926</v>
      </c>
      <c r="Q83" s="111" t="s">
        <v>926</v>
      </c>
      <c r="R83" s="111" t="s">
        <v>926</v>
      </c>
      <c r="S83" s="111" t="s">
        <v>926</v>
      </c>
      <c r="T83" s="111" t="s">
        <v>926</v>
      </c>
      <c r="U83" s="111" t="s">
        <v>926</v>
      </c>
      <c r="V83" s="111" t="s">
        <v>926</v>
      </c>
      <c r="W83" s="111" t="s">
        <v>926</v>
      </c>
      <c r="X83" s="111" t="s">
        <v>926</v>
      </c>
      <c r="Y83" s="111" t="s">
        <v>926</v>
      </c>
      <c r="Z83" s="166" t="s">
        <v>926</v>
      </c>
      <c r="AA83" s="167" t="s">
        <v>926</v>
      </c>
      <c r="AB83" s="111" t="s">
        <v>926</v>
      </c>
      <c r="AC83" s="111" t="s">
        <v>926</v>
      </c>
      <c r="AD83" s="168" t="s">
        <v>926</v>
      </c>
      <c r="AE83" s="111" t="s">
        <v>926</v>
      </c>
      <c r="AF83" s="111" t="s">
        <v>926</v>
      </c>
      <c r="AG83" s="111" t="s">
        <v>926</v>
      </c>
      <c r="AH83" s="111" t="s">
        <v>926</v>
      </c>
      <c r="AI83" s="111" t="s">
        <v>926</v>
      </c>
      <c r="AJ83" s="111" t="s">
        <v>926</v>
      </c>
      <c r="AK83" s="111" t="s">
        <v>926</v>
      </c>
      <c r="AL83" s="111" t="s">
        <v>926</v>
      </c>
      <c r="AM83" s="111" t="s">
        <v>926</v>
      </c>
      <c r="AN83" s="111" t="s">
        <v>926</v>
      </c>
      <c r="AO83" s="111" t="s">
        <v>926</v>
      </c>
      <c r="AP83" s="111" t="s">
        <v>926</v>
      </c>
      <c r="AQ83" s="111" t="s">
        <v>926</v>
      </c>
      <c r="AR83" s="111" t="s">
        <v>926</v>
      </c>
      <c r="AS83" s="111" t="s">
        <v>926</v>
      </c>
      <c r="AT83" s="111" t="s">
        <v>926</v>
      </c>
      <c r="AU83" s="111" t="s">
        <v>926</v>
      </c>
      <c r="AV83" s="111" t="s">
        <v>926</v>
      </c>
      <c r="AW83" s="111" t="s">
        <v>926</v>
      </c>
      <c r="AX83" s="111" t="s">
        <v>926</v>
      </c>
      <c r="AY83" s="169" t="s">
        <v>926</v>
      </c>
      <c r="AZ83" s="169" t="s">
        <v>926</v>
      </c>
      <c r="BA83" s="166" t="s">
        <v>926</v>
      </c>
      <c r="BB83" s="166" t="s">
        <v>926</v>
      </c>
      <c r="BC83" s="169" t="s">
        <v>926</v>
      </c>
      <c r="BD83" s="166" t="s">
        <v>926</v>
      </c>
      <c r="BE83" s="166" t="s">
        <v>926</v>
      </c>
      <c r="BF83" s="169">
        <v>0</v>
      </c>
      <c r="BG83" s="166">
        <v>0</v>
      </c>
      <c r="BH83" s="166">
        <v>0</v>
      </c>
      <c r="BI83" s="111" t="s">
        <v>926</v>
      </c>
      <c r="BJ83" s="111" t="s">
        <v>926</v>
      </c>
      <c r="BK83" s="111">
        <v>3</v>
      </c>
      <c r="BL83" s="111" t="s">
        <v>926</v>
      </c>
      <c r="BM83" s="111" t="s">
        <v>926</v>
      </c>
      <c r="BN83" s="111" t="s">
        <v>926</v>
      </c>
      <c r="BO83" s="111" t="s">
        <v>926</v>
      </c>
      <c r="BP83" s="111" t="s">
        <v>926</v>
      </c>
      <c r="BQ83" s="111" t="s">
        <v>926</v>
      </c>
      <c r="BR83" s="111" t="s">
        <v>926</v>
      </c>
      <c r="BS83" s="111" t="s">
        <v>926</v>
      </c>
      <c r="BT83" s="111" t="s">
        <v>926</v>
      </c>
      <c r="BU83" s="111" t="s">
        <v>926</v>
      </c>
      <c r="BV83" s="111" t="s">
        <v>926</v>
      </c>
      <c r="BW83" s="2" t="s">
        <v>1182</v>
      </c>
      <c r="BX83" s="206" t="s">
        <v>1550</v>
      </c>
      <c r="BY83" s="206" t="s">
        <v>1550</v>
      </c>
      <c r="BZ83" s="206" t="s">
        <v>1550</v>
      </c>
      <c r="CA83" s="206" t="s">
        <v>1550</v>
      </c>
      <c r="CB83" s="206" t="s">
        <v>1550</v>
      </c>
      <c r="CC83" s="206" t="s">
        <v>1550</v>
      </c>
      <c r="CD83" s="206" t="s">
        <v>1550</v>
      </c>
      <c r="CE83" s="2" t="s">
        <v>1182</v>
      </c>
      <c r="CF83" s="207" t="s">
        <v>1550</v>
      </c>
      <c r="CG83" s="207" t="s">
        <v>1550</v>
      </c>
      <c r="CH83" s="208" t="s">
        <v>1550</v>
      </c>
      <c r="CI83" s="207" t="s">
        <v>1550</v>
      </c>
      <c r="CJ83" s="207" t="s">
        <v>1550</v>
      </c>
      <c r="CK83" s="206" t="s">
        <v>1550</v>
      </c>
      <c r="CL83" s="111" t="s">
        <v>926</v>
      </c>
      <c r="CM83" s="111" t="s">
        <v>926</v>
      </c>
      <c r="CN83" s="111" t="s">
        <v>926</v>
      </c>
      <c r="CO83" s="111" t="s">
        <v>926</v>
      </c>
      <c r="CP83" s="111" t="s">
        <v>926</v>
      </c>
      <c r="CQ83" s="111" t="s">
        <v>926</v>
      </c>
      <c r="CR83" s="111" t="s">
        <v>926</v>
      </c>
      <c r="CS83" s="111" t="s">
        <v>926</v>
      </c>
      <c r="CT83" s="111" t="s">
        <v>926</v>
      </c>
      <c r="CU83" s="111" t="s">
        <v>926</v>
      </c>
      <c r="CV83" s="111" t="s">
        <v>926</v>
      </c>
      <c r="CW83" s="111" t="s">
        <v>926</v>
      </c>
      <c r="CX83" s="111" t="s">
        <v>926</v>
      </c>
      <c r="CY83" s="111" t="s">
        <v>926</v>
      </c>
      <c r="CZ83" s="111" t="s">
        <v>926</v>
      </c>
      <c r="DA83" s="111" t="s">
        <v>926</v>
      </c>
      <c r="DB83" s="111" t="s">
        <v>926</v>
      </c>
      <c r="DC83" s="111" t="s">
        <v>926</v>
      </c>
      <c r="DD83" s="111" t="s">
        <v>926</v>
      </c>
      <c r="DE83" s="111" t="s">
        <v>926</v>
      </c>
      <c r="DF83" s="111" t="s">
        <v>926</v>
      </c>
      <c r="DG83" s="111" t="s">
        <v>926</v>
      </c>
      <c r="DH83" s="111" t="s">
        <v>926</v>
      </c>
      <c r="DI83" s="111" t="s">
        <v>926</v>
      </c>
      <c r="DJ83" s="111" t="s">
        <v>926</v>
      </c>
      <c r="DK83" s="111" t="s">
        <v>926</v>
      </c>
      <c r="DL83" s="111" t="s">
        <v>996</v>
      </c>
      <c r="DM83" s="171"/>
      <c r="DN83" s="111" t="s">
        <v>926</v>
      </c>
      <c r="DO83" s="2" t="s">
        <v>926</v>
      </c>
      <c r="DP83" s="111" t="s">
        <v>926</v>
      </c>
      <c r="DQ83" s="111" t="s">
        <v>926</v>
      </c>
      <c r="DR83" s="111" t="s">
        <v>926</v>
      </c>
      <c r="DS83" s="111" t="s">
        <v>926</v>
      </c>
      <c r="DT83" s="111" t="s">
        <v>926</v>
      </c>
      <c r="DU83" s="111" t="s">
        <v>926</v>
      </c>
      <c r="DV83" s="111" t="s">
        <v>926</v>
      </c>
      <c r="DW83" s="111" t="s">
        <v>926</v>
      </c>
      <c r="DX83" s="167" t="s">
        <v>926</v>
      </c>
      <c r="DY83" s="111" t="s">
        <v>926</v>
      </c>
      <c r="DZ83" s="209" t="s">
        <v>1551</v>
      </c>
    </row>
    <row r="84" spans="1:130" ht="12" hidden="1" customHeight="1">
      <c r="A84" s="165">
        <v>45764</v>
      </c>
      <c r="B84" s="206" t="s">
        <v>1929</v>
      </c>
      <c r="C84" s="207" t="s">
        <v>1549</v>
      </c>
      <c r="D84" s="111" t="s">
        <v>1214</v>
      </c>
      <c r="E84" s="111" t="s">
        <v>1326</v>
      </c>
      <c r="F84" s="111" t="s">
        <v>1348</v>
      </c>
      <c r="G84" s="111" t="s">
        <v>1615</v>
      </c>
      <c r="H84" s="111" t="s">
        <v>1615</v>
      </c>
      <c r="I84" s="111" t="s">
        <v>1615</v>
      </c>
      <c r="J84" s="111" t="s">
        <v>926</v>
      </c>
      <c r="K84" s="111" t="s">
        <v>926</v>
      </c>
      <c r="L84" s="111" t="s">
        <v>926</v>
      </c>
      <c r="M84" s="111" t="s">
        <v>926</v>
      </c>
      <c r="N84" s="111" t="s">
        <v>926</v>
      </c>
      <c r="O84" s="111" t="s">
        <v>926</v>
      </c>
      <c r="P84" s="111" t="s">
        <v>926</v>
      </c>
      <c r="Q84" s="111" t="s">
        <v>926</v>
      </c>
      <c r="R84" s="111" t="s">
        <v>926</v>
      </c>
      <c r="S84" s="111" t="s">
        <v>926</v>
      </c>
      <c r="T84" s="111" t="s">
        <v>926</v>
      </c>
      <c r="U84" s="111" t="s">
        <v>926</v>
      </c>
      <c r="V84" s="111" t="s">
        <v>926</v>
      </c>
      <c r="W84" s="111" t="s">
        <v>926</v>
      </c>
      <c r="X84" s="111" t="s">
        <v>926</v>
      </c>
      <c r="Y84" s="111" t="s">
        <v>926</v>
      </c>
      <c r="Z84" s="166" t="s">
        <v>926</v>
      </c>
      <c r="AA84" s="167" t="s">
        <v>926</v>
      </c>
      <c r="AB84" s="111" t="s">
        <v>926</v>
      </c>
      <c r="AC84" s="111" t="s">
        <v>926</v>
      </c>
      <c r="AD84" s="168" t="s">
        <v>926</v>
      </c>
      <c r="AE84" s="111" t="s">
        <v>926</v>
      </c>
      <c r="AF84" s="111" t="s">
        <v>926</v>
      </c>
      <c r="AG84" s="111" t="s">
        <v>926</v>
      </c>
      <c r="AH84" s="111" t="s">
        <v>926</v>
      </c>
      <c r="AI84" s="111" t="s">
        <v>926</v>
      </c>
      <c r="AJ84" s="111" t="s">
        <v>926</v>
      </c>
      <c r="AK84" s="111" t="s">
        <v>926</v>
      </c>
      <c r="AL84" s="111" t="s">
        <v>926</v>
      </c>
      <c r="AM84" s="111" t="s">
        <v>926</v>
      </c>
      <c r="AN84" s="111" t="s">
        <v>926</v>
      </c>
      <c r="AO84" s="111" t="s">
        <v>926</v>
      </c>
      <c r="AP84" s="111" t="s">
        <v>926</v>
      </c>
      <c r="AQ84" s="111" t="s">
        <v>926</v>
      </c>
      <c r="AR84" s="111" t="s">
        <v>926</v>
      </c>
      <c r="AS84" s="111" t="s">
        <v>926</v>
      </c>
      <c r="AT84" s="111" t="s">
        <v>926</v>
      </c>
      <c r="AU84" s="111" t="s">
        <v>926</v>
      </c>
      <c r="AV84" s="111" t="s">
        <v>926</v>
      </c>
      <c r="AW84" s="111" t="s">
        <v>926</v>
      </c>
      <c r="AX84" s="111" t="s">
        <v>926</v>
      </c>
      <c r="AY84" s="169" t="s">
        <v>926</v>
      </c>
      <c r="AZ84" s="169" t="s">
        <v>926</v>
      </c>
      <c r="BA84" s="166" t="s">
        <v>926</v>
      </c>
      <c r="BB84" s="166" t="s">
        <v>926</v>
      </c>
      <c r="BC84" s="169" t="s">
        <v>926</v>
      </c>
      <c r="BD84" s="166" t="s">
        <v>926</v>
      </c>
      <c r="BE84" s="166" t="s">
        <v>926</v>
      </c>
      <c r="BF84" s="169">
        <v>0</v>
      </c>
      <c r="BG84" s="166">
        <v>0</v>
      </c>
      <c r="BH84" s="166">
        <v>0</v>
      </c>
      <c r="BI84" s="111" t="s">
        <v>926</v>
      </c>
      <c r="BJ84" s="111" t="s">
        <v>926</v>
      </c>
      <c r="BK84" s="111">
        <v>3</v>
      </c>
      <c r="BL84" s="111" t="s">
        <v>926</v>
      </c>
      <c r="BM84" s="111" t="s">
        <v>926</v>
      </c>
      <c r="BN84" s="111" t="s">
        <v>926</v>
      </c>
      <c r="BO84" s="111" t="s">
        <v>926</v>
      </c>
      <c r="BP84" s="111" t="s">
        <v>926</v>
      </c>
      <c r="BQ84" s="111" t="s">
        <v>926</v>
      </c>
      <c r="BR84" s="111" t="s">
        <v>926</v>
      </c>
      <c r="BS84" s="111" t="s">
        <v>926</v>
      </c>
      <c r="BT84" s="111" t="s">
        <v>926</v>
      </c>
      <c r="BU84" s="111" t="s">
        <v>926</v>
      </c>
      <c r="BV84" s="111" t="s">
        <v>926</v>
      </c>
      <c r="BW84" s="2" t="s">
        <v>1182</v>
      </c>
      <c r="BX84" s="206" t="s">
        <v>1550</v>
      </c>
      <c r="BY84" s="206" t="s">
        <v>1550</v>
      </c>
      <c r="BZ84" s="206" t="s">
        <v>1550</v>
      </c>
      <c r="CA84" s="206" t="s">
        <v>1550</v>
      </c>
      <c r="CB84" s="206" t="s">
        <v>1550</v>
      </c>
      <c r="CC84" s="206" t="s">
        <v>1550</v>
      </c>
      <c r="CD84" s="206" t="s">
        <v>1550</v>
      </c>
      <c r="CE84" s="2" t="s">
        <v>1182</v>
      </c>
      <c r="CF84" s="207" t="s">
        <v>1550</v>
      </c>
      <c r="CG84" s="207" t="s">
        <v>1550</v>
      </c>
      <c r="CH84" s="208" t="s">
        <v>1550</v>
      </c>
      <c r="CI84" s="207" t="s">
        <v>1550</v>
      </c>
      <c r="CJ84" s="207" t="s">
        <v>1550</v>
      </c>
      <c r="CK84" s="206" t="s">
        <v>1550</v>
      </c>
      <c r="CL84" s="111" t="s">
        <v>926</v>
      </c>
      <c r="CM84" s="111" t="s">
        <v>926</v>
      </c>
      <c r="CN84" s="111" t="s">
        <v>926</v>
      </c>
      <c r="CO84" s="111" t="s">
        <v>926</v>
      </c>
      <c r="CP84" s="111" t="s">
        <v>926</v>
      </c>
      <c r="CQ84" s="111" t="s">
        <v>926</v>
      </c>
      <c r="CR84" s="111" t="s">
        <v>926</v>
      </c>
      <c r="CS84" s="111" t="s">
        <v>926</v>
      </c>
      <c r="CT84" s="111" t="s">
        <v>926</v>
      </c>
      <c r="CU84" s="111" t="s">
        <v>926</v>
      </c>
      <c r="CV84" s="111" t="s">
        <v>926</v>
      </c>
      <c r="CW84" s="111" t="s">
        <v>926</v>
      </c>
      <c r="CX84" s="111" t="s">
        <v>926</v>
      </c>
      <c r="CY84" s="111" t="s">
        <v>926</v>
      </c>
      <c r="CZ84" s="111" t="s">
        <v>926</v>
      </c>
      <c r="DA84" s="111" t="s">
        <v>926</v>
      </c>
      <c r="DB84" s="111" t="s">
        <v>926</v>
      </c>
      <c r="DC84" s="111" t="s">
        <v>926</v>
      </c>
      <c r="DD84" s="111" t="s">
        <v>926</v>
      </c>
      <c r="DE84" s="111" t="s">
        <v>926</v>
      </c>
      <c r="DF84" s="111" t="s">
        <v>926</v>
      </c>
      <c r="DG84" s="111" t="s">
        <v>926</v>
      </c>
      <c r="DH84" s="111" t="s">
        <v>926</v>
      </c>
      <c r="DI84" s="111" t="s">
        <v>926</v>
      </c>
      <c r="DJ84" s="111" t="s">
        <v>926</v>
      </c>
      <c r="DK84" s="111" t="s">
        <v>926</v>
      </c>
      <c r="DL84" s="111" t="s">
        <v>996</v>
      </c>
      <c r="DM84" s="171"/>
      <c r="DN84" s="111" t="s">
        <v>926</v>
      </c>
      <c r="DO84" s="2" t="s">
        <v>926</v>
      </c>
      <c r="DP84" s="111" t="s">
        <v>926</v>
      </c>
      <c r="DQ84" s="111" t="s">
        <v>926</v>
      </c>
      <c r="DR84" s="111" t="s">
        <v>926</v>
      </c>
      <c r="DS84" s="111" t="s">
        <v>926</v>
      </c>
      <c r="DT84" s="111" t="s">
        <v>926</v>
      </c>
      <c r="DU84" s="111" t="s">
        <v>926</v>
      </c>
      <c r="DV84" s="111" t="s">
        <v>926</v>
      </c>
      <c r="DW84" s="111" t="s">
        <v>926</v>
      </c>
      <c r="DX84" s="167" t="s">
        <v>926</v>
      </c>
      <c r="DY84" s="111" t="s">
        <v>926</v>
      </c>
      <c r="DZ84" s="209" t="s">
        <v>1551</v>
      </c>
    </row>
    <row r="85" spans="1:130" ht="12" hidden="1" customHeight="1">
      <c r="A85" s="165">
        <v>45764</v>
      </c>
      <c r="B85" s="2" t="s">
        <v>1447</v>
      </c>
      <c r="C85" s="111" t="s">
        <v>1552</v>
      </c>
      <c r="D85" s="111" t="s">
        <v>1214</v>
      </c>
      <c r="E85" s="111" t="s">
        <v>1326</v>
      </c>
      <c r="F85" s="111" t="s">
        <v>1419</v>
      </c>
      <c r="G85" s="111" t="s">
        <v>1615</v>
      </c>
      <c r="H85" s="111" t="s">
        <v>1615</v>
      </c>
      <c r="I85" s="111" t="s">
        <v>1615</v>
      </c>
      <c r="J85" s="111" t="s">
        <v>926</v>
      </c>
      <c r="K85" s="111" t="s">
        <v>926</v>
      </c>
      <c r="L85" s="111" t="s">
        <v>926</v>
      </c>
      <c r="M85" s="111" t="s">
        <v>926</v>
      </c>
      <c r="N85" s="111" t="s">
        <v>926</v>
      </c>
      <c r="O85" s="111" t="s">
        <v>926</v>
      </c>
      <c r="P85" s="111" t="s">
        <v>926</v>
      </c>
      <c r="Q85" s="111" t="s">
        <v>926</v>
      </c>
      <c r="R85" s="111" t="s">
        <v>926</v>
      </c>
      <c r="S85" s="111" t="s">
        <v>926</v>
      </c>
      <c r="T85" s="111" t="s">
        <v>926</v>
      </c>
      <c r="U85" s="111" t="s">
        <v>926</v>
      </c>
      <c r="V85" s="111" t="s">
        <v>926</v>
      </c>
      <c r="W85" s="111" t="s">
        <v>926</v>
      </c>
      <c r="X85" s="111" t="s">
        <v>926</v>
      </c>
      <c r="Y85" s="111" t="s">
        <v>926</v>
      </c>
      <c r="Z85" s="166" t="s">
        <v>926</v>
      </c>
      <c r="AA85" s="167" t="s">
        <v>926</v>
      </c>
      <c r="AB85" s="111" t="s">
        <v>926</v>
      </c>
      <c r="AC85" s="111" t="s">
        <v>926</v>
      </c>
      <c r="AD85" s="168" t="s">
        <v>926</v>
      </c>
      <c r="AE85" s="111" t="s">
        <v>926</v>
      </c>
      <c r="AF85" s="111" t="s">
        <v>926</v>
      </c>
      <c r="AG85" s="111" t="s">
        <v>926</v>
      </c>
      <c r="AH85" s="111" t="s">
        <v>926</v>
      </c>
      <c r="AI85" s="111" t="s">
        <v>926</v>
      </c>
      <c r="AJ85" s="111" t="s">
        <v>926</v>
      </c>
      <c r="AK85" s="111" t="s">
        <v>926</v>
      </c>
      <c r="AL85" s="111" t="s">
        <v>926</v>
      </c>
      <c r="AM85" s="111" t="s">
        <v>926</v>
      </c>
      <c r="AN85" s="111" t="s">
        <v>926</v>
      </c>
      <c r="AO85" s="111" t="s">
        <v>926</v>
      </c>
      <c r="AP85" s="111" t="s">
        <v>926</v>
      </c>
      <c r="AQ85" s="111" t="s">
        <v>926</v>
      </c>
      <c r="AR85" s="111" t="s">
        <v>926</v>
      </c>
      <c r="AS85" s="111" t="s">
        <v>926</v>
      </c>
      <c r="AT85" s="111" t="s">
        <v>926</v>
      </c>
      <c r="AU85" s="111" t="s">
        <v>926</v>
      </c>
      <c r="AV85" s="111" t="s">
        <v>926</v>
      </c>
      <c r="AW85" s="111" t="s">
        <v>926</v>
      </c>
      <c r="AX85" s="111" t="s">
        <v>926</v>
      </c>
      <c r="AY85" s="169" t="s">
        <v>926</v>
      </c>
      <c r="AZ85" s="169" t="s">
        <v>926</v>
      </c>
      <c r="BA85" s="166" t="s">
        <v>926</v>
      </c>
      <c r="BB85" s="166" t="s">
        <v>926</v>
      </c>
      <c r="BC85" s="169" t="s">
        <v>926</v>
      </c>
      <c r="BD85" s="166" t="s">
        <v>926</v>
      </c>
      <c r="BE85" s="166" t="s">
        <v>926</v>
      </c>
      <c r="BF85" s="169">
        <v>0</v>
      </c>
      <c r="BG85" s="166">
        <v>0</v>
      </c>
      <c r="BH85" s="166">
        <v>0</v>
      </c>
      <c r="BI85" s="111" t="s">
        <v>926</v>
      </c>
      <c r="BJ85" s="111">
        <v>2</v>
      </c>
      <c r="BK85" s="111">
        <v>3</v>
      </c>
      <c r="BL85" s="111">
        <v>1</v>
      </c>
      <c r="BM85" s="111">
        <v>2</v>
      </c>
      <c r="BN85" s="111">
        <v>2</v>
      </c>
      <c r="BO85" s="111" t="s">
        <v>1817</v>
      </c>
      <c r="BP85" s="111" t="s">
        <v>470</v>
      </c>
      <c r="BQ85" s="111" t="s">
        <v>1818</v>
      </c>
      <c r="BR85" s="111" t="s">
        <v>926</v>
      </c>
      <c r="BS85" s="111" t="s">
        <v>926</v>
      </c>
      <c r="BT85" s="111" t="s">
        <v>926</v>
      </c>
      <c r="BU85" s="111" t="s">
        <v>926</v>
      </c>
      <c r="BV85" s="111">
        <v>1</v>
      </c>
      <c r="BW85" s="2" t="s">
        <v>1182</v>
      </c>
      <c r="BX85" s="2" t="s">
        <v>1448</v>
      </c>
      <c r="BY85" s="2" t="s">
        <v>1293</v>
      </c>
      <c r="BZ85" s="2" t="s">
        <v>1294</v>
      </c>
      <c r="CA85" s="2" t="s">
        <v>1449</v>
      </c>
      <c r="CB85" s="2" t="s">
        <v>1450</v>
      </c>
      <c r="CC85" s="2" t="s">
        <v>1297</v>
      </c>
      <c r="CD85" s="2" t="s">
        <v>1138</v>
      </c>
      <c r="CE85" s="2" t="s">
        <v>1182</v>
      </c>
      <c r="CF85" s="111" t="s">
        <v>1298</v>
      </c>
      <c r="CG85" s="111" t="s">
        <v>1169</v>
      </c>
      <c r="CH85" s="177" t="s">
        <v>1451</v>
      </c>
      <c r="CI85" s="111">
        <v>22631.489000000001</v>
      </c>
      <c r="CJ85" s="111" t="s">
        <v>1819</v>
      </c>
      <c r="CK85" s="2" t="s">
        <v>1452</v>
      </c>
      <c r="CL85" s="111" t="s">
        <v>926</v>
      </c>
      <c r="CM85" s="111" t="s">
        <v>926</v>
      </c>
      <c r="CN85" s="111" t="s">
        <v>926</v>
      </c>
      <c r="CO85" s="111" t="s">
        <v>926</v>
      </c>
      <c r="CP85" s="111" t="s">
        <v>926</v>
      </c>
      <c r="CQ85" s="111" t="s">
        <v>926</v>
      </c>
      <c r="CR85" s="111" t="s">
        <v>926</v>
      </c>
      <c r="CS85" s="111" t="s">
        <v>926</v>
      </c>
      <c r="CT85" s="111" t="s">
        <v>926</v>
      </c>
      <c r="CU85" s="111" t="s">
        <v>926</v>
      </c>
      <c r="CV85" s="111" t="s">
        <v>926</v>
      </c>
      <c r="CW85" s="111" t="s">
        <v>926</v>
      </c>
      <c r="CX85" s="111" t="s">
        <v>926</v>
      </c>
      <c r="CY85" s="111" t="s">
        <v>926</v>
      </c>
      <c r="CZ85" s="111" t="s">
        <v>926</v>
      </c>
      <c r="DA85" s="111" t="s">
        <v>926</v>
      </c>
      <c r="DB85" s="111" t="s">
        <v>926</v>
      </c>
      <c r="DC85" s="111" t="s">
        <v>926</v>
      </c>
      <c r="DD85" s="111" t="s">
        <v>926</v>
      </c>
      <c r="DE85" s="111" t="s">
        <v>926</v>
      </c>
      <c r="DF85" s="111" t="s">
        <v>926</v>
      </c>
      <c r="DG85" s="111" t="s">
        <v>926</v>
      </c>
      <c r="DH85" s="111" t="s">
        <v>926</v>
      </c>
      <c r="DI85" s="111" t="s">
        <v>926</v>
      </c>
      <c r="DJ85" s="111" t="s">
        <v>926</v>
      </c>
      <c r="DK85" s="111" t="s">
        <v>926</v>
      </c>
      <c r="DL85" s="111" t="s">
        <v>926</v>
      </c>
      <c r="DM85" s="171" t="s">
        <v>926</v>
      </c>
      <c r="DN85" s="111" t="s">
        <v>926</v>
      </c>
      <c r="DO85" s="2" t="s">
        <v>926</v>
      </c>
      <c r="DP85" s="111" t="s">
        <v>926</v>
      </c>
      <c r="DQ85" s="111" t="s">
        <v>926</v>
      </c>
      <c r="DR85" s="111" t="s">
        <v>926</v>
      </c>
      <c r="DS85" s="111" t="s">
        <v>926</v>
      </c>
      <c r="DT85" s="111" t="s">
        <v>926</v>
      </c>
      <c r="DU85" s="111" t="s">
        <v>926</v>
      </c>
      <c r="DV85" s="111" t="s">
        <v>926</v>
      </c>
      <c r="DW85" s="111" t="s">
        <v>926</v>
      </c>
      <c r="DX85" s="167" t="s">
        <v>926</v>
      </c>
      <c r="DY85" s="111" t="s">
        <v>926</v>
      </c>
      <c r="DZ85" s="124" t="s">
        <v>1453</v>
      </c>
    </row>
    <row r="86" spans="1:130" ht="12" hidden="1" customHeight="1">
      <c r="A86" s="165">
        <v>45764</v>
      </c>
      <c r="B86" s="2" t="s">
        <v>1289</v>
      </c>
      <c r="C86" s="111" t="s">
        <v>1553</v>
      </c>
      <c r="D86" s="111" t="s">
        <v>1290</v>
      </c>
      <c r="E86" s="111" t="s">
        <v>1291</v>
      </c>
      <c r="F86" s="111" t="s">
        <v>926</v>
      </c>
      <c r="G86" s="111" t="s">
        <v>1615</v>
      </c>
      <c r="H86" s="111" t="s">
        <v>1615</v>
      </c>
      <c r="I86" s="111" t="s">
        <v>1615</v>
      </c>
      <c r="J86" s="111" t="s">
        <v>926</v>
      </c>
      <c r="K86" s="111" t="s">
        <v>926</v>
      </c>
      <c r="L86" s="111" t="s">
        <v>926</v>
      </c>
      <c r="M86" s="111" t="s">
        <v>926</v>
      </c>
      <c r="N86" s="111" t="s">
        <v>926</v>
      </c>
      <c r="O86" s="111" t="s">
        <v>926</v>
      </c>
      <c r="P86" s="111" t="s">
        <v>926</v>
      </c>
      <c r="Q86" s="111" t="s">
        <v>926</v>
      </c>
      <c r="R86" s="111" t="s">
        <v>926</v>
      </c>
      <c r="S86" s="111" t="s">
        <v>926</v>
      </c>
      <c r="T86" s="111" t="s">
        <v>926</v>
      </c>
      <c r="U86" s="111" t="s">
        <v>926</v>
      </c>
      <c r="V86" s="111" t="s">
        <v>926</v>
      </c>
      <c r="W86" s="111" t="s">
        <v>926</v>
      </c>
      <c r="X86" s="111" t="s">
        <v>926</v>
      </c>
      <c r="Y86" s="111" t="s">
        <v>926</v>
      </c>
      <c r="Z86" s="166" t="s">
        <v>926</v>
      </c>
      <c r="AA86" s="167" t="s">
        <v>926</v>
      </c>
      <c r="AB86" s="111" t="s">
        <v>926</v>
      </c>
      <c r="AC86" s="111" t="s">
        <v>926</v>
      </c>
      <c r="AD86" s="168" t="s">
        <v>926</v>
      </c>
      <c r="AE86" s="111" t="s">
        <v>926</v>
      </c>
      <c r="AF86" s="111" t="s">
        <v>926</v>
      </c>
      <c r="AG86" s="111" t="s">
        <v>926</v>
      </c>
      <c r="AH86" s="111" t="s">
        <v>926</v>
      </c>
      <c r="AI86" s="111" t="s">
        <v>926</v>
      </c>
      <c r="AJ86" s="111" t="s">
        <v>926</v>
      </c>
      <c r="AK86" s="111" t="s">
        <v>926</v>
      </c>
      <c r="AL86" s="111" t="s">
        <v>926</v>
      </c>
      <c r="AM86" s="111" t="s">
        <v>926</v>
      </c>
      <c r="AN86" s="111" t="s">
        <v>926</v>
      </c>
      <c r="AO86" s="111" t="s">
        <v>926</v>
      </c>
      <c r="AP86" s="111" t="s">
        <v>926</v>
      </c>
      <c r="AQ86" s="111" t="s">
        <v>926</v>
      </c>
      <c r="AR86" s="111" t="s">
        <v>926</v>
      </c>
      <c r="AS86" s="111" t="s">
        <v>926</v>
      </c>
      <c r="AT86" s="111" t="s">
        <v>926</v>
      </c>
      <c r="AU86" s="111" t="s">
        <v>926</v>
      </c>
      <c r="AV86" s="111" t="s">
        <v>926</v>
      </c>
      <c r="AW86" s="111" t="s">
        <v>926</v>
      </c>
      <c r="AX86" s="111" t="s">
        <v>926</v>
      </c>
      <c r="AY86" s="169" t="s">
        <v>926</v>
      </c>
      <c r="AZ86" s="169" t="s">
        <v>926</v>
      </c>
      <c r="BA86" s="166" t="s">
        <v>926</v>
      </c>
      <c r="BB86" s="166" t="s">
        <v>926</v>
      </c>
      <c r="BC86" s="169" t="s">
        <v>926</v>
      </c>
      <c r="BD86" s="166" t="s">
        <v>926</v>
      </c>
      <c r="BE86" s="166" t="s">
        <v>926</v>
      </c>
      <c r="BF86" s="169">
        <v>0</v>
      </c>
      <c r="BG86" s="166">
        <v>0</v>
      </c>
      <c r="BH86" s="166">
        <v>0</v>
      </c>
      <c r="BI86" s="111" t="s">
        <v>926</v>
      </c>
      <c r="BJ86" s="111">
        <v>2</v>
      </c>
      <c r="BK86" s="111">
        <v>3</v>
      </c>
      <c r="BL86" s="111">
        <v>1</v>
      </c>
      <c r="BM86" s="111">
        <v>2</v>
      </c>
      <c r="BN86" s="111">
        <v>2</v>
      </c>
      <c r="BO86" s="111" t="s">
        <v>1304</v>
      </c>
      <c r="BP86" s="111" t="s">
        <v>470</v>
      </c>
      <c r="BQ86" s="111" t="s">
        <v>1670</v>
      </c>
      <c r="BR86" s="111" t="s">
        <v>926</v>
      </c>
      <c r="BS86" s="111" t="s">
        <v>926</v>
      </c>
      <c r="BT86" s="111" t="s">
        <v>926</v>
      </c>
      <c r="BU86" s="111" t="s">
        <v>926</v>
      </c>
      <c r="BV86" s="111">
        <v>1</v>
      </c>
      <c r="BW86" s="2" t="s">
        <v>1182</v>
      </c>
      <c r="BX86" s="2" t="s">
        <v>1292</v>
      </c>
      <c r="BY86" s="2" t="s">
        <v>1293</v>
      </c>
      <c r="BZ86" s="2" t="s">
        <v>1294</v>
      </c>
      <c r="CA86" s="2" t="s">
        <v>1295</v>
      </c>
      <c r="CB86" s="2" t="s">
        <v>1296</v>
      </c>
      <c r="CC86" s="2" t="s">
        <v>1297</v>
      </c>
      <c r="CD86" s="2" t="s">
        <v>1247</v>
      </c>
      <c r="CE86" s="2" t="s">
        <v>1182</v>
      </c>
      <c r="CF86" s="111" t="s">
        <v>1298</v>
      </c>
      <c r="CG86" s="111" t="s">
        <v>1299</v>
      </c>
      <c r="CH86" s="177" t="s">
        <v>1300</v>
      </c>
      <c r="CI86" s="111">
        <v>22000.2176</v>
      </c>
      <c r="CJ86" s="111" t="s">
        <v>1764</v>
      </c>
      <c r="CK86" s="2" t="s">
        <v>1301</v>
      </c>
      <c r="CL86" s="111" t="s">
        <v>926</v>
      </c>
      <c r="CM86" s="111" t="s">
        <v>926</v>
      </c>
      <c r="CN86" s="111" t="s">
        <v>926</v>
      </c>
      <c r="CO86" s="111" t="s">
        <v>926</v>
      </c>
      <c r="CP86" s="111" t="s">
        <v>926</v>
      </c>
      <c r="CQ86" s="111" t="s">
        <v>926</v>
      </c>
      <c r="CR86" s="111" t="s">
        <v>926</v>
      </c>
      <c r="CS86" s="111" t="s">
        <v>926</v>
      </c>
      <c r="CT86" s="111" t="s">
        <v>926</v>
      </c>
      <c r="CU86" s="111" t="s">
        <v>926</v>
      </c>
      <c r="CV86" s="111" t="s">
        <v>926</v>
      </c>
      <c r="CW86" s="111" t="s">
        <v>926</v>
      </c>
      <c r="CX86" s="111" t="s">
        <v>926</v>
      </c>
      <c r="CY86" s="111" t="s">
        <v>926</v>
      </c>
      <c r="CZ86" s="111" t="s">
        <v>926</v>
      </c>
      <c r="DA86" s="111" t="s">
        <v>926</v>
      </c>
      <c r="DB86" s="111" t="s">
        <v>926</v>
      </c>
      <c r="DC86" s="111" t="s">
        <v>926</v>
      </c>
      <c r="DD86" s="111" t="s">
        <v>926</v>
      </c>
      <c r="DE86" s="111" t="s">
        <v>926</v>
      </c>
      <c r="DF86" s="111" t="s">
        <v>926</v>
      </c>
      <c r="DG86" s="111" t="s">
        <v>926</v>
      </c>
      <c r="DH86" s="111" t="s">
        <v>926</v>
      </c>
      <c r="DI86" s="111" t="s">
        <v>926</v>
      </c>
      <c r="DJ86" s="111" t="s">
        <v>926</v>
      </c>
      <c r="DK86" s="111" t="s">
        <v>926</v>
      </c>
      <c r="DL86" s="111" t="s">
        <v>926</v>
      </c>
      <c r="DM86" s="171" t="s">
        <v>926</v>
      </c>
      <c r="DN86" s="111" t="s">
        <v>926</v>
      </c>
      <c r="DO86" s="2" t="s">
        <v>926</v>
      </c>
      <c r="DP86" s="111" t="s">
        <v>926</v>
      </c>
      <c r="DQ86" s="111" t="s">
        <v>926</v>
      </c>
      <c r="DR86" s="111" t="s">
        <v>926</v>
      </c>
      <c r="DS86" s="111" t="s">
        <v>926</v>
      </c>
      <c r="DT86" s="111" t="s">
        <v>926</v>
      </c>
      <c r="DU86" s="111" t="s">
        <v>926</v>
      </c>
      <c r="DV86" s="111" t="s">
        <v>926</v>
      </c>
      <c r="DW86" s="111" t="s">
        <v>926</v>
      </c>
      <c r="DX86" s="167" t="s">
        <v>926</v>
      </c>
      <c r="DY86" s="111" t="s">
        <v>926</v>
      </c>
      <c r="DZ86" s="124" t="s">
        <v>1302</v>
      </c>
    </row>
    <row r="87" spans="1:130" ht="12" hidden="1" customHeight="1">
      <c r="A87" s="165">
        <v>45764</v>
      </c>
      <c r="B87" s="2" t="s">
        <v>1271</v>
      </c>
      <c r="C87" s="111" t="s">
        <v>1554</v>
      </c>
      <c r="D87" s="111" t="s">
        <v>1214</v>
      </c>
      <c r="E87" s="111" t="s">
        <v>1215</v>
      </c>
      <c r="F87" s="111" t="s">
        <v>1262</v>
      </c>
      <c r="G87" s="111" t="s">
        <v>1615</v>
      </c>
      <c r="H87" s="111" t="s">
        <v>1615</v>
      </c>
      <c r="I87" s="111" t="s">
        <v>1615</v>
      </c>
      <c r="J87" s="111" t="s">
        <v>926</v>
      </c>
      <c r="K87" s="111" t="s">
        <v>926</v>
      </c>
      <c r="L87" s="111" t="s">
        <v>926</v>
      </c>
      <c r="M87" s="111" t="s">
        <v>926</v>
      </c>
      <c r="N87" s="111" t="s">
        <v>926</v>
      </c>
      <c r="O87" s="111" t="s">
        <v>926</v>
      </c>
      <c r="P87" s="111" t="s">
        <v>926</v>
      </c>
      <c r="Q87" s="111" t="s">
        <v>926</v>
      </c>
      <c r="R87" s="111" t="s">
        <v>926</v>
      </c>
      <c r="S87" s="111" t="s">
        <v>926</v>
      </c>
      <c r="T87" s="111" t="s">
        <v>926</v>
      </c>
      <c r="U87" s="111" t="s">
        <v>926</v>
      </c>
      <c r="V87" s="111" t="s">
        <v>926</v>
      </c>
      <c r="W87" s="111" t="s">
        <v>926</v>
      </c>
      <c r="X87" s="111" t="s">
        <v>926</v>
      </c>
      <c r="Y87" s="111" t="s">
        <v>926</v>
      </c>
      <c r="Z87" s="166" t="s">
        <v>926</v>
      </c>
      <c r="AA87" s="167" t="s">
        <v>926</v>
      </c>
      <c r="AB87" s="111" t="s">
        <v>926</v>
      </c>
      <c r="AC87" s="111" t="s">
        <v>926</v>
      </c>
      <c r="AD87" s="168" t="s">
        <v>926</v>
      </c>
      <c r="AE87" s="111" t="s">
        <v>926</v>
      </c>
      <c r="AF87" s="111" t="s">
        <v>926</v>
      </c>
      <c r="AG87" s="111" t="s">
        <v>926</v>
      </c>
      <c r="AH87" s="111" t="s">
        <v>926</v>
      </c>
      <c r="AI87" s="111" t="s">
        <v>926</v>
      </c>
      <c r="AJ87" s="111" t="s">
        <v>926</v>
      </c>
      <c r="AK87" s="111" t="s">
        <v>926</v>
      </c>
      <c r="AL87" s="111" t="s">
        <v>926</v>
      </c>
      <c r="AM87" s="111" t="s">
        <v>926</v>
      </c>
      <c r="AN87" s="111" t="s">
        <v>926</v>
      </c>
      <c r="AO87" s="111" t="s">
        <v>926</v>
      </c>
      <c r="AP87" s="111" t="s">
        <v>926</v>
      </c>
      <c r="AQ87" s="111" t="s">
        <v>926</v>
      </c>
      <c r="AR87" s="111" t="s">
        <v>926</v>
      </c>
      <c r="AS87" s="111" t="s">
        <v>926</v>
      </c>
      <c r="AT87" s="111" t="s">
        <v>926</v>
      </c>
      <c r="AU87" s="111" t="s">
        <v>926</v>
      </c>
      <c r="AV87" s="111" t="s">
        <v>926</v>
      </c>
      <c r="AW87" s="111" t="s">
        <v>926</v>
      </c>
      <c r="AX87" s="111" t="s">
        <v>926</v>
      </c>
      <c r="AY87" s="169" t="s">
        <v>926</v>
      </c>
      <c r="AZ87" s="169" t="s">
        <v>926</v>
      </c>
      <c r="BA87" s="166" t="s">
        <v>926</v>
      </c>
      <c r="BB87" s="166" t="s">
        <v>926</v>
      </c>
      <c r="BC87" s="169" t="s">
        <v>926</v>
      </c>
      <c r="BD87" s="166" t="s">
        <v>926</v>
      </c>
      <c r="BE87" s="166" t="s">
        <v>926</v>
      </c>
      <c r="BF87" s="169">
        <v>0</v>
      </c>
      <c r="BG87" s="166">
        <v>0</v>
      </c>
      <c r="BH87" s="166">
        <v>0</v>
      </c>
      <c r="BI87" s="111" t="s">
        <v>926</v>
      </c>
      <c r="BJ87" s="111" t="s">
        <v>926</v>
      </c>
      <c r="BK87" s="111">
        <v>3</v>
      </c>
      <c r="BL87" s="111">
        <v>1</v>
      </c>
      <c r="BM87" s="111">
        <v>2</v>
      </c>
      <c r="BN87" s="111">
        <v>2</v>
      </c>
      <c r="BO87" s="170" t="s">
        <v>1555</v>
      </c>
      <c r="BP87" s="111" t="s">
        <v>1752</v>
      </c>
      <c r="BQ87" s="111" t="s">
        <v>1753</v>
      </c>
      <c r="BR87" s="111" t="s">
        <v>926</v>
      </c>
      <c r="BS87" s="111" t="s">
        <v>926</v>
      </c>
      <c r="BT87" s="111" t="s">
        <v>926</v>
      </c>
      <c r="BU87" s="111" t="s">
        <v>926</v>
      </c>
      <c r="BV87" s="111">
        <v>1</v>
      </c>
      <c r="BW87" s="2" t="s">
        <v>1182</v>
      </c>
      <c r="BX87" s="2" t="s">
        <v>1272</v>
      </c>
      <c r="BY87" s="2" t="s">
        <v>1273</v>
      </c>
      <c r="BZ87" s="2" t="s">
        <v>1274</v>
      </c>
      <c r="CA87" s="2" t="s">
        <v>1275</v>
      </c>
      <c r="CB87" s="2" t="s">
        <v>1276</v>
      </c>
      <c r="CC87" s="2" t="s">
        <v>1137</v>
      </c>
      <c r="CD87" s="2" t="s">
        <v>1138</v>
      </c>
      <c r="CE87" s="2" t="s">
        <v>1182</v>
      </c>
      <c r="CF87" s="111" t="s">
        <v>1183</v>
      </c>
      <c r="CG87" s="111" t="s">
        <v>1184</v>
      </c>
      <c r="CH87" s="111" t="s">
        <v>1277</v>
      </c>
      <c r="CI87" s="111">
        <v>26100.347600000001</v>
      </c>
      <c r="CJ87" s="111" t="s">
        <v>1754</v>
      </c>
      <c r="CK87" s="2" t="s">
        <v>1198</v>
      </c>
      <c r="CL87" s="111" t="s">
        <v>926</v>
      </c>
      <c r="CM87" s="111" t="s">
        <v>926</v>
      </c>
      <c r="CN87" s="111" t="s">
        <v>926</v>
      </c>
      <c r="CO87" s="111" t="s">
        <v>926</v>
      </c>
      <c r="CP87" s="111" t="s">
        <v>926</v>
      </c>
      <c r="CQ87" s="111" t="s">
        <v>926</v>
      </c>
      <c r="CR87" s="111" t="s">
        <v>926</v>
      </c>
      <c r="CS87" s="111" t="s">
        <v>926</v>
      </c>
      <c r="CT87" s="111" t="s">
        <v>926</v>
      </c>
      <c r="CU87" s="111" t="s">
        <v>926</v>
      </c>
      <c r="CV87" s="111" t="s">
        <v>926</v>
      </c>
      <c r="CW87" s="111" t="s">
        <v>926</v>
      </c>
      <c r="CX87" s="111" t="s">
        <v>926</v>
      </c>
      <c r="CY87" s="111" t="s">
        <v>926</v>
      </c>
      <c r="CZ87" s="111" t="s">
        <v>926</v>
      </c>
      <c r="DA87" s="111" t="s">
        <v>926</v>
      </c>
      <c r="DB87" s="111" t="s">
        <v>926</v>
      </c>
      <c r="DC87" s="111" t="s">
        <v>926</v>
      </c>
      <c r="DD87" s="111" t="s">
        <v>926</v>
      </c>
      <c r="DE87" s="111" t="s">
        <v>926</v>
      </c>
      <c r="DF87" s="111" t="s">
        <v>926</v>
      </c>
      <c r="DG87" s="111" t="s">
        <v>926</v>
      </c>
      <c r="DH87" s="111" t="s">
        <v>926</v>
      </c>
      <c r="DI87" s="111" t="s">
        <v>926</v>
      </c>
      <c r="DJ87" s="111" t="s">
        <v>926</v>
      </c>
      <c r="DK87" s="111" t="s">
        <v>926</v>
      </c>
      <c r="DL87" s="111" t="s">
        <v>926</v>
      </c>
      <c r="DM87" s="171" t="s">
        <v>926</v>
      </c>
      <c r="DN87" s="111" t="s">
        <v>926</v>
      </c>
      <c r="DO87" s="2" t="s">
        <v>926</v>
      </c>
      <c r="DP87" s="111" t="s">
        <v>926</v>
      </c>
      <c r="DQ87" s="111" t="s">
        <v>926</v>
      </c>
      <c r="DR87" s="111" t="s">
        <v>926</v>
      </c>
      <c r="DS87" s="111" t="s">
        <v>926</v>
      </c>
      <c r="DT87" s="111" t="s">
        <v>926</v>
      </c>
      <c r="DU87" s="111" t="s">
        <v>926</v>
      </c>
      <c r="DV87" s="111" t="s">
        <v>926</v>
      </c>
      <c r="DW87" s="111" t="s">
        <v>926</v>
      </c>
      <c r="DX87" s="167" t="s">
        <v>926</v>
      </c>
      <c r="DY87" s="111" t="s">
        <v>926</v>
      </c>
      <c r="DZ87" s="124" t="s">
        <v>1930</v>
      </c>
    </row>
    <row r="88" spans="1:130" ht="12" hidden="1" customHeight="1">
      <c r="A88" s="165">
        <v>45820</v>
      </c>
      <c r="B88" s="2" t="s">
        <v>440</v>
      </c>
      <c r="C88" s="111" t="s">
        <v>926</v>
      </c>
      <c r="D88" s="111" t="s">
        <v>1202</v>
      </c>
      <c r="E88" s="111" t="s">
        <v>1203</v>
      </c>
      <c r="F88" s="111" t="s">
        <v>926</v>
      </c>
      <c r="G88" s="111" t="s">
        <v>1931</v>
      </c>
      <c r="H88" s="111" t="s">
        <v>1932</v>
      </c>
      <c r="I88" s="210" t="s">
        <v>1666</v>
      </c>
      <c r="J88" s="111" t="s">
        <v>1269</v>
      </c>
      <c r="K88" s="111">
        <v>4</v>
      </c>
      <c r="L88" s="111">
        <v>4</v>
      </c>
      <c r="M88" s="111">
        <v>2</v>
      </c>
      <c r="N88" s="111">
        <v>4</v>
      </c>
      <c r="O88" s="111">
        <v>3</v>
      </c>
      <c r="P88" s="111">
        <v>2</v>
      </c>
      <c r="Q88" s="111">
        <v>3</v>
      </c>
      <c r="R88" s="111">
        <v>1</v>
      </c>
      <c r="S88" s="111">
        <v>3</v>
      </c>
      <c r="T88" s="111">
        <v>4</v>
      </c>
      <c r="U88" s="111">
        <v>2</v>
      </c>
      <c r="V88" s="111">
        <v>1</v>
      </c>
      <c r="W88" s="111">
        <v>2</v>
      </c>
      <c r="X88" s="111">
        <v>2</v>
      </c>
      <c r="Y88" s="111">
        <v>1</v>
      </c>
      <c r="Z88" s="188">
        <v>142449</v>
      </c>
      <c r="AA88" s="189">
        <v>0.14244899999999999</v>
      </c>
      <c r="AB88" s="111">
        <v>4</v>
      </c>
      <c r="AC88" s="111">
        <v>4</v>
      </c>
      <c r="AD88" s="111">
        <v>1</v>
      </c>
      <c r="AE88" s="111">
        <v>3</v>
      </c>
      <c r="AF88" s="111">
        <v>1</v>
      </c>
      <c r="AG88" s="111">
        <v>1</v>
      </c>
      <c r="AH88" s="111">
        <v>1</v>
      </c>
      <c r="AI88" s="111">
        <v>2</v>
      </c>
      <c r="AJ88" s="111">
        <v>3</v>
      </c>
      <c r="AK88" s="111">
        <v>1</v>
      </c>
      <c r="AL88" s="111">
        <v>2</v>
      </c>
      <c r="AM88" s="111">
        <v>3</v>
      </c>
      <c r="AN88" s="111">
        <v>3</v>
      </c>
      <c r="AO88" s="111">
        <v>1</v>
      </c>
      <c r="AP88" s="111">
        <v>1</v>
      </c>
      <c r="AQ88" s="111">
        <v>1</v>
      </c>
      <c r="AR88" s="111">
        <v>1</v>
      </c>
      <c r="AS88" s="111">
        <v>1</v>
      </c>
      <c r="AT88" s="111">
        <v>1</v>
      </c>
      <c r="AU88" s="111">
        <v>1</v>
      </c>
      <c r="AV88" s="111">
        <v>1</v>
      </c>
      <c r="AW88" s="111">
        <v>1</v>
      </c>
      <c r="AX88" s="111" t="s">
        <v>926</v>
      </c>
      <c r="AY88" s="111">
        <v>1.03</v>
      </c>
      <c r="AZ88" s="111">
        <v>1.08</v>
      </c>
      <c r="BA88" s="188">
        <v>7990</v>
      </c>
      <c r="BB88" s="188">
        <v>1464</v>
      </c>
      <c r="BC88" s="205">
        <v>0</v>
      </c>
      <c r="BD88" s="170">
        <v>0</v>
      </c>
      <c r="BE88" s="170">
        <v>0</v>
      </c>
      <c r="BF88" s="205">
        <v>0</v>
      </c>
      <c r="BG88" s="192">
        <v>0</v>
      </c>
      <c r="BH88" s="192">
        <v>0</v>
      </c>
      <c r="BI88" s="111" t="s">
        <v>926</v>
      </c>
      <c r="BJ88" s="111">
        <v>1</v>
      </c>
      <c r="BK88" s="111">
        <v>1</v>
      </c>
      <c r="BL88" s="111">
        <v>1</v>
      </c>
      <c r="BM88" s="111">
        <v>1</v>
      </c>
      <c r="BN88" s="111">
        <v>1</v>
      </c>
      <c r="BO88" s="170" t="s">
        <v>1192</v>
      </c>
      <c r="BP88" s="111" t="s">
        <v>1683</v>
      </c>
      <c r="BQ88" s="111" t="s">
        <v>1684</v>
      </c>
      <c r="BR88" s="111" t="s">
        <v>926</v>
      </c>
      <c r="BS88" s="111" t="s">
        <v>926</v>
      </c>
      <c r="BT88" s="111" t="s">
        <v>926</v>
      </c>
      <c r="BU88" s="111" t="s">
        <v>926</v>
      </c>
      <c r="BV88" s="111">
        <v>1</v>
      </c>
      <c r="BW88" s="2" t="s">
        <v>1182</v>
      </c>
      <c r="BX88" s="118" t="s">
        <v>1352</v>
      </c>
      <c r="BY88" s="2" t="s">
        <v>1353</v>
      </c>
      <c r="BZ88" s="2" t="s">
        <v>1354</v>
      </c>
      <c r="CA88" s="2" t="s">
        <v>1355</v>
      </c>
      <c r="CB88" s="118" t="s">
        <v>1556</v>
      </c>
      <c r="CC88" s="2" t="s">
        <v>1137</v>
      </c>
      <c r="CD88" s="2" t="s">
        <v>1167</v>
      </c>
      <c r="CE88" s="2" t="s">
        <v>1182</v>
      </c>
      <c r="CF88" s="111" t="s">
        <v>1168</v>
      </c>
      <c r="CG88" s="111" t="s">
        <v>1299</v>
      </c>
      <c r="CH88" s="111" t="s">
        <v>1357</v>
      </c>
      <c r="CI88" s="111">
        <v>22000.253799999999</v>
      </c>
      <c r="CJ88" s="111" t="s">
        <v>926</v>
      </c>
      <c r="CK88" s="2" t="s">
        <v>1301</v>
      </c>
      <c r="CL88" s="111">
        <v>1</v>
      </c>
      <c r="CM88" s="111">
        <v>1</v>
      </c>
      <c r="CN88" s="111">
        <v>1</v>
      </c>
      <c r="CO88" s="111" t="s">
        <v>926</v>
      </c>
      <c r="CP88" s="111">
        <v>1</v>
      </c>
      <c r="CQ88" s="111">
        <v>1</v>
      </c>
      <c r="CR88" s="111">
        <v>1</v>
      </c>
      <c r="CS88" s="111">
        <v>4</v>
      </c>
      <c r="CT88" s="111">
        <v>1</v>
      </c>
      <c r="CU88" s="111">
        <v>1</v>
      </c>
      <c r="CV88" s="111">
        <v>1</v>
      </c>
      <c r="CW88" s="111">
        <v>4</v>
      </c>
      <c r="CX88" s="111">
        <v>1</v>
      </c>
      <c r="CY88" s="111">
        <v>1</v>
      </c>
      <c r="CZ88" s="111">
        <v>1</v>
      </c>
      <c r="DA88" s="111">
        <v>1</v>
      </c>
      <c r="DB88" s="111">
        <v>1</v>
      </c>
      <c r="DC88" s="111">
        <v>1</v>
      </c>
      <c r="DD88" s="111">
        <v>1</v>
      </c>
      <c r="DE88" s="111">
        <v>1</v>
      </c>
      <c r="DF88" s="111">
        <v>1</v>
      </c>
      <c r="DG88" s="111">
        <v>1</v>
      </c>
      <c r="DH88" s="111">
        <v>1</v>
      </c>
      <c r="DI88" s="111">
        <v>1</v>
      </c>
      <c r="DJ88" s="111">
        <v>1</v>
      </c>
      <c r="DK88" s="111">
        <v>1</v>
      </c>
      <c r="DL88" s="170"/>
      <c r="DM88" s="211"/>
      <c r="DN88" s="170"/>
      <c r="DO88" s="170"/>
      <c r="DP88" s="170"/>
      <c r="DQ88" s="170"/>
      <c r="DR88" s="111">
        <v>1</v>
      </c>
      <c r="DS88" s="111">
        <v>1</v>
      </c>
      <c r="DT88" s="111" t="s">
        <v>1158</v>
      </c>
      <c r="DU88" s="111" t="s">
        <v>941</v>
      </c>
      <c r="DV88" s="173" t="s">
        <v>1148</v>
      </c>
      <c r="DW88" s="170" t="s">
        <v>1646</v>
      </c>
      <c r="DX88" s="189">
        <v>1</v>
      </c>
      <c r="DY88" s="111">
        <v>1</v>
      </c>
    </row>
    <row r="89" spans="1:130" ht="12" hidden="1" customHeight="1">
      <c r="A89" s="165">
        <v>45820</v>
      </c>
      <c r="B89" s="2" t="s">
        <v>524</v>
      </c>
      <c r="C89" s="111" t="s">
        <v>926</v>
      </c>
      <c r="D89" s="111" t="s">
        <v>1290</v>
      </c>
      <c r="E89" s="111" t="s">
        <v>1291</v>
      </c>
      <c r="F89" s="111" t="s">
        <v>926</v>
      </c>
      <c r="G89" s="111" t="s">
        <v>1933</v>
      </c>
      <c r="H89" s="111" t="s">
        <v>1934</v>
      </c>
      <c r="I89" s="210" t="s">
        <v>1666</v>
      </c>
      <c r="J89" s="111" t="s">
        <v>1269</v>
      </c>
      <c r="K89" s="111">
        <v>4</v>
      </c>
      <c r="L89" s="111">
        <v>4</v>
      </c>
      <c r="M89" s="111">
        <v>2</v>
      </c>
      <c r="N89" s="111">
        <v>2</v>
      </c>
      <c r="O89" s="111">
        <v>3</v>
      </c>
      <c r="P89" s="111">
        <v>2</v>
      </c>
      <c r="Q89" s="111">
        <v>3</v>
      </c>
      <c r="R89" s="111">
        <v>1</v>
      </c>
      <c r="S89" s="111">
        <v>1</v>
      </c>
      <c r="T89" s="111">
        <v>4</v>
      </c>
      <c r="U89" s="111">
        <v>2</v>
      </c>
      <c r="V89" s="111">
        <v>3</v>
      </c>
      <c r="W89" s="111">
        <v>2</v>
      </c>
      <c r="X89" s="111">
        <v>1</v>
      </c>
      <c r="Y89" s="111">
        <v>1</v>
      </c>
      <c r="Z89" s="188">
        <v>305553</v>
      </c>
      <c r="AA89" s="189">
        <v>0.30555300000000002</v>
      </c>
      <c r="AB89" s="111">
        <v>4</v>
      </c>
      <c r="AC89" s="111">
        <v>3</v>
      </c>
      <c r="AD89" s="111">
        <v>1</v>
      </c>
      <c r="AE89" s="111">
        <v>1</v>
      </c>
      <c r="AF89" s="111">
        <v>1</v>
      </c>
      <c r="AG89" s="111">
        <v>1</v>
      </c>
      <c r="AH89" s="111">
        <v>1</v>
      </c>
      <c r="AI89" s="111">
        <v>4</v>
      </c>
      <c r="AJ89" s="111">
        <v>4</v>
      </c>
      <c r="AK89" s="111">
        <v>2</v>
      </c>
      <c r="AL89" s="111">
        <v>1</v>
      </c>
      <c r="AM89" s="111">
        <v>4</v>
      </c>
      <c r="AN89" s="111">
        <v>1</v>
      </c>
      <c r="AO89" s="111">
        <v>1</v>
      </c>
      <c r="AP89" s="111">
        <v>1</v>
      </c>
      <c r="AQ89" s="111">
        <v>1</v>
      </c>
      <c r="AR89" s="111">
        <v>1</v>
      </c>
      <c r="AS89" s="111">
        <v>1</v>
      </c>
      <c r="AT89" s="111">
        <v>1</v>
      </c>
      <c r="AU89" s="111">
        <v>1</v>
      </c>
      <c r="AV89" s="111">
        <v>1</v>
      </c>
      <c r="AW89" s="111">
        <v>1</v>
      </c>
      <c r="AX89" s="111" t="s">
        <v>926</v>
      </c>
      <c r="AY89" s="111">
        <v>1.98</v>
      </c>
      <c r="AZ89" s="111">
        <v>2.0099999999999998</v>
      </c>
      <c r="BA89" s="188">
        <v>12463</v>
      </c>
      <c r="BB89" s="188">
        <v>1513</v>
      </c>
      <c r="BC89" s="205">
        <v>0</v>
      </c>
      <c r="BD89" s="170">
        <v>0</v>
      </c>
      <c r="BE89" s="170">
        <v>0</v>
      </c>
      <c r="BF89" s="205">
        <v>0</v>
      </c>
      <c r="BG89" s="192">
        <v>0</v>
      </c>
      <c r="BH89" s="192">
        <v>0</v>
      </c>
      <c r="BI89" s="111" t="s">
        <v>926</v>
      </c>
      <c r="BJ89" s="111">
        <v>1</v>
      </c>
      <c r="BK89" s="111">
        <v>2</v>
      </c>
      <c r="BL89" s="111">
        <v>1</v>
      </c>
      <c r="BM89" s="111">
        <v>1</v>
      </c>
      <c r="BN89" s="111">
        <v>1</v>
      </c>
      <c r="BO89" s="170" t="s">
        <v>1211</v>
      </c>
      <c r="BP89" s="111" t="s">
        <v>470</v>
      </c>
      <c r="BQ89" s="111" t="s">
        <v>1670</v>
      </c>
      <c r="BR89" s="111" t="s">
        <v>926</v>
      </c>
      <c r="BS89" s="111" t="s">
        <v>926</v>
      </c>
      <c r="BT89" s="111" t="s">
        <v>926</v>
      </c>
      <c r="BU89" s="111" t="s">
        <v>926</v>
      </c>
      <c r="BV89" s="111">
        <v>1</v>
      </c>
      <c r="BW89" s="2" t="s">
        <v>1182</v>
      </c>
      <c r="BX89" s="2" t="s">
        <v>1508</v>
      </c>
      <c r="BY89" s="2" t="s">
        <v>1509</v>
      </c>
      <c r="BZ89" s="2" t="s">
        <v>1459</v>
      </c>
      <c r="CA89" s="2" t="s">
        <v>1510</v>
      </c>
      <c r="CB89" s="2" t="s">
        <v>1511</v>
      </c>
      <c r="CC89" s="2" t="s">
        <v>1137</v>
      </c>
      <c r="CD89" s="2" t="s">
        <v>1167</v>
      </c>
      <c r="CE89" s="2" t="s">
        <v>1182</v>
      </c>
      <c r="CF89" s="111" t="s">
        <v>1183</v>
      </c>
      <c r="CG89" s="111" t="s">
        <v>1184</v>
      </c>
      <c r="CH89" s="111" t="s">
        <v>1512</v>
      </c>
      <c r="CI89" s="111">
        <v>26100.3194</v>
      </c>
      <c r="CJ89" s="111">
        <v>2.41105E+18</v>
      </c>
      <c r="CK89" s="2" t="s">
        <v>1187</v>
      </c>
      <c r="CL89" s="111">
        <v>1</v>
      </c>
      <c r="CM89" s="111">
        <v>1</v>
      </c>
      <c r="CN89" s="111">
        <v>1</v>
      </c>
      <c r="CO89" s="111" t="s">
        <v>926</v>
      </c>
      <c r="CP89" s="111">
        <v>1</v>
      </c>
      <c r="CQ89" s="111">
        <v>1</v>
      </c>
      <c r="CR89" s="111">
        <v>1</v>
      </c>
      <c r="CS89" s="111">
        <v>1</v>
      </c>
      <c r="CT89" s="111">
        <v>4</v>
      </c>
      <c r="CU89" s="111">
        <v>2</v>
      </c>
      <c r="CV89" s="111">
        <v>2</v>
      </c>
      <c r="CW89" s="111">
        <v>4</v>
      </c>
      <c r="CX89" s="111">
        <v>1</v>
      </c>
      <c r="CY89" s="111">
        <v>1</v>
      </c>
      <c r="CZ89" s="111">
        <v>1</v>
      </c>
      <c r="DA89" s="111">
        <v>2</v>
      </c>
      <c r="DB89" s="111">
        <v>2</v>
      </c>
      <c r="DC89" s="111">
        <v>1</v>
      </c>
      <c r="DD89" s="111">
        <v>1</v>
      </c>
      <c r="DE89" s="111">
        <v>2</v>
      </c>
      <c r="DF89" s="111">
        <v>3</v>
      </c>
      <c r="DG89" s="111">
        <v>2</v>
      </c>
      <c r="DH89" s="111">
        <v>1</v>
      </c>
      <c r="DI89" s="111">
        <v>2</v>
      </c>
      <c r="DJ89" s="111">
        <v>2</v>
      </c>
      <c r="DK89" s="111">
        <v>2</v>
      </c>
      <c r="DL89" s="170"/>
      <c r="DM89" s="211"/>
      <c r="DN89" s="170"/>
      <c r="DO89" s="170"/>
      <c r="DP89" s="170"/>
      <c r="DQ89" s="170"/>
      <c r="DR89" s="111">
        <v>1</v>
      </c>
      <c r="DS89" s="111">
        <v>1</v>
      </c>
      <c r="DT89" s="111" t="s">
        <v>1155</v>
      </c>
      <c r="DU89" s="111" t="s">
        <v>971</v>
      </c>
      <c r="DV89" s="111" t="s">
        <v>1269</v>
      </c>
      <c r="DW89" s="111" t="s">
        <v>1269</v>
      </c>
      <c r="DX89" s="167">
        <v>1</v>
      </c>
      <c r="DY89" s="111">
        <v>1</v>
      </c>
      <c r="DZ89" s="2" t="s">
        <v>1507</v>
      </c>
    </row>
    <row r="90" spans="1:130" ht="12" customHeight="1">
      <c r="A90" s="165">
        <v>45821</v>
      </c>
      <c r="B90" s="2" t="s">
        <v>435</v>
      </c>
      <c r="C90" s="111" t="s">
        <v>1345</v>
      </c>
      <c r="D90" s="111" t="s">
        <v>1214</v>
      </c>
      <c r="E90" s="111" t="s">
        <v>1326</v>
      </c>
      <c r="F90" s="111" t="s">
        <v>1327</v>
      </c>
      <c r="G90" s="111" t="s">
        <v>1935</v>
      </c>
      <c r="H90" s="111" t="s">
        <v>1936</v>
      </c>
      <c r="I90" s="111" t="s">
        <v>1396</v>
      </c>
      <c r="J90" s="111" t="s">
        <v>1269</v>
      </c>
      <c r="K90" s="111">
        <v>4</v>
      </c>
      <c r="L90" s="111">
        <v>2</v>
      </c>
      <c r="M90" s="111">
        <v>2</v>
      </c>
      <c r="N90" s="111">
        <v>1</v>
      </c>
      <c r="O90" s="111">
        <v>4</v>
      </c>
      <c r="P90" s="111">
        <v>1</v>
      </c>
      <c r="Q90" s="111">
        <v>4</v>
      </c>
      <c r="R90" s="111">
        <v>4</v>
      </c>
      <c r="S90" s="111">
        <v>1</v>
      </c>
      <c r="T90" s="111">
        <v>4</v>
      </c>
      <c r="U90" s="111">
        <v>2</v>
      </c>
      <c r="V90" s="111">
        <v>2</v>
      </c>
      <c r="W90" s="111">
        <v>2</v>
      </c>
      <c r="X90" s="111">
        <v>1</v>
      </c>
      <c r="Y90" s="111">
        <v>1</v>
      </c>
      <c r="Z90" s="188">
        <v>265377</v>
      </c>
      <c r="AA90" s="189">
        <v>0.26537699999999997</v>
      </c>
      <c r="AB90" s="111">
        <v>3</v>
      </c>
      <c r="AC90" s="111">
        <v>3</v>
      </c>
      <c r="AD90" s="111">
        <v>1</v>
      </c>
      <c r="AE90" s="111">
        <v>1</v>
      </c>
      <c r="AF90" s="111">
        <v>1</v>
      </c>
      <c r="AG90" s="111">
        <v>1</v>
      </c>
      <c r="AH90" s="111">
        <v>1</v>
      </c>
      <c r="AI90" s="111">
        <v>1</v>
      </c>
      <c r="AJ90" s="111">
        <v>1</v>
      </c>
      <c r="AK90" s="111">
        <v>1</v>
      </c>
      <c r="AL90" s="111">
        <v>1</v>
      </c>
      <c r="AM90" s="111">
        <v>1</v>
      </c>
      <c r="AN90" s="111">
        <v>1</v>
      </c>
      <c r="AO90" s="111">
        <v>1</v>
      </c>
      <c r="AP90" s="111">
        <v>1</v>
      </c>
      <c r="AQ90" s="111">
        <v>1</v>
      </c>
      <c r="AR90" s="111">
        <v>1</v>
      </c>
      <c r="AS90" s="111">
        <v>1</v>
      </c>
      <c r="AT90" s="111">
        <v>1</v>
      </c>
      <c r="AU90" s="111">
        <v>1</v>
      </c>
      <c r="AV90" s="111">
        <v>1</v>
      </c>
      <c r="AW90" s="111">
        <v>1</v>
      </c>
      <c r="AX90" s="111" t="s">
        <v>926</v>
      </c>
      <c r="AY90" s="111">
        <v>0.8</v>
      </c>
      <c r="AZ90" s="111">
        <v>0.8</v>
      </c>
      <c r="BA90" s="188">
        <v>6195</v>
      </c>
      <c r="BB90" s="188">
        <v>1651</v>
      </c>
      <c r="BC90" s="205">
        <v>0</v>
      </c>
      <c r="BD90" s="170">
        <v>0</v>
      </c>
      <c r="BE90" s="170">
        <v>0</v>
      </c>
      <c r="BF90" s="205">
        <v>0</v>
      </c>
      <c r="BG90" s="192">
        <v>0</v>
      </c>
      <c r="BH90" s="192">
        <v>0</v>
      </c>
      <c r="BI90" s="111" t="s">
        <v>926</v>
      </c>
      <c r="BJ90" s="111">
        <v>2</v>
      </c>
      <c r="BK90" s="111">
        <v>1</v>
      </c>
      <c r="BL90" s="111">
        <v>1</v>
      </c>
      <c r="BM90" s="111">
        <v>2</v>
      </c>
      <c r="BN90" s="111">
        <v>3</v>
      </c>
      <c r="BO90" s="111" t="s">
        <v>1335</v>
      </c>
      <c r="BP90" s="111" t="s">
        <v>1745</v>
      </c>
      <c r="BQ90" s="111" t="s">
        <v>1779</v>
      </c>
      <c r="BR90" s="111" t="s">
        <v>926</v>
      </c>
      <c r="BS90" s="111" t="s">
        <v>926</v>
      </c>
      <c r="BT90" s="111" t="s">
        <v>926</v>
      </c>
      <c r="BU90" s="111" t="s">
        <v>926</v>
      </c>
      <c r="BV90" s="111">
        <v>1</v>
      </c>
      <c r="BW90" s="2" t="s">
        <v>1182</v>
      </c>
      <c r="BX90" s="2" t="s">
        <v>1557</v>
      </c>
      <c r="BY90" s="2" t="s">
        <v>1337</v>
      </c>
      <c r="BZ90" s="2" t="s">
        <v>1558</v>
      </c>
      <c r="CA90" s="2" t="s">
        <v>1559</v>
      </c>
      <c r="CB90" s="2" t="s">
        <v>1340</v>
      </c>
      <c r="CC90" s="2" t="s">
        <v>1137</v>
      </c>
      <c r="CD90" s="2" t="s">
        <v>1138</v>
      </c>
      <c r="CE90" s="2" t="s">
        <v>1182</v>
      </c>
      <c r="CF90" s="111" t="s">
        <v>1139</v>
      </c>
      <c r="CG90" s="111" t="s">
        <v>1169</v>
      </c>
      <c r="CH90" s="212">
        <v>44917</v>
      </c>
      <c r="CI90" s="111">
        <v>22631.518899999999</v>
      </c>
      <c r="CJ90" s="111" t="s">
        <v>1560</v>
      </c>
      <c r="CK90" s="2" t="s">
        <v>1561</v>
      </c>
      <c r="CL90" s="111">
        <v>1</v>
      </c>
      <c r="CM90" s="111">
        <v>1</v>
      </c>
      <c r="CN90" s="111">
        <v>1</v>
      </c>
      <c r="CO90" s="111" t="s">
        <v>926</v>
      </c>
      <c r="CP90" s="111">
        <v>1</v>
      </c>
      <c r="CQ90" s="111">
        <v>3</v>
      </c>
      <c r="CR90" s="111">
        <v>1</v>
      </c>
      <c r="CS90" s="111">
        <v>1</v>
      </c>
      <c r="CT90" s="111">
        <v>1</v>
      </c>
      <c r="CU90" s="111">
        <v>2</v>
      </c>
      <c r="CV90" s="111">
        <v>2</v>
      </c>
      <c r="CW90" s="111">
        <v>2</v>
      </c>
      <c r="CX90" s="111">
        <v>1</v>
      </c>
      <c r="CY90" s="111">
        <v>2</v>
      </c>
      <c r="CZ90" s="111">
        <v>2</v>
      </c>
      <c r="DA90" s="111">
        <v>2</v>
      </c>
      <c r="DB90" s="111">
        <v>2</v>
      </c>
      <c r="DC90" s="111">
        <v>1</v>
      </c>
      <c r="DD90" s="111">
        <v>1</v>
      </c>
      <c r="DE90" s="111">
        <v>2</v>
      </c>
      <c r="DF90" s="111">
        <v>2</v>
      </c>
      <c r="DG90" s="111">
        <v>2</v>
      </c>
      <c r="DH90" s="111">
        <v>1</v>
      </c>
      <c r="DI90" s="111">
        <v>2</v>
      </c>
      <c r="DJ90" s="111">
        <v>2</v>
      </c>
      <c r="DK90" s="111">
        <v>2</v>
      </c>
      <c r="DL90" s="170"/>
      <c r="DM90" s="211"/>
      <c r="DN90" s="170"/>
      <c r="DO90" s="170"/>
      <c r="DP90" s="170"/>
      <c r="DQ90" s="170"/>
      <c r="DR90" s="111">
        <v>1</v>
      </c>
      <c r="DS90" s="111">
        <v>1</v>
      </c>
      <c r="DT90" s="111" t="s">
        <v>1324</v>
      </c>
      <c r="DU90" s="111" t="s">
        <v>971</v>
      </c>
      <c r="DV90" s="111" t="s">
        <v>1269</v>
      </c>
      <c r="DW90" s="111" t="s">
        <v>1269</v>
      </c>
      <c r="DX90" s="167">
        <v>0</v>
      </c>
      <c r="DY90" s="111">
        <v>1</v>
      </c>
    </row>
    <row r="91" spans="1:130" ht="12" hidden="1" customHeight="1">
      <c r="A91" s="165">
        <v>45821</v>
      </c>
      <c r="B91" s="2" t="s">
        <v>1562</v>
      </c>
      <c r="C91" s="111" t="s">
        <v>1368</v>
      </c>
      <c r="D91" s="111" t="s">
        <v>1214</v>
      </c>
      <c r="E91" s="111" t="s">
        <v>1326</v>
      </c>
      <c r="F91" s="111" t="s">
        <v>1348</v>
      </c>
      <c r="G91" s="111" t="s">
        <v>1937</v>
      </c>
      <c r="H91" s="111" t="s">
        <v>1938</v>
      </c>
      <c r="I91" s="111" t="s">
        <v>1396</v>
      </c>
      <c r="J91" s="111" t="s">
        <v>1269</v>
      </c>
      <c r="K91" s="111">
        <v>4</v>
      </c>
      <c r="L91" s="111">
        <v>2</v>
      </c>
      <c r="M91" s="111">
        <v>2</v>
      </c>
      <c r="N91" s="111">
        <v>1</v>
      </c>
      <c r="O91" s="111">
        <v>1</v>
      </c>
      <c r="P91" s="111">
        <v>1</v>
      </c>
      <c r="Q91" s="111">
        <v>4</v>
      </c>
      <c r="R91" s="111">
        <v>4</v>
      </c>
      <c r="S91" s="111">
        <v>2</v>
      </c>
      <c r="T91" s="111">
        <v>3</v>
      </c>
      <c r="U91" s="111">
        <v>2</v>
      </c>
      <c r="V91" s="111">
        <v>2</v>
      </c>
      <c r="W91" s="111">
        <v>2</v>
      </c>
      <c r="X91" s="111">
        <v>2</v>
      </c>
      <c r="Y91" s="111">
        <v>1</v>
      </c>
      <c r="Z91" s="188">
        <v>87809</v>
      </c>
      <c r="AA91" s="189">
        <v>8.7808999999999998E-2</v>
      </c>
      <c r="AB91" s="111">
        <v>2</v>
      </c>
      <c r="AC91" s="111">
        <v>3</v>
      </c>
      <c r="AD91" s="111">
        <v>1</v>
      </c>
      <c r="AE91" s="111">
        <v>2</v>
      </c>
      <c r="AF91" s="111">
        <v>1</v>
      </c>
      <c r="AG91" s="111">
        <v>1</v>
      </c>
      <c r="AH91" s="111">
        <v>1</v>
      </c>
      <c r="AI91" s="111">
        <v>1</v>
      </c>
      <c r="AJ91" s="111">
        <v>1</v>
      </c>
      <c r="AK91" s="111">
        <v>1</v>
      </c>
      <c r="AL91" s="111">
        <v>1</v>
      </c>
      <c r="AM91" s="111">
        <v>1</v>
      </c>
      <c r="AN91" s="111">
        <v>1</v>
      </c>
      <c r="AO91" s="111">
        <v>1</v>
      </c>
      <c r="AP91" s="111">
        <v>1</v>
      </c>
      <c r="AQ91" s="111">
        <v>1</v>
      </c>
      <c r="AR91" s="111">
        <v>1</v>
      </c>
      <c r="AS91" s="111">
        <v>1</v>
      </c>
      <c r="AT91" s="111">
        <v>1</v>
      </c>
      <c r="AU91" s="111">
        <v>1</v>
      </c>
      <c r="AV91" s="111">
        <v>1</v>
      </c>
      <c r="AW91" s="111">
        <v>1</v>
      </c>
      <c r="AX91" s="111" t="s">
        <v>926</v>
      </c>
      <c r="AY91" s="111">
        <v>0.5</v>
      </c>
      <c r="AZ91" s="111">
        <v>0.5</v>
      </c>
      <c r="BA91" s="188">
        <v>4634</v>
      </c>
      <c r="BB91" s="188">
        <v>1165</v>
      </c>
      <c r="BC91" s="205">
        <v>0</v>
      </c>
      <c r="BD91" s="170">
        <v>0</v>
      </c>
      <c r="BE91" s="170">
        <v>0</v>
      </c>
      <c r="BF91" s="205">
        <v>0</v>
      </c>
      <c r="BG91" s="192">
        <v>0</v>
      </c>
      <c r="BH91" s="192">
        <v>0</v>
      </c>
      <c r="BI91" s="111" t="s">
        <v>926</v>
      </c>
      <c r="BJ91" s="111">
        <v>2</v>
      </c>
      <c r="BK91" s="111">
        <v>1</v>
      </c>
      <c r="BL91" s="111">
        <v>1</v>
      </c>
      <c r="BM91" s="111">
        <v>2</v>
      </c>
      <c r="BN91" s="111">
        <v>2</v>
      </c>
      <c r="BO91" s="111" t="s">
        <v>1369</v>
      </c>
      <c r="BP91" s="111" t="s">
        <v>1745</v>
      </c>
      <c r="BQ91" s="111" t="s">
        <v>1791</v>
      </c>
      <c r="BR91" s="111" t="s">
        <v>926</v>
      </c>
      <c r="BS91" s="111" t="s">
        <v>926</v>
      </c>
      <c r="BT91" s="111" t="s">
        <v>926</v>
      </c>
      <c r="BU91" s="111" t="s">
        <v>926</v>
      </c>
      <c r="BV91" s="111">
        <v>3</v>
      </c>
      <c r="BW91" s="2" t="s">
        <v>1182</v>
      </c>
      <c r="BX91" s="2" t="s">
        <v>1370</v>
      </c>
      <c r="BY91" s="2" t="s">
        <v>1371</v>
      </c>
      <c r="BZ91" s="2" t="s">
        <v>1372</v>
      </c>
      <c r="CA91" s="2" t="s">
        <v>1373</v>
      </c>
      <c r="CB91" s="2" t="s">
        <v>1374</v>
      </c>
      <c r="CC91" s="2" t="s">
        <v>1137</v>
      </c>
      <c r="CD91" s="2" t="s">
        <v>1138</v>
      </c>
      <c r="CE91" s="2" t="s">
        <v>1182</v>
      </c>
      <c r="CF91" s="111" t="s">
        <v>1168</v>
      </c>
      <c r="CG91" s="111" t="s">
        <v>1184</v>
      </c>
      <c r="CH91" s="111" t="s">
        <v>1375</v>
      </c>
      <c r="CI91" s="111">
        <v>26100.347600000001</v>
      </c>
      <c r="CJ91" s="111" t="s">
        <v>1563</v>
      </c>
      <c r="CK91" s="2" t="s">
        <v>1198</v>
      </c>
      <c r="CL91" s="111">
        <v>1</v>
      </c>
      <c r="CM91" s="111">
        <v>2</v>
      </c>
      <c r="CN91" s="111">
        <v>1</v>
      </c>
      <c r="CO91" s="111" t="s">
        <v>926</v>
      </c>
      <c r="CP91" s="111">
        <v>1</v>
      </c>
      <c r="CQ91" s="111">
        <v>2</v>
      </c>
      <c r="CR91" s="111">
        <v>1</v>
      </c>
      <c r="CS91" s="111">
        <v>1</v>
      </c>
      <c r="CT91" s="111">
        <v>1</v>
      </c>
      <c r="CU91" s="111">
        <v>2</v>
      </c>
      <c r="CV91" s="111">
        <v>2</v>
      </c>
      <c r="CW91" s="111">
        <v>3</v>
      </c>
      <c r="CX91" s="111">
        <v>1</v>
      </c>
      <c r="CY91" s="111">
        <v>2</v>
      </c>
      <c r="CZ91" s="111">
        <v>1</v>
      </c>
      <c r="DA91" s="111">
        <v>1</v>
      </c>
      <c r="DB91" s="111">
        <v>2</v>
      </c>
      <c r="DC91" s="111">
        <v>1</v>
      </c>
      <c r="DD91" s="111">
        <v>1</v>
      </c>
      <c r="DE91" s="111">
        <v>2</v>
      </c>
      <c r="DF91" s="111">
        <v>2</v>
      </c>
      <c r="DG91" s="111">
        <v>2</v>
      </c>
      <c r="DH91" s="111">
        <v>1</v>
      </c>
      <c r="DI91" s="111">
        <v>2</v>
      </c>
      <c r="DJ91" s="111">
        <v>2</v>
      </c>
      <c r="DK91" s="111">
        <v>2</v>
      </c>
      <c r="DL91" s="170"/>
      <c r="DM91" s="211"/>
      <c r="DN91" s="170"/>
      <c r="DO91" s="170"/>
      <c r="DP91" s="170"/>
      <c r="DQ91" s="170"/>
      <c r="DR91" s="111">
        <v>1</v>
      </c>
      <c r="DS91" s="111">
        <v>1</v>
      </c>
      <c r="DT91" s="111" t="s">
        <v>1324</v>
      </c>
      <c r="DU91" s="111" t="s">
        <v>971</v>
      </c>
      <c r="DV91" s="111" t="s">
        <v>1269</v>
      </c>
      <c r="DW91" s="111" t="s">
        <v>1269</v>
      </c>
      <c r="DX91" s="167">
        <v>0</v>
      </c>
      <c r="DY91" s="111">
        <v>1</v>
      </c>
    </row>
    <row r="92" spans="1:130" ht="12" hidden="1" customHeight="1">
      <c r="A92" s="213" t="s">
        <v>926</v>
      </c>
      <c r="B92" s="214" t="s">
        <v>1564</v>
      </c>
      <c r="C92" s="111" t="s">
        <v>926</v>
      </c>
      <c r="D92" s="111" t="s">
        <v>1565</v>
      </c>
      <c r="E92" s="111" t="s">
        <v>926</v>
      </c>
      <c r="F92" s="111" t="s">
        <v>926</v>
      </c>
      <c r="G92" s="111" t="s">
        <v>1939</v>
      </c>
      <c r="H92" s="111" t="s">
        <v>1940</v>
      </c>
      <c r="I92" s="111" t="s">
        <v>1396</v>
      </c>
      <c r="J92" s="204" t="s">
        <v>1269</v>
      </c>
      <c r="K92" s="111" t="s">
        <v>926</v>
      </c>
      <c r="L92" s="111" t="s">
        <v>926</v>
      </c>
      <c r="M92" s="111" t="s">
        <v>926</v>
      </c>
      <c r="N92" s="111" t="s">
        <v>926</v>
      </c>
      <c r="O92" s="111" t="s">
        <v>926</v>
      </c>
      <c r="P92" s="111" t="s">
        <v>926</v>
      </c>
      <c r="Q92" s="111" t="s">
        <v>926</v>
      </c>
      <c r="R92" s="111" t="s">
        <v>926</v>
      </c>
      <c r="S92" s="111" t="s">
        <v>926</v>
      </c>
      <c r="T92" s="111" t="s">
        <v>926</v>
      </c>
      <c r="U92" s="111" t="s">
        <v>926</v>
      </c>
      <c r="V92" s="111" t="s">
        <v>926</v>
      </c>
      <c r="W92" s="111" t="s">
        <v>926</v>
      </c>
      <c r="X92" s="111" t="s">
        <v>926</v>
      </c>
      <c r="Y92" s="111" t="s">
        <v>926</v>
      </c>
      <c r="Z92" s="166" t="s">
        <v>926</v>
      </c>
      <c r="AA92" s="167" t="s">
        <v>926</v>
      </c>
      <c r="AB92" s="111" t="s">
        <v>926</v>
      </c>
      <c r="AC92" s="111" t="s">
        <v>926</v>
      </c>
      <c r="AD92" s="168" t="s">
        <v>926</v>
      </c>
      <c r="AE92" s="111" t="s">
        <v>926</v>
      </c>
      <c r="AF92" s="111" t="s">
        <v>926</v>
      </c>
      <c r="AG92" s="111" t="s">
        <v>926</v>
      </c>
      <c r="AH92" s="166" t="s">
        <v>926</v>
      </c>
      <c r="AI92" s="111" t="s">
        <v>926</v>
      </c>
      <c r="AJ92" s="111" t="s">
        <v>926</v>
      </c>
      <c r="AK92" s="111" t="s">
        <v>926</v>
      </c>
      <c r="AL92" s="111" t="s">
        <v>926</v>
      </c>
      <c r="AM92" s="111" t="s">
        <v>926</v>
      </c>
      <c r="AN92" s="111" t="s">
        <v>926</v>
      </c>
      <c r="AO92" s="111" t="s">
        <v>926</v>
      </c>
      <c r="AP92" s="111" t="s">
        <v>926</v>
      </c>
      <c r="AQ92" s="111" t="s">
        <v>926</v>
      </c>
      <c r="AR92" s="111" t="s">
        <v>926</v>
      </c>
      <c r="AS92" s="111" t="s">
        <v>926</v>
      </c>
      <c r="AT92" s="111" t="s">
        <v>926</v>
      </c>
      <c r="AU92" s="111" t="s">
        <v>926</v>
      </c>
      <c r="AV92" s="111" t="s">
        <v>926</v>
      </c>
      <c r="AW92" s="111" t="s">
        <v>926</v>
      </c>
      <c r="AX92" s="111" t="s">
        <v>926</v>
      </c>
      <c r="AY92" s="169" t="s">
        <v>926</v>
      </c>
      <c r="AZ92" s="169" t="s">
        <v>926</v>
      </c>
      <c r="BA92" s="166" t="s">
        <v>926</v>
      </c>
      <c r="BB92" s="166" t="s">
        <v>926</v>
      </c>
      <c r="BC92" s="169" t="s">
        <v>926</v>
      </c>
      <c r="BD92" s="166" t="s">
        <v>926</v>
      </c>
      <c r="BE92" s="166" t="s">
        <v>926</v>
      </c>
      <c r="BF92" s="169" t="s">
        <v>926</v>
      </c>
      <c r="BG92" s="166" t="s">
        <v>926</v>
      </c>
      <c r="BH92" s="166" t="s">
        <v>926</v>
      </c>
      <c r="BI92" s="111" t="s">
        <v>926</v>
      </c>
      <c r="BJ92" s="111" t="s">
        <v>926</v>
      </c>
      <c r="BK92" s="111" t="s">
        <v>926</v>
      </c>
      <c r="BL92" s="111" t="s">
        <v>926</v>
      </c>
      <c r="BM92" s="111" t="s">
        <v>926</v>
      </c>
      <c r="BN92" s="111" t="s">
        <v>926</v>
      </c>
      <c r="BO92" s="111" t="s">
        <v>926</v>
      </c>
      <c r="BP92" s="111" t="s">
        <v>926</v>
      </c>
      <c r="BQ92" s="111" t="s">
        <v>926</v>
      </c>
      <c r="BR92" s="111" t="s">
        <v>926</v>
      </c>
      <c r="BS92" s="111" t="s">
        <v>926</v>
      </c>
      <c r="BT92" s="111" t="s">
        <v>926</v>
      </c>
      <c r="BU92" s="111" t="s">
        <v>926</v>
      </c>
      <c r="BV92" s="111" t="s">
        <v>926</v>
      </c>
      <c r="BW92" s="2" t="s">
        <v>1182</v>
      </c>
      <c r="BX92" s="215" t="s">
        <v>926</v>
      </c>
      <c r="BY92" s="215" t="s">
        <v>926</v>
      </c>
      <c r="BZ92" s="215" t="s">
        <v>926</v>
      </c>
      <c r="CA92" s="215" t="s">
        <v>926</v>
      </c>
      <c r="CB92" s="215" t="s">
        <v>926</v>
      </c>
      <c r="CC92" s="215" t="s">
        <v>926</v>
      </c>
      <c r="CD92" s="215" t="s">
        <v>926</v>
      </c>
      <c r="CE92" s="2" t="s">
        <v>1182</v>
      </c>
      <c r="CF92" s="111"/>
      <c r="CG92" s="215" t="s">
        <v>926</v>
      </c>
      <c r="CH92" s="215" t="s">
        <v>926</v>
      </c>
      <c r="CI92" s="215" t="s">
        <v>926</v>
      </c>
      <c r="CJ92" s="215" t="s">
        <v>926</v>
      </c>
      <c r="CK92" s="215" t="s">
        <v>926</v>
      </c>
      <c r="CL92" s="111">
        <v>2</v>
      </c>
      <c r="CM92" s="111">
        <v>2</v>
      </c>
      <c r="CN92" s="111">
        <v>1</v>
      </c>
      <c r="CO92" s="111" t="s">
        <v>926</v>
      </c>
      <c r="CP92" s="111" t="s">
        <v>926</v>
      </c>
      <c r="CQ92" s="111" t="s">
        <v>926</v>
      </c>
      <c r="CR92" s="111" t="s">
        <v>926</v>
      </c>
      <c r="CS92" s="111" t="s">
        <v>926</v>
      </c>
      <c r="CT92" s="111" t="s">
        <v>926</v>
      </c>
      <c r="CU92" s="111" t="s">
        <v>926</v>
      </c>
      <c r="CV92" s="111" t="s">
        <v>926</v>
      </c>
      <c r="CW92" s="111" t="s">
        <v>926</v>
      </c>
      <c r="CX92" s="111" t="s">
        <v>926</v>
      </c>
      <c r="CY92" s="111" t="s">
        <v>926</v>
      </c>
      <c r="CZ92" s="111" t="s">
        <v>926</v>
      </c>
      <c r="DA92" s="111" t="s">
        <v>926</v>
      </c>
      <c r="DB92" s="111" t="s">
        <v>926</v>
      </c>
      <c r="DC92" s="111" t="s">
        <v>926</v>
      </c>
      <c r="DD92" s="111" t="s">
        <v>926</v>
      </c>
      <c r="DE92" s="111" t="s">
        <v>926</v>
      </c>
      <c r="DF92" s="111" t="s">
        <v>926</v>
      </c>
      <c r="DG92" s="111" t="s">
        <v>926</v>
      </c>
      <c r="DH92" s="111" t="s">
        <v>926</v>
      </c>
      <c r="DI92" s="111" t="s">
        <v>926</v>
      </c>
      <c r="DJ92" s="111" t="s">
        <v>926</v>
      </c>
      <c r="DK92" s="111" t="s">
        <v>926</v>
      </c>
      <c r="DL92" s="111" t="s">
        <v>926</v>
      </c>
      <c r="DM92" s="171" t="s">
        <v>926</v>
      </c>
      <c r="DN92" s="111" t="s">
        <v>926</v>
      </c>
      <c r="DO92" s="2" t="s">
        <v>926</v>
      </c>
      <c r="DP92" s="111" t="s">
        <v>926</v>
      </c>
      <c r="DQ92" s="111" t="s">
        <v>926</v>
      </c>
      <c r="DR92" s="111" t="s">
        <v>926</v>
      </c>
      <c r="DS92" s="111" t="s">
        <v>926</v>
      </c>
      <c r="DT92" s="111" t="s">
        <v>926</v>
      </c>
      <c r="DU92" s="111" t="s">
        <v>926</v>
      </c>
      <c r="DV92" s="111" t="s">
        <v>1269</v>
      </c>
      <c r="DW92" s="111" t="s">
        <v>1269</v>
      </c>
      <c r="DX92" s="167">
        <v>0.5</v>
      </c>
      <c r="DY92" s="204">
        <v>1</v>
      </c>
      <c r="DZ92" s="124"/>
    </row>
    <row r="93" spans="1:130" ht="12" hidden="1" customHeight="1">
      <c r="A93" s="213" t="s">
        <v>926</v>
      </c>
      <c r="B93" s="214" t="s">
        <v>1566</v>
      </c>
      <c r="C93" s="111" t="s">
        <v>926</v>
      </c>
      <c r="D93" s="111" t="s">
        <v>1565</v>
      </c>
      <c r="E93" s="111" t="s">
        <v>926</v>
      </c>
      <c r="F93" s="111" t="s">
        <v>926</v>
      </c>
      <c r="G93" s="111" t="s">
        <v>1941</v>
      </c>
      <c r="H93" s="111" t="s">
        <v>1942</v>
      </c>
      <c r="I93" s="210" t="s">
        <v>1943</v>
      </c>
      <c r="J93" s="204" t="s">
        <v>1148</v>
      </c>
      <c r="K93" s="111" t="s">
        <v>926</v>
      </c>
      <c r="L93" s="111" t="s">
        <v>926</v>
      </c>
      <c r="M93" s="111" t="s">
        <v>926</v>
      </c>
      <c r="N93" s="111" t="s">
        <v>926</v>
      </c>
      <c r="O93" s="111" t="s">
        <v>926</v>
      </c>
      <c r="P93" s="111" t="s">
        <v>926</v>
      </c>
      <c r="Q93" s="111" t="s">
        <v>926</v>
      </c>
      <c r="R93" s="111" t="s">
        <v>926</v>
      </c>
      <c r="S93" s="111" t="s">
        <v>926</v>
      </c>
      <c r="T93" s="111" t="s">
        <v>926</v>
      </c>
      <c r="U93" s="111" t="s">
        <v>926</v>
      </c>
      <c r="V93" s="111" t="s">
        <v>926</v>
      </c>
      <c r="W93" s="111" t="s">
        <v>926</v>
      </c>
      <c r="X93" s="111" t="s">
        <v>926</v>
      </c>
      <c r="Y93" s="111" t="s">
        <v>926</v>
      </c>
      <c r="Z93" s="166" t="s">
        <v>926</v>
      </c>
      <c r="AA93" s="167" t="s">
        <v>926</v>
      </c>
      <c r="AB93" s="111" t="s">
        <v>926</v>
      </c>
      <c r="AC93" s="111" t="s">
        <v>926</v>
      </c>
      <c r="AD93" s="168" t="s">
        <v>926</v>
      </c>
      <c r="AE93" s="111" t="s">
        <v>926</v>
      </c>
      <c r="AF93" s="111" t="s">
        <v>926</v>
      </c>
      <c r="AG93" s="111" t="s">
        <v>926</v>
      </c>
      <c r="AH93" s="166" t="s">
        <v>926</v>
      </c>
      <c r="AI93" s="111" t="s">
        <v>926</v>
      </c>
      <c r="AJ93" s="111" t="s">
        <v>926</v>
      </c>
      <c r="AK93" s="111" t="s">
        <v>926</v>
      </c>
      <c r="AL93" s="111" t="s">
        <v>926</v>
      </c>
      <c r="AM93" s="111" t="s">
        <v>926</v>
      </c>
      <c r="AN93" s="111" t="s">
        <v>926</v>
      </c>
      <c r="AO93" s="111" t="s">
        <v>926</v>
      </c>
      <c r="AP93" s="111" t="s">
        <v>926</v>
      </c>
      <c r="AQ93" s="111" t="s">
        <v>926</v>
      </c>
      <c r="AR93" s="111" t="s">
        <v>926</v>
      </c>
      <c r="AS93" s="111" t="s">
        <v>926</v>
      </c>
      <c r="AT93" s="111" t="s">
        <v>926</v>
      </c>
      <c r="AU93" s="111" t="s">
        <v>926</v>
      </c>
      <c r="AV93" s="111" t="s">
        <v>926</v>
      </c>
      <c r="AW93" s="111" t="s">
        <v>926</v>
      </c>
      <c r="AX93" s="111" t="s">
        <v>926</v>
      </c>
      <c r="AY93" s="169" t="s">
        <v>926</v>
      </c>
      <c r="AZ93" s="169" t="s">
        <v>926</v>
      </c>
      <c r="BA93" s="166" t="s">
        <v>926</v>
      </c>
      <c r="BB93" s="166" t="s">
        <v>926</v>
      </c>
      <c r="BC93" s="169" t="s">
        <v>926</v>
      </c>
      <c r="BD93" s="166" t="s">
        <v>926</v>
      </c>
      <c r="BE93" s="166" t="s">
        <v>926</v>
      </c>
      <c r="BF93" s="169" t="s">
        <v>926</v>
      </c>
      <c r="BG93" s="166" t="s">
        <v>926</v>
      </c>
      <c r="BH93" s="166" t="s">
        <v>926</v>
      </c>
      <c r="BI93" s="111" t="s">
        <v>926</v>
      </c>
      <c r="BJ93" s="111" t="s">
        <v>926</v>
      </c>
      <c r="BK93" s="111" t="s">
        <v>926</v>
      </c>
      <c r="BL93" s="111" t="s">
        <v>926</v>
      </c>
      <c r="BM93" s="111" t="s">
        <v>926</v>
      </c>
      <c r="BN93" s="111" t="s">
        <v>926</v>
      </c>
      <c r="BO93" s="111" t="s">
        <v>926</v>
      </c>
      <c r="BP93" s="111" t="s">
        <v>926</v>
      </c>
      <c r="BQ93" s="111" t="s">
        <v>926</v>
      </c>
      <c r="BR93" s="111" t="s">
        <v>926</v>
      </c>
      <c r="BS93" s="111" t="s">
        <v>926</v>
      </c>
      <c r="BT93" s="111" t="s">
        <v>926</v>
      </c>
      <c r="BU93" s="111" t="s">
        <v>926</v>
      </c>
      <c r="BV93" s="111" t="s">
        <v>926</v>
      </c>
      <c r="BW93" s="2" t="s">
        <v>1182</v>
      </c>
      <c r="BX93" s="215" t="s">
        <v>926</v>
      </c>
      <c r="BY93" s="215" t="s">
        <v>926</v>
      </c>
      <c r="BZ93" s="215" t="s">
        <v>926</v>
      </c>
      <c r="CA93" s="215" t="s">
        <v>926</v>
      </c>
      <c r="CB93" s="215" t="s">
        <v>926</v>
      </c>
      <c r="CC93" s="215" t="s">
        <v>926</v>
      </c>
      <c r="CD93" s="215" t="s">
        <v>926</v>
      </c>
      <c r="CE93" s="2" t="s">
        <v>1182</v>
      </c>
      <c r="CF93" s="111"/>
      <c r="CG93" s="215" t="s">
        <v>926</v>
      </c>
      <c r="CH93" s="215" t="s">
        <v>926</v>
      </c>
      <c r="CI93" s="215" t="s">
        <v>926</v>
      </c>
      <c r="CJ93" s="215" t="s">
        <v>926</v>
      </c>
      <c r="CK93" s="215" t="s">
        <v>926</v>
      </c>
      <c r="CL93" s="111">
        <v>2</v>
      </c>
      <c r="CM93" s="111">
        <v>2</v>
      </c>
      <c r="CN93" s="111">
        <v>1</v>
      </c>
      <c r="CO93" s="111" t="s">
        <v>926</v>
      </c>
      <c r="CP93" s="111" t="s">
        <v>926</v>
      </c>
      <c r="CQ93" s="111" t="s">
        <v>926</v>
      </c>
      <c r="CR93" s="111" t="s">
        <v>926</v>
      </c>
      <c r="CS93" s="111" t="s">
        <v>926</v>
      </c>
      <c r="CT93" s="111" t="s">
        <v>926</v>
      </c>
      <c r="CU93" s="111" t="s">
        <v>926</v>
      </c>
      <c r="CV93" s="111" t="s">
        <v>926</v>
      </c>
      <c r="CW93" s="111" t="s">
        <v>926</v>
      </c>
      <c r="CX93" s="111" t="s">
        <v>926</v>
      </c>
      <c r="CY93" s="111" t="s">
        <v>926</v>
      </c>
      <c r="CZ93" s="111" t="s">
        <v>926</v>
      </c>
      <c r="DA93" s="111" t="s">
        <v>926</v>
      </c>
      <c r="DB93" s="111" t="s">
        <v>926</v>
      </c>
      <c r="DC93" s="111" t="s">
        <v>926</v>
      </c>
      <c r="DD93" s="111" t="s">
        <v>926</v>
      </c>
      <c r="DE93" s="111" t="s">
        <v>926</v>
      </c>
      <c r="DF93" s="111" t="s">
        <v>926</v>
      </c>
      <c r="DG93" s="111" t="s">
        <v>926</v>
      </c>
      <c r="DH93" s="111" t="s">
        <v>926</v>
      </c>
      <c r="DI93" s="111" t="s">
        <v>926</v>
      </c>
      <c r="DJ93" s="111" t="s">
        <v>926</v>
      </c>
      <c r="DK93" s="111" t="s">
        <v>926</v>
      </c>
      <c r="DL93" s="111" t="s">
        <v>926</v>
      </c>
      <c r="DM93" s="171" t="s">
        <v>926</v>
      </c>
      <c r="DN93" s="111" t="s">
        <v>926</v>
      </c>
      <c r="DO93" s="2" t="s">
        <v>926</v>
      </c>
      <c r="DP93" s="111" t="s">
        <v>926</v>
      </c>
      <c r="DQ93" s="111" t="s">
        <v>926</v>
      </c>
      <c r="DR93" s="111" t="s">
        <v>926</v>
      </c>
      <c r="DS93" s="111" t="s">
        <v>926</v>
      </c>
      <c r="DT93" s="111" t="s">
        <v>926</v>
      </c>
      <c r="DU93" s="111" t="s">
        <v>926</v>
      </c>
      <c r="DV93" s="111" t="s">
        <v>1148</v>
      </c>
      <c r="DW93" s="111" t="s">
        <v>1148</v>
      </c>
      <c r="DX93" s="167">
        <v>0.5</v>
      </c>
      <c r="DY93" s="204">
        <v>1</v>
      </c>
      <c r="DZ93" s="124"/>
    </row>
    <row r="94" spans="1:130" ht="12" hidden="1" customHeight="1">
      <c r="A94" s="165">
        <v>45959</v>
      </c>
      <c r="B94" s="101" t="s">
        <v>1567</v>
      </c>
      <c r="C94" s="111" t="s">
        <v>926</v>
      </c>
      <c r="D94" s="111" t="s">
        <v>1290</v>
      </c>
      <c r="E94" s="111" t="s">
        <v>1522</v>
      </c>
      <c r="F94" s="111" t="s">
        <v>926</v>
      </c>
      <c r="G94" s="204" t="s">
        <v>1944</v>
      </c>
      <c r="H94" s="204" t="s">
        <v>1945</v>
      </c>
      <c r="I94" s="204" t="s">
        <v>1666</v>
      </c>
      <c r="J94" s="204" t="s">
        <v>1148</v>
      </c>
      <c r="K94" s="111">
        <v>4</v>
      </c>
      <c r="L94" s="111">
        <v>3</v>
      </c>
      <c r="M94" s="111">
        <v>2</v>
      </c>
      <c r="N94" s="111">
        <v>1</v>
      </c>
      <c r="O94" s="111">
        <v>2</v>
      </c>
      <c r="P94" s="111">
        <v>1</v>
      </c>
      <c r="Q94" s="111">
        <v>2</v>
      </c>
      <c r="R94" s="111">
        <v>2</v>
      </c>
      <c r="S94" s="111">
        <v>1</v>
      </c>
      <c r="T94" s="111">
        <v>4</v>
      </c>
      <c r="U94" s="111">
        <v>2</v>
      </c>
      <c r="V94" s="111">
        <v>2</v>
      </c>
      <c r="W94" s="111">
        <v>2</v>
      </c>
      <c r="X94" s="111">
        <v>1</v>
      </c>
      <c r="Y94" s="111">
        <v>2</v>
      </c>
      <c r="Z94" s="166">
        <v>111634</v>
      </c>
      <c r="AA94" s="167">
        <v>0.111634</v>
      </c>
      <c r="AB94" s="111">
        <v>2</v>
      </c>
      <c r="AC94" s="111">
        <v>3</v>
      </c>
      <c r="AD94" s="168">
        <v>1</v>
      </c>
      <c r="AE94" s="111">
        <v>1</v>
      </c>
      <c r="AF94" s="111">
        <v>1</v>
      </c>
      <c r="AG94" s="111">
        <v>1</v>
      </c>
      <c r="AH94" s="166">
        <v>1</v>
      </c>
      <c r="AI94" s="111">
        <v>1</v>
      </c>
      <c r="AJ94" s="111">
        <v>1</v>
      </c>
      <c r="AK94" s="111">
        <v>1</v>
      </c>
      <c r="AL94" s="111">
        <v>1</v>
      </c>
      <c r="AM94" s="111">
        <v>4</v>
      </c>
      <c r="AN94" s="111">
        <v>1</v>
      </c>
      <c r="AO94" s="111">
        <v>1</v>
      </c>
      <c r="AP94" s="111">
        <v>1</v>
      </c>
      <c r="AQ94" s="111">
        <v>1</v>
      </c>
      <c r="AR94" s="111">
        <v>1</v>
      </c>
      <c r="AS94" s="111">
        <v>1</v>
      </c>
      <c r="AT94" s="111">
        <v>1</v>
      </c>
      <c r="AU94" s="111">
        <v>1</v>
      </c>
      <c r="AV94" s="111">
        <v>1</v>
      </c>
      <c r="AW94" s="111">
        <v>1</v>
      </c>
      <c r="AX94" s="111" t="s">
        <v>926</v>
      </c>
      <c r="AY94" s="169">
        <v>1.37</v>
      </c>
      <c r="AZ94" s="169">
        <v>1.38</v>
      </c>
      <c r="BA94" s="166">
        <v>4982</v>
      </c>
      <c r="BB94" s="166">
        <v>1274</v>
      </c>
      <c r="BC94" s="169">
        <v>0</v>
      </c>
      <c r="BD94" s="166">
        <v>0</v>
      </c>
      <c r="BE94" s="166">
        <v>0</v>
      </c>
      <c r="BF94" s="169">
        <v>0</v>
      </c>
      <c r="BG94" s="166">
        <v>0</v>
      </c>
      <c r="BH94" s="166">
        <v>0</v>
      </c>
      <c r="BI94" s="111" t="s">
        <v>926</v>
      </c>
      <c r="BJ94" s="111">
        <v>1</v>
      </c>
      <c r="BK94" s="111">
        <v>1</v>
      </c>
      <c r="BL94" s="111">
        <v>1</v>
      </c>
      <c r="BM94" s="111">
        <v>1</v>
      </c>
      <c r="BN94" s="111">
        <v>1</v>
      </c>
      <c r="BO94" s="111" t="s">
        <v>1523</v>
      </c>
      <c r="BP94" s="111" t="s">
        <v>1861</v>
      </c>
      <c r="BQ94" s="111" t="s">
        <v>926</v>
      </c>
      <c r="BR94" s="111" t="s">
        <v>926</v>
      </c>
      <c r="BS94" s="111" t="s">
        <v>926</v>
      </c>
      <c r="BT94" s="111" t="s">
        <v>926</v>
      </c>
      <c r="BU94" s="111" t="s">
        <v>926</v>
      </c>
      <c r="BV94" s="111">
        <v>1</v>
      </c>
      <c r="BW94" s="2" t="s">
        <v>1182</v>
      </c>
      <c r="BX94" s="2" t="s">
        <v>1568</v>
      </c>
      <c r="BY94" s="2" t="s">
        <v>1569</v>
      </c>
      <c r="BZ94" s="2" t="s">
        <v>1570</v>
      </c>
      <c r="CA94" s="2" t="s">
        <v>1571</v>
      </c>
      <c r="CB94" s="2" t="s">
        <v>1572</v>
      </c>
      <c r="CC94" s="2" t="s">
        <v>1137</v>
      </c>
      <c r="CD94" s="2" t="s">
        <v>1167</v>
      </c>
      <c r="CE94" s="2" t="s">
        <v>1182</v>
      </c>
      <c r="CF94" s="111" t="s">
        <v>1183</v>
      </c>
      <c r="CG94" s="111" t="s">
        <v>1573</v>
      </c>
      <c r="CH94" s="111" t="s">
        <v>1946</v>
      </c>
      <c r="CI94" s="111">
        <v>26200.6901</v>
      </c>
      <c r="CJ94" s="111" t="s">
        <v>1574</v>
      </c>
      <c r="CK94" s="2" t="s">
        <v>1575</v>
      </c>
      <c r="CL94" s="111">
        <v>1</v>
      </c>
      <c r="CM94" s="111">
        <v>1</v>
      </c>
      <c r="CN94" s="111">
        <v>1</v>
      </c>
      <c r="CO94" s="111" t="s">
        <v>926</v>
      </c>
      <c r="CP94" s="111">
        <v>2</v>
      </c>
      <c r="CQ94" s="111">
        <v>1</v>
      </c>
      <c r="CR94" s="111">
        <v>1</v>
      </c>
      <c r="CS94" s="111">
        <v>1</v>
      </c>
      <c r="CT94" s="111">
        <v>1</v>
      </c>
      <c r="CU94" s="111">
        <v>1</v>
      </c>
      <c r="CV94" s="111">
        <v>2</v>
      </c>
      <c r="CW94" s="111">
        <v>2</v>
      </c>
      <c r="CX94" s="111">
        <v>1</v>
      </c>
      <c r="CY94" s="111">
        <v>1</v>
      </c>
      <c r="CZ94" s="111">
        <v>1</v>
      </c>
      <c r="DA94" s="111">
        <v>2</v>
      </c>
      <c r="DB94" s="111">
        <v>1</v>
      </c>
      <c r="DC94" s="111">
        <v>1</v>
      </c>
      <c r="DD94" s="111">
        <v>1</v>
      </c>
      <c r="DE94" s="111">
        <v>2</v>
      </c>
      <c r="DF94" s="111">
        <v>2</v>
      </c>
      <c r="DG94" s="111">
        <v>2</v>
      </c>
      <c r="DH94" s="111">
        <v>1</v>
      </c>
      <c r="DI94" s="111">
        <v>2</v>
      </c>
      <c r="DJ94" s="111">
        <v>2</v>
      </c>
      <c r="DK94" s="111">
        <v>2</v>
      </c>
      <c r="DL94" s="111" t="s">
        <v>937</v>
      </c>
      <c r="DM94" s="171" t="s">
        <v>926</v>
      </c>
      <c r="DN94" s="111" t="s">
        <v>1576</v>
      </c>
      <c r="DO94" s="2" t="s">
        <v>926</v>
      </c>
      <c r="DP94" s="111" t="s">
        <v>926</v>
      </c>
      <c r="DQ94" s="111" t="s">
        <v>926</v>
      </c>
      <c r="DR94" s="111">
        <v>1</v>
      </c>
      <c r="DS94" s="111">
        <v>1</v>
      </c>
      <c r="DT94" s="111" t="s">
        <v>1147</v>
      </c>
      <c r="DU94" s="111" t="s">
        <v>941</v>
      </c>
      <c r="DV94" s="111" t="s">
        <v>1148</v>
      </c>
      <c r="DW94" s="111" t="s">
        <v>1148</v>
      </c>
      <c r="DX94" s="167">
        <v>0.5</v>
      </c>
      <c r="DY94" s="204">
        <v>1</v>
      </c>
      <c r="DZ94" s="124"/>
    </row>
    <row r="95" spans="1:130" ht="12" hidden="1" customHeight="1">
      <c r="A95" s="165">
        <v>45965</v>
      </c>
      <c r="B95" s="101" t="s">
        <v>1577</v>
      </c>
      <c r="C95" s="111" t="s">
        <v>926</v>
      </c>
      <c r="D95" s="111" t="s">
        <v>1578</v>
      </c>
      <c r="E95" s="111" t="s">
        <v>127</v>
      </c>
      <c r="F95" s="111" t="s">
        <v>926</v>
      </c>
      <c r="G95" s="204" t="s">
        <v>1947</v>
      </c>
      <c r="H95" s="204" t="s">
        <v>1948</v>
      </c>
      <c r="I95" s="204" t="s">
        <v>1666</v>
      </c>
      <c r="J95" s="111" t="s">
        <v>1269</v>
      </c>
      <c r="K95" s="111">
        <v>4</v>
      </c>
      <c r="L95" s="111">
        <v>4</v>
      </c>
      <c r="M95" s="111">
        <v>2</v>
      </c>
      <c r="N95" s="111">
        <v>2</v>
      </c>
      <c r="O95" s="111">
        <v>3</v>
      </c>
      <c r="P95" s="111">
        <v>3</v>
      </c>
      <c r="Q95" s="111">
        <v>2</v>
      </c>
      <c r="R95" s="111">
        <v>2</v>
      </c>
      <c r="S95" s="111">
        <v>2</v>
      </c>
      <c r="T95" s="111">
        <v>1</v>
      </c>
      <c r="U95" s="111">
        <v>2</v>
      </c>
      <c r="V95" s="111">
        <v>1</v>
      </c>
      <c r="W95" s="111">
        <v>2</v>
      </c>
      <c r="X95" s="111">
        <v>2</v>
      </c>
      <c r="Y95" s="111">
        <v>1</v>
      </c>
      <c r="Z95" s="166">
        <v>470</v>
      </c>
      <c r="AA95" s="167">
        <v>4.6999999999999999E-4</v>
      </c>
      <c r="AB95" s="111">
        <v>4</v>
      </c>
      <c r="AC95" s="111">
        <v>3</v>
      </c>
      <c r="AD95" s="168">
        <v>1</v>
      </c>
      <c r="AE95" s="111">
        <v>1</v>
      </c>
      <c r="AF95" s="111">
        <v>1</v>
      </c>
      <c r="AG95" s="111">
        <v>1</v>
      </c>
      <c r="AH95" s="111">
        <v>1</v>
      </c>
      <c r="AI95" s="111">
        <v>2</v>
      </c>
      <c r="AJ95" s="111">
        <v>1</v>
      </c>
      <c r="AK95" s="111">
        <v>1</v>
      </c>
      <c r="AL95" s="111">
        <v>1</v>
      </c>
      <c r="AM95" s="111">
        <v>4</v>
      </c>
      <c r="AN95" s="111">
        <v>1</v>
      </c>
      <c r="AO95" s="111">
        <v>1</v>
      </c>
      <c r="AP95" s="111">
        <v>1</v>
      </c>
      <c r="AQ95" s="111">
        <v>1</v>
      </c>
      <c r="AR95" s="111">
        <v>1</v>
      </c>
      <c r="AS95" s="111">
        <v>1</v>
      </c>
      <c r="AT95" s="111">
        <v>3</v>
      </c>
      <c r="AU95" s="111">
        <v>1</v>
      </c>
      <c r="AV95" s="111">
        <v>1</v>
      </c>
      <c r="AW95" s="111">
        <v>1</v>
      </c>
      <c r="AX95" s="111" t="s">
        <v>926</v>
      </c>
      <c r="AY95" s="169">
        <v>9.1500000000000001E-3</v>
      </c>
      <c r="AZ95" s="169">
        <v>0.01</v>
      </c>
      <c r="BA95" s="166">
        <v>21</v>
      </c>
      <c r="BB95" s="166">
        <v>1</v>
      </c>
      <c r="BC95" s="169">
        <v>23.8</v>
      </c>
      <c r="BD95" s="166">
        <v>35056</v>
      </c>
      <c r="BE95" s="166">
        <v>2445</v>
      </c>
      <c r="BF95" s="169">
        <v>3.82</v>
      </c>
      <c r="BG95" s="166">
        <v>13381</v>
      </c>
      <c r="BH95" s="166">
        <v>1565</v>
      </c>
      <c r="BI95" s="111" t="s">
        <v>926</v>
      </c>
      <c r="BJ95" s="111">
        <v>1</v>
      </c>
      <c r="BK95" s="111">
        <v>2</v>
      </c>
      <c r="BL95" s="111">
        <v>1</v>
      </c>
      <c r="BM95" s="111">
        <v>1</v>
      </c>
      <c r="BN95" s="111">
        <v>1</v>
      </c>
      <c r="BO95" s="111" t="s">
        <v>926</v>
      </c>
      <c r="BP95" s="111" t="s">
        <v>926</v>
      </c>
      <c r="BQ95" s="111" t="s">
        <v>926</v>
      </c>
      <c r="BR95" s="111" t="s">
        <v>926</v>
      </c>
      <c r="BS95" s="111" t="s">
        <v>926</v>
      </c>
      <c r="BT95" s="111" t="s">
        <v>926</v>
      </c>
      <c r="BU95" s="111" t="s">
        <v>926</v>
      </c>
      <c r="BV95" s="111">
        <v>1</v>
      </c>
      <c r="BW95" s="2" t="s">
        <v>1182</v>
      </c>
      <c r="BX95" s="2" t="s">
        <v>1514</v>
      </c>
      <c r="BY95" s="2" t="s">
        <v>1579</v>
      </c>
      <c r="BZ95" s="2" t="s">
        <v>1466</v>
      </c>
      <c r="CA95" s="2" t="s">
        <v>1515</v>
      </c>
      <c r="CB95" s="2" t="s">
        <v>1516</v>
      </c>
      <c r="CC95" s="2" t="s">
        <v>1137</v>
      </c>
      <c r="CD95" s="2" t="s">
        <v>1167</v>
      </c>
      <c r="CE95" s="2" t="s">
        <v>1182</v>
      </c>
      <c r="CF95" s="111" t="s">
        <v>1183</v>
      </c>
      <c r="CG95" s="111" t="s">
        <v>1184</v>
      </c>
      <c r="CH95" s="111" t="s">
        <v>1580</v>
      </c>
      <c r="CI95" s="111">
        <v>26100.689900000001</v>
      </c>
      <c r="CJ95" s="111">
        <v>71890591</v>
      </c>
      <c r="CK95" s="2" t="s">
        <v>1575</v>
      </c>
      <c r="CL95" s="111">
        <v>1</v>
      </c>
      <c r="CM95" s="111">
        <v>1</v>
      </c>
      <c r="CN95" s="111">
        <v>1</v>
      </c>
      <c r="CO95" s="111" t="s">
        <v>926</v>
      </c>
      <c r="CP95" s="111">
        <v>1</v>
      </c>
      <c r="CQ95" s="111">
        <v>1</v>
      </c>
      <c r="CR95" s="111">
        <v>1</v>
      </c>
      <c r="CS95" s="111">
        <v>1</v>
      </c>
      <c r="CT95" s="111">
        <v>4</v>
      </c>
      <c r="CU95" s="111">
        <v>2</v>
      </c>
      <c r="CV95" s="111">
        <v>2</v>
      </c>
      <c r="CW95" s="111">
        <v>3</v>
      </c>
      <c r="CX95" s="111">
        <v>1</v>
      </c>
      <c r="CY95" s="111">
        <v>1</v>
      </c>
      <c r="CZ95" s="111">
        <v>1</v>
      </c>
      <c r="DA95" s="111">
        <v>2</v>
      </c>
      <c r="DB95" s="111">
        <v>2</v>
      </c>
      <c r="DC95" s="111">
        <v>1</v>
      </c>
      <c r="DD95" s="111">
        <v>1</v>
      </c>
      <c r="DE95" s="111">
        <v>2</v>
      </c>
      <c r="DF95" s="111">
        <v>3</v>
      </c>
      <c r="DG95" s="111">
        <v>2</v>
      </c>
      <c r="DH95" s="111">
        <v>1</v>
      </c>
      <c r="DI95" s="111">
        <v>2</v>
      </c>
      <c r="DJ95" s="111">
        <v>2</v>
      </c>
      <c r="DK95" s="111">
        <v>2</v>
      </c>
      <c r="DL95" s="111" t="s">
        <v>1581</v>
      </c>
      <c r="DM95" s="171" t="s">
        <v>926</v>
      </c>
      <c r="DN95" s="111" t="s">
        <v>1576</v>
      </c>
      <c r="DO95" s="2" t="s">
        <v>926</v>
      </c>
      <c r="DP95" s="111" t="s">
        <v>926</v>
      </c>
      <c r="DQ95" s="111" t="s">
        <v>926</v>
      </c>
      <c r="DR95" s="111">
        <v>1</v>
      </c>
      <c r="DS95" s="111">
        <v>1</v>
      </c>
      <c r="DT95" s="111" t="s">
        <v>1582</v>
      </c>
      <c r="DU95" s="111" t="s">
        <v>1583</v>
      </c>
      <c r="DV95" s="111" t="s">
        <v>1269</v>
      </c>
      <c r="DW95" s="111" t="s">
        <v>1269</v>
      </c>
      <c r="DX95" s="167">
        <v>0.5</v>
      </c>
      <c r="DY95" s="111">
        <v>1</v>
      </c>
      <c r="DZ95" s="124" t="s">
        <v>1949</v>
      </c>
    </row>
    <row r="96" spans="1:130" ht="12" hidden="1" customHeight="1">
      <c r="A96" s="165">
        <v>45959</v>
      </c>
      <c r="B96" s="101" t="s">
        <v>1584</v>
      </c>
      <c r="C96" s="111" t="s">
        <v>926</v>
      </c>
      <c r="D96" s="111" t="s">
        <v>1455</v>
      </c>
      <c r="E96" s="111" t="s">
        <v>1456</v>
      </c>
      <c r="F96" s="111" t="s">
        <v>926</v>
      </c>
      <c r="G96" s="204" t="s">
        <v>1950</v>
      </c>
      <c r="H96" s="204" t="s">
        <v>1951</v>
      </c>
      <c r="I96" s="204" t="s">
        <v>1396</v>
      </c>
      <c r="J96" s="111" t="s">
        <v>1269</v>
      </c>
      <c r="K96" s="111">
        <v>4</v>
      </c>
      <c r="L96" s="111">
        <v>2</v>
      </c>
      <c r="M96" s="111">
        <v>2</v>
      </c>
      <c r="N96" s="111">
        <v>2</v>
      </c>
      <c r="O96" s="111">
        <v>3</v>
      </c>
      <c r="P96" s="111">
        <v>1</v>
      </c>
      <c r="Q96" s="111">
        <v>3</v>
      </c>
      <c r="R96" s="111">
        <v>1</v>
      </c>
      <c r="S96" s="111">
        <v>2</v>
      </c>
      <c r="T96" s="111">
        <v>4</v>
      </c>
      <c r="U96" s="111">
        <v>1</v>
      </c>
      <c r="V96" s="111">
        <v>2</v>
      </c>
      <c r="W96" s="111">
        <v>2</v>
      </c>
      <c r="X96" s="111">
        <v>2</v>
      </c>
      <c r="Y96" s="111">
        <v>2</v>
      </c>
      <c r="Z96" s="166">
        <v>169649</v>
      </c>
      <c r="AA96" s="167">
        <v>0.16964899999999999</v>
      </c>
      <c r="AB96" s="111">
        <v>4</v>
      </c>
      <c r="AC96" s="111">
        <v>3</v>
      </c>
      <c r="AD96" s="168">
        <v>1</v>
      </c>
      <c r="AE96" s="111">
        <v>2</v>
      </c>
      <c r="AF96" s="111">
        <v>1</v>
      </c>
      <c r="AG96" s="111">
        <v>1</v>
      </c>
      <c r="AH96" s="111">
        <v>1</v>
      </c>
      <c r="AI96" s="111">
        <v>1</v>
      </c>
      <c r="AJ96" s="111">
        <v>1</v>
      </c>
      <c r="AK96" s="111">
        <v>1</v>
      </c>
      <c r="AL96" s="111">
        <v>1</v>
      </c>
      <c r="AM96" s="111">
        <v>3</v>
      </c>
      <c r="AN96" s="111">
        <v>1</v>
      </c>
      <c r="AO96" s="111">
        <v>1</v>
      </c>
      <c r="AP96" s="111">
        <v>1</v>
      </c>
      <c r="AQ96" s="111">
        <v>1</v>
      </c>
      <c r="AR96" s="111">
        <v>1</v>
      </c>
      <c r="AS96" s="111">
        <v>2</v>
      </c>
      <c r="AT96" s="111">
        <v>1</v>
      </c>
      <c r="AU96" s="111">
        <v>1</v>
      </c>
      <c r="AV96" s="111">
        <v>1</v>
      </c>
      <c r="AW96" s="111">
        <v>1</v>
      </c>
      <c r="AX96" s="111" t="s">
        <v>926</v>
      </c>
      <c r="AY96" s="169">
        <v>1.08</v>
      </c>
      <c r="AZ96" s="169">
        <v>1.0900000000000001</v>
      </c>
      <c r="BA96" s="166">
        <v>5735</v>
      </c>
      <c r="BB96" s="166">
        <v>1539</v>
      </c>
      <c r="BC96" s="169">
        <v>0</v>
      </c>
      <c r="BD96" s="166">
        <v>0</v>
      </c>
      <c r="BE96" s="166">
        <v>0</v>
      </c>
      <c r="BF96" s="169">
        <v>0.56000000000000005</v>
      </c>
      <c r="BG96" s="166">
        <v>89</v>
      </c>
      <c r="BH96" s="166">
        <v>21</v>
      </c>
      <c r="BI96" s="111" t="s">
        <v>926</v>
      </c>
      <c r="BJ96" s="111">
        <v>1</v>
      </c>
      <c r="BK96" s="111">
        <v>2</v>
      </c>
      <c r="BL96" s="111">
        <v>1</v>
      </c>
      <c r="BM96" s="111">
        <v>1</v>
      </c>
      <c r="BN96" s="111">
        <v>1</v>
      </c>
      <c r="BO96" s="111" t="s">
        <v>926</v>
      </c>
      <c r="BP96" s="111" t="s">
        <v>926</v>
      </c>
      <c r="BQ96" s="111" t="s">
        <v>926</v>
      </c>
      <c r="BR96" s="111" t="s">
        <v>926</v>
      </c>
      <c r="BS96" s="111" t="s">
        <v>926</v>
      </c>
      <c r="BT96" s="111" t="s">
        <v>926</v>
      </c>
      <c r="BU96" s="111" t="s">
        <v>926</v>
      </c>
      <c r="BV96" s="111">
        <v>1</v>
      </c>
      <c r="BW96" s="2" t="s">
        <v>1182</v>
      </c>
      <c r="BX96" s="2" t="s">
        <v>1585</v>
      </c>
      <c r="BY96" s="2" t="s">
        <v>1586</v>
      </c>
      <c r="BZ96" s="2" t="s">
        <v>1587</v>
      </c>
      <c r="CA96" s="2" t="s">
        <v>1588</v>
      </c>
      <c r="CB96" s="2" t="s">
        <v>1589</v>
      </c>
      <c r="CC96" s="2" t="s">
        <v>1137</v>
      </c>
      <c r="CD96" s="2" t="s">
        <v>1167</v>
      </c>
      <c r="CE96" s="2" t="s">
        <v>1182</v>
      </c>
      <c r="CF96" s="111" t="s">
        <v>1183</v>
      </c>
      <c r="CG96" s="111" t="s">
        <v>1184</v>
      </c>
      <c r="CH96" s="111" t="s">
        <v>1590</v>
      </c>
      <c r="CI96" s="111">
        <v>26100.689900000001</v>
      </c>
      <c r="CJ96" s="111" t="s">
        <v>1591</v>
      </c>
      <c r="CK96" s="2" t="s">
        <v>1575</v>
      </c>
      <c r="CL96" s="111">
        <v>1</v>
      </c>
      <c r="CM96" s="111">
        <v>1</v>
      </c>
      <c r="CN96" s="111">
        <v>1</v>
      </c>
      <c r="CO96" s="111" t="s">
        <v>926</v>
      </c>
      <c r="CP96" s="111">
        <v>1</v>
      </c>
      <c r="CQ96" s="111">
        <v>1</v>
      </c>
      <c r="CR96" s="111">
        <v>1</v>
      </c>
      <c r="CS96" s="111">
        <v>1</v>
      </c>
      <c r="CT96" s="111">
        <v>1</v>
      </c>
      <c r="CU96" s="111">
        <v>1</v>
      </c>
      <c r="CV96" s="111">
        <v>1</v>
      </c>
      <c r="CW96" s="111">
        <v>2</v>
      </c>
      <c r="CX96" s="111">
        <v>1</v>
      </c>
      <c r="CY96" s="111">
        <v>1</v>
      </c>
      <c r="CZ96" s="111">
        <v>2</v>
      </c>
      <c r="DA96" s="111">
        <v>1</v>
      </c>
      <c r="DB96" s="111">
        <v>1</v>
      </c>
      <c r="DC96" s="111">
        <v>1</v>
      </c>
      <c r="DD96" s="111">
        <v>1</v>
      </c>
      <c r="DE96" s="111">
        <v>1</v>
      </c>
      <c r="DF96" s="111">
        <v>1</v>
      </c>
      <c r="DG96" s="111">
        <v>1</v>
      </c>
      <c r="DH96" s="111">
        <v>1</v>
      </c>
      <c r="DI96" s="111">
        <v>1</v>
      </c>
      <c r="DJ96" s="111">
        <v>1</v>
      </c>
      <c r="DK96" s="111">
        <v>1</v>
      </c>
      <c r="DL96" s="111" t="s">
        <v>1581</v>
      </c>
      <c r="DM96" s="171" t="s">
        <v>926</v>
      </c>
      <c r="DN96" s="111" t="s">
        <v>1576</v>
      </c>
      <c r="DO96" s="2" t="s">
        <v>926</v>
      </c>
      <c r="DP96" s="111" t="s">
        <v>926</v>
      </c>
      <c r="DQ96" s="111" t="s">
        <v>926</v>
      </c>
      <c r="DR96" s="111">
        <v>1</v>
      </c>
      <c r="DS96" s="111">
        <v>1</v>
      </c>
      <c r="DT96" s="111" t="s">
        <v>1147</v>
      </c>
      <c r="DU96" s="111" t="s">
        <v>941</v>
      </c>
      <c r="DV96" s="111" t="s">
        <v>1269</v>
      </c>
      <c r="DW96" s="111" t="s">
        <v>1269</v>
      </c>
      <c r="DX96" s="167">
        <v>0.5</v>
      </c>
      <c r="DY96" s="111">
        <v>1</v>
      </c>
      <c r="DZ96" s="124" t="s">
        <v>1592</v>
      </c>
    </row>
    <row r="97" spans="1:130" ht="12" hidden="1" customHeight="1">
      <c r="A97" s="165">
        <v>45965</v>
      </c>
      <c r="B97" s="101" t="s">
        <v>1593</v>
      </c>
      <c r="C97" s="111" t="s">
        <v>926</v>
      </c>
      <c r="D97" s="111" t="s">
        <v>1455</v>
      </c>
      <c r="E97" s="111" t="s">
        <v>1456</v>
      </c>
      <c r="F97" s="111" t="s">
        <v>926</v>
      </c>
      <c r="G97" s="204" t="s">
        <v>1952</v>
      </c>
      <c r="H97" s="204" t="s">
        <v>1953</v>
      </c>
      <c r="I97" s="216" t="s">
        <v>1943</v>
      </c>
      <c r="J97" s="111" t="s">
        <v>1269</v>
      </c>
      <c r="K97" s="111">
        <v>4</v>
      </c>
      <c r="L97" s="111">
        <v>3</v>
      </c>
      <c r="M97" s="111">
        <v>2</v>
      </c>
      <c r="N97" s="111">
        <v>1</v>
      </c>
      <c r="O97" s="111">
        <v>2</v>
      </c>
      <c r="P97" s="111">
        <v>3</v>
      </c>
      <c r="Q97" s="111">
        <v>3</v>
      </c>
      <c r="R97" s="111">
        <v>2</v>
      </c>
      <c r="S97" s="111">
        <v>2</v>
      </c>
      <c r="T97" s="111">
        <v>1</v>
      </c>
      <c r="U97" s="111">
        <v>1</v>
      </c>
      <c r="V97" s="111">
        <v>1</v>
      </c>
      <c r="W97" s="111">
        <v>1</v>
      </c>
      <c r="X97" s="111">
        <v>1</v>
      </c>
      <c r="Y97" s="111">
        <v>2</v>
      </c>
      <c r="Z97" s="166">
        <v>274817</v>
      </c>
      <c r="AA97" s="167">
        <v>0.27481699999999998</v>
      </c>
      <c r="AB97" s="111">
        <v>4</v>
      </c>
      <c r="AC97" s="111">
        <v>3</v>
      </c>
      <c r="AD97" s="168">
        <v>4</v>
      </c>
      <c r="AE97" s="111">
        <v>2</v>
      </c>
      <c r="AF97" s="111">
        <v>1</v>
      </c>
      <c r="AG97" s="111">
        <v>1</v>
      </c>
      <c r="AH97" s="111">
        <v>1</v>
      </c>
      <c r="AI97" s="111">
        <v>1</v>
      </c>
      <c r="AJ97" s="111">
        <v>1</v>
      </c>
      <c r="AK97" s="111">
        <v>1</v>
      </c>
      <c r="AL97" s="111">
        <v>1</v>
      </c>
      <c r="AM97" s="111">
        <v>4</v>
      </c>
      <c r="AN97" s="111">
        <v>1</v>
      </c>
      <c r="AO97" s="111">
        <v>1</v>
      </c>
      <c r="AP97" s="111">
        <v>1</v>
      </c>
      <c r="AQ97" s="111">
        <v>1</v>
      </c>
      <c r="AR97" s="111">
        <v>1</v>
      </c>
      <c r="AS97" s="111">
        <v>1</v>
      </c>
      <c r="AT97" s="111">
        <v>1</v>
      </c>
      <c r="AU97" s="111">
        <v>1</v>
      </c>
      <c r="AV97" s="111">
        <v>1</v>
      </c>
      <c r="AW97" s="111">
        <v>1</v>
      </c>
      <c r="AX97" s="111" t="s">
        <v>926</v>
      </c>
      <c r="AY97" s="169">
        <v>3.14</v>
      </c>
      <c r="AZ97" s="169">
        <v>3.2</v>
      </c>
      <c r="BA97" s="166">
        <v>31840</v>
      </c>
      <c r="BB97" s="166">
        <v>1513</v>
      </c>
      <c r="BC97" s="169">
        <v>0</v>
      </c>
      <c r="BD97" s="166">
        <v>0</v>
      </c>
      <c r="BE97" s="166">
        <v>0</v>
      </c>
      <c r="BF97" s="169">
        <v>1.62</v>
      </c>
      <c r="BG97" s="166">
        <v>966</v>
      </c>
      <c r="BH97" s="166">
        <v>128</v>
      </c>
      <c r="BI97" s="111" t="s">
        <v>926</v>
      </c>
      <c r="BJ97" s="111">
        <v>1</v>
      </c>
      <c r="BK97" s="111">
        <v>2</v>
      </c>
      <c r="BL97" s="111">
        <v>1</v>
      </c>
      <c r="BM97" s="111">
        <v>1</v>
      </c>
      <c r="BN97" s="111">
        <v>1</v>
      </c>
      <c r="BO97" s="111" t="s">
        <v>1192</v>
      </c>
      <c r="BP97" s="111" t="s">
        <v>1683</v>
      </c>
      <c r="BQ97" s="111" t="s">
        <v>1684</v>
      </c>
      <c r="BR97" s="111" t="s">
        <v>926</v>
      </c>
      <c r="BS97" s="111" t="s">
        <v>926</v>
      </c>
      <c r="BT97" s="111" t="s">
        <v>926</v>
      </c>
      <c r="BU97" s="111" t="s">
        <v>926</v>
      </c>
      <c r="BV97" s="111">
        <v>1</v>
      </c>
      <c r="BW97" s="2" t="s">
        <v>1182</v>
      </c>
      <c r="BX97" s="2" t="s">
        <v>1594</v>
      </c>
      <c r="BY97" s="2" t="s">
        <v>1595</v>
      </c>
      <c r="BZ97" s="2" t="s">
        <v>1459</v>
      </c>
      <c r="CA97" s="2" t="s">
        <v>1596</v>
      </c>
      <c r="CB97" s="2" t="s">
        <v>1461</v>
      </c>
      <c r="CC97" s="2" t="s">
        <v>1137</v>
      </c>
      <c r="CD97" s="2" t="s">
        <v>1167</v>
      </c>
      <c r="CE97" s="2" t="s">
        <v>1182</v>
      </c>
      <c r="CF97" s="111" t="s">
        <v>1183</v>
      </c>
      <c r="CG97" s="111" t="s">
        <v>1573</v>
      </c>
      <c r="CH97" s="111" t="s">
        <v>1597</v>
      </c>
      <c r="CI97" s="111">
        <v>26200.7019</v>
      </c>
      <c r="CJ97" s="111" t="s">
        <v>1598</v>
      </c>
      <c r="CK97" s="2" t="s">
        <v>1599</v>
      </c>
      <c r="CL97" s="111">
        <v>1</v>
      </c>
      <c r="CM97" s="111">
        <v>1</v>
      </c>
      <c r="CN97" s="111">
        <v>1</v>
      </c>
      <c r="CO97" s="111" t="s">
        <v>926</v>
      </c>
      <c r="CP97" s="111">
        <v>1</v>
      </c>
      <c r="CQ97" s="111">
        <v>1</v>
      </c>
      <c r="CR97" s="111">
        <v>1</v>
      </c>
      <c r="CS97" s="111">
        <v>1</v>
      </c>
      <c r="CT97" s="111">
        <v>2</v>
      </c>
      <c r="CU97" s="111">
        <v>2</v>
      </c>
      <c r="CV97" s="111">
        <v>2</v>
      </c>
      <c r="CW97" s="111">
        <v>2</v>
      </c>
      <c r="CX97" s="111">
        <v>1</v>
      </c>
      <c r="CY97" s="111">
        <v>1</v>
      </c>
      <c r="CZ97" s="111">
        <v>4</v>
      </c>
      <c r="DA97" s="111">
        <v>2</v>
      </c>
      <c r="DB97" s="111">
        <v>2</v>
      </c>
      <c r="DC97" s="111">
        <v>1</v>
      </c>
      <c r="DD97" s="111">
        <v>1</v>
      </c>
      <c r="DE97" s="111">
        <v>2</v>
      </c>
      <c r="DF97" s="111">
        <v>1</v>
      </c>
      <c r="DG97" s="111">
        <v>2</v>
      </c>
      <c r="DH97" s="111">
        <v>1</v>
      </c>
      <c r="DI97" s="111">
        <v>2</v>
      </c>
      <c r="DJ97" s="111">
        <v>2</v>
      </c>
      <c r="DK97" s="111">
        <v>2</v>
      </c>
      <c r="DL97" s="111" t="s">
        <v>1581</v>
      </c>
      <c r="DM97" s="171" t="s">
        <v>926</v>
      </c>
      <c r="DN97" s="111" t="s">
        <v>1576</v>
      </c>
      <c r="DO97" s="2" t="s">
        <v>926</v>
      </c>
      <c r="DP97" s="111" t="s">
        <v>926</v>
      </c>
      <c r="DQ97" s="111" t="s">
        <v>926</v>
      </c>
      <c r="DR97" s="111">
        <v>1</v>
      </c>
      <c r="DS97" s="111">
        <v>1</v>
      </c>
      <c r="DT97" s="111" t="s">
        <v>1147</v>
      </c>
      <c r="DU97" s="111" t="s">
        <v>941</v>
      </c>
      <c r="DV97" s="111" t="s">
        <v>1269</v>
      </c>
      <c r="DW97" s="111" t="s">
        <v>1269</v>
      </c>
      <c r="DX97" s="167">
        <v>0.5</v>
      </c>
      <c r="DY97" s="111">
        <v>1</v>
      </c>
      <c r="DZ97" s="124"/>
    </row>
    <row r="98" spans="1:130" ht="12" hidden="1" customHeight="1">
      <c r="A98" s="109">
        <v>45821</v>
      </c>
      <c r="B98" s="181" t="s">
        <v>1600</v>
      </c>
      <c r="C98" s="2" t="s">
        <v>1601</v>
      </c>
      <c r="D98" s="111" t="s">
        <v>1455</v>
      </c>
      <c r="E98" s="111" t="s">
        <v>1456</v>
      </c>
      <c r="F98" s="111" t="s">
        <v>926</v>
      </c>
      <c r="G98" s="111" t="s">
        <v>1615</v>
      </c>
      <c r="H98" s="111" t="s">
        <v>1615</v>
      </c>
      <c r="I98" s="111" t="s">
        <v>1615</v>
      </c>
      <c r="J98" s="111" t="s">
        <v>1269</v>
      </c>
      <c r="K98" s="111">
        <v>1</v>
      </c>
      <c r="L98" s="111">
        <v>1</v>
      </c>
      <c r="M98" s="111">
        <v>1</v>
      </c>
      <c r="N98" s="111">
        <v>1</v>
      </c>
      <c r="O98" s="111">
        <v>3</v>
      </c>
      <c r="P98" s="111">
        <v>1</v>
      </c>
      <c r="Q98" s="111">
        <v>2</v>
      </c>
      <c r="R98" s="111">
        <v>3</v>
      </c>
      <c r="S98" s="111">
        <v>1</v>
      </c>
      <c r="T98" s="111">
        <v>1</v>
      </c>
      <c r="U98" s="111">
        <v>1</v>
      </c>
      <c r="V98" s="111">
        <v>1</v>
      </c>
      <c r="W98" s="111">
        <v>1</v>
      </c>
      <c r="X98" s="111">
        <v>1</v>
      </c>
      <c r="Y98" s="111">
        <v>2</v>
      </c>
      <c r="Z98" s="188">
        <v>717763</v>
      </c>
      <c r="AA98" s="189">
        <v>0.71776300000000004</v>
      </c>
      <c r="AB98" s="111">
        <v>1</v>
      </c>
      <c r="AC98" s="111">
        <v>1</v>
      </c>
      <c r="AD98" s="111">
        <v>1</v>
      </c>
      <c r="AE98" s="111">
        <v>1</v>
      </c>
      <c r="AF98" s="111">
        <v>1</v>
      </c>
      <c r="AG98" s="111">
        <v>1</v>
      </c>
      <c r="AH98" s="111">
        <v>1</v>
      </c>
      <c r="AI98" s="111">
        <v>1</v>
      </c>
      <c r="AJ98" s="111">
        <v>1</v>
      </c>
      <c r="AK98" s="111">
        <v>1</v>
      </c>
      <c r="AL98" s="111">
        <v>1</v>
      </c>
      <c r="AM98" s="111">
        <v>3</v>
      </c>
      <c r="AN98" s="111">
        <v>1</v>
      </c>
      <c r="AO98" s="111">
        <v>1</v>
      </c>
      <c r="AP98" s="111">
        <v>1</v>
      </c>
      <c r="AQ98" s="111">
        <v>1</v>
      </c>
      <c r="AR98" s="111">
        <v>1</v>
      </c>
      <c r="AS98" s="111">
        <v>1</v>
      </c>
      <c r="AT98" s="111">
        <v>1</v>
      </c>
      <c r="AU98" s="111">
        <v>1</v>
      </c>
      <c r="AV98" s="111">
        <v>1</v>
      </c>
      <c r="AW98" s="111">
        <v>1</v>
      </c>
      <c r="AX98" s="111" t="s">
        <v>926</v>
      </c>
      <c r="AY98" s="189">
        <v>3.83</v>
      </c>
      <c r="AZ98" s="189">
        <v>3.94</v>
      </c>
      <c r="BA98" s="188">
        <v>46496</v>
      </c>
      <c r="BB98" s="188">
        <v>2871</v>
      </c>
      <c r="BC98" s="205">
        <v>0</v>
      </c>
      <c r="BD98" s="170">
        <v>0</v>
      </c>
      <c r="BE98" s="170">
        <v>0</v>
      </c>
      <c r="BF98" s="205">
        <v>0</v>
      </c>
      <c r="BG98" s="192">
        <v>0</v>
      </c>
      <c r="BH98" s="192">
        <v>0</v>
      </c>
      <c r="BI98" s="111" t="s">
        <v>926</v>
      </c>
      <c r="BJ98" s="111">
        <v>1</v>
      </c>
      <c r="BK98" s="111">
        <v>2</v>
      </c>
      <c r="BL98" s="111">
        <v>2</v>
      </c>
      <c r="BM98" s="111">
        <v>1</v>
      </c>
      <c r="BN98" s="111">
        <v>1</v>
      </c>
      <c r="BO98" s="111" t="s">
        <v>1602</v>
      </c>
      <c r="BP98" s="111" t="s">
        <v>1683</v>
      </c>
      <c r="BQ98" s="111" t="s">
        <v>1954</v>
      </c>
      <c r="BR98" s="111" t="s">
        <v>926</v>
      </c>
      <c r="BS98" s="111" t="s">
        <v>926</v>
      </c>
      <c r="BT98" s="111" t="s">
        <v>926</v>
      </c>
      <c r="BU98" s="111" t="s">
        <v>926</v>
      </c>
      <c r="BV98" s="111">
        <v>1</v>
      </c>
      <c r="BW98" s="2" t="s">
        <v>1182</v>
      </c>
      <c r="BX98" s="118" t="s">
        <v>1603</v>
      </c>
      <c r="BY98" s="2" t="s">
        <v>1604</v>
      </c>
      <c r="BZ98" s="2" t="s">
        <v>1605</v>
      </c>
      <c r="CA98" s="2" t="s">
        <v>1606</v>
      </c>
      <c r="CB98" s="118" t="s">
        <v>1607</v>
      </c>
      <c r="CC98" s="2" t="s">
        <v>1137</v>
      </c>
      <c r="CD98" s="2" t="s">
        <v>1167</v>
      </c>
      <c r="CE98" s="2" t="s">
        <v>1182</v>
      </c>
      <c r="CF98" s="111" t="s">
        <v>1168</v>
      </c>
      <c r="CG98" s="111" t="s">
        <v>1299</v>
      </c>
      <c r="CH98" s="111" t="s">
        <v>1608</v>
      </c>
      <c r="CI98" s="111">
        <v>22000.253799999999</v>
      </c>
      <c r="CJ98" s="111" t="s">
        <v>1609</v>
      </c>
      <c r="CK98" s="2" t="s">
        <v>1301</v>
      </c>
      <c r="CL98" s="111">
        <v>1</v>
      </c>
      <c r="CM98" s="111">
        <v>1</v>
      </c>
      <c r="CN98" s="111">
        <v>1</v>
      </c>
      <c r="CO98" s="111" t="s">
        <v>926</v>
      </c>
      <c r="CP98" s="111">
        <v>1</v>
      </c>
      <c r="CQ98" s="111">
        <v>1</v>
      </c>
      <c r="CR98" s="111">
        <v>1</v>
      </c>
      <c r="CS98" s="111">
        <v>1</v>
      </c>
      <c r="CT98" s="111">
        <v>1</v>
      </c>
      <c r="CU98" s="111">
        <v>1</v>
      </c>
      <c r="CV98" s="111">
        <v>1</v>
      </c>
      <c r="CW98" s="111">
        <v>1</v>
      </c>
      <c r="CX98" s="111">
        <v>1</v>
      </c>
      <c r="CY98" s="111">
        <v>1</v>
      </c>
      <c r="CZ98" s="111">
        <v>2</v>
      </c>
      <c r="DA98" s="111">
        <v>1</v>
      </c>
      <c r="DB98" s="111">
        <v>1</v>
      </c>
      <c r="DC98" s="111">
        <v>1</v>
      </c>
      <c r="DD98" s="111">
        <v>1</v>
      </c>
      <c r="DE98" s="111">
        <v>1</v>
      </c>
      <c r="DF98" s="111">
        <v>1</v>
      </c>
      <c r="DG98" s="111">
        <v>1</v>
      </c>
      <c r="DH98" s="111">
        <v>1</v>
      </c>
      <c r="DI98" s="111">
        <v>1</v>
      </c>
      <c r="DJ98" s="111">
        <v>1</v>
      </c>
      <c r="DK98" s="111">
        <v>1</v>
      </c>
      <c r="DL98" s="170"/>
      <c r="DM98" s="211"/>
      <c r="DN98" s="170"/>
      <c r="DO98" s="170"/>
      <c r="DP98" s="170"/>
      <c r="DQ98" s="170"/>
      <c r="DR98" s="111">
        <v>1</v>
      </c>
      <c r="DS98" s="111">
        <v>1</v>
      </c>
      <c r="DT98" s="111" t="s">
        <v>1147</v>
      </c>
      <c r="DU98" s="111" t="s">
        <v>941</v>
      </c>
      <c r="DV98" s="111" t="s">
        <v>1269</v>
      </c>
      <c r="DW98" s="111" t="s">
        <v>1269</v>
      </c>
      <c r="DX98" s="189">
        <v>0.5</v>
      </c>
      <c r="DY98" s="184" t="s">
        <v>926</v>
      </c>
    </row>
    <row r="99" spans="1:130" ht="12" hidden="1" customHeight="1">
      <c r="A99" s="217" t="s">
        <v>926</v>
      </c>
      <c r="B99" s="218" t="s">
        <v>1610</v>
      </c>
      <c r="C99" s="111" t="s">
        <v>926</v>
      </c>
      <c r="D99" s="111" t="s">
        <v>1214</v>
      </c>
      <c r="E99" s="111" t="s">
        <v>1326</v>
      </c>
      <c r="F99" s="111" t="s">
        <v>1419</v>
      </c>
      <c r="G99" s="219" t="s">
        <v>1611</v>
      </c>
      <c r="H99" s="219" t="s">
        <v>1611</v>
      </c>
      <c r="I99" s="219" t="s">
        <v>1396</v>
      </c>
      <c r="J99" s="111" t="s">
        <v>1269</v>
      </c>
      <c r="K99" s="111">
        <v>4</v>
      </c>
      <c r="L99" s="111">
        <v>3</v>
      </c>
      <c r="M99" s="111">
        <v>3</v>
      </c>
      <c r="N99" s="111">
        <v>1</v>
      </c>
      <c r="O99" s="111">
        <v>1</v>
      </c>
      <c r="P99" s="111">
        <v>1</v>
      </c>
      <c r="Q99" s="111">
        <v>2</v>
      </c>
      <c r="R99" s="111">
        <v>1</v>
      </c>
      <c r="S99" s="111">
        <v>2</v>
      </c>
      <c r="T99" s="111">
        <v>4</v>
      </c>
      <c r="U99" s="111">
        <v>2</v>
      </c>
      <c r="V99" s="111">
        <v>2</v>
      </c>
      <c r="W99" s="111">
        <v>2</v>
      </c>
      <c r="X99" s="111">
        <v>2</v>
      </c>
      <c r="Y99" s="111">
        <v>1</v>
      </c>
      <c r="Z99" s="166">
        <v>6371385</v>
      </c>
      <c r="AA99" s="167">
        <v>6.3713850000000001</v>
      </c>
      <c r="AB99" s="111">
        <v>2</v>
      </c>
      <c r="AC99" s="111">
        <v>3</v>
      </c>
      <c r="AD99" s="168">
        <v>1</v>
      </c>
      <c r="AE99" s="111">
        <v>1</v>
      </c>
      <c r="AF99" s="111">
        <v>1</v>
      </c>
      <c r="AG99" s="111">
        <v>1</v>
      </c>
      <c r="AH99" s="111">
        <v>1</v>
      </c>
      <c r="AI99" s="111">
        <v>1</v>
      </c>
      <c r="AJ99" s="111">
        <v>1</v>
      </c>
      <c r="AK99" s="111">
        <v>1</v>
      </c>
      <c r="AL99" s="111">
        <v>1</v>
      </c>
      <c r="AM99" s="111">
        <v>3</v>
      </c>
      <c r="AN99" s="111">
        <v>1</v>
      </c>
      <c r="AO99" s="111">
        <v>1</v>
      </c>
      <c r="AP99" s="111">
        <v>1</v>
      </c>
      <c r="AQ99" s="111">
        <v>1</v>
      </c>
      <c r="AR99" s="111">
        <v>1</v>
      </c>
      <c r="AS99" s="111">
        <v>1</v>
      </c>
      <c r="AT99" s="111">
        <v>1</v>
      </c>
      <c r="AU99" s="111">
        <v>1</v>
      </c>
      <c r="AV99" s="111">
        <v>1</v>
      </c>
      <c r="AW99" s="111">
        <v>1</v>
      </c>
      <c r="AX99" s="111" t="s">
        <v>926</v>
      </c>
      <c r="AY99" s="169">
        <v>10.5</v>
      </c>
      <c r="AZ99" s="169">
        <v>10.5</v>
      </c>
      <c r="BA99" s="166">
        <v>21023</v>
      </c>
      <c r="BB99" s="166">
        <v>1683</v>
      </c>
      <c r="BC99" s="169">
        <v>1.2699999999999999E-2</v>
      </c>
      <c r="BD99" s="166">
        <v>43</v>
      </c>
      <c r="BE99" s="166">
        <v>0</v>
      </c>
      <c r="BF99" s="169">
        <v>16.884084999999999</v>
      </c>
      <c r="BG99" s="166">
        <v>21066</v>
      </c>
      <c r="BH99" s="166">
        <v>1683</v>
      </c>
      <c r="BI99" s="111" t="s">
        <v>926</v>
      </c>
      <c r="BJ99" s="111">
        <v>2</v>
      </c>
      <c r="BK99" s="111">
        <v>1</v>
      </c>
      <c r="BL99" s="111">
        <v>1</v>
      </c>
      <c r="BM99" s="111">
        <v>1</v>
      </c>
      <c r="BN99" s="111">
        <v>1</v>
      </c>
      <c r="BO99" s="170" t="s">
        <v>1211</v>
      </c>
      <c r="BP99" s="111" t="s">
        <v>470</v>
      </c>
      <c r="BQ99" s="111" t="s">
        <v>1670</v>
      </c>
      <c r="BR99" s="111" t="s">
        <v>926</v>
      </c>
      <c r="BS99" s="111" t="s">
        <v>926</v>
      </c>
      <c r="BT99" s="111" t="s">
        <v>926</v>
      </c>
      <c r="BU99" s="111" t="s">
        <v>926</v>
      </c>
      <c r="BV99" s="111">
        <v>1</v>
      </c>
      <c r="BW99" s="2" t="s">
        <v>1182</v>
      </c>
      <c r="BX99" s="2" t="s">
        <v>1279</v>
      </c>
      <c r="BY99" s="118" t="s">
        <v>1280</v>
      </c>
      <c r="BZ99" s="2" t="s">
        <v>1134</v>
      </c>
      <c r="CA99" s="2" t="s">
        <v>1443</v>
      </c>
      <c r="CB99" s="2" t="s">
        <v>1444</v>
      </c>
      <c r="CC99" s="2" t="s">
        <v>1137</v>
      </c>
      <c r="CD99" s="2" t="s">
        <v>1167</v>
      </c>
      <c r="CE99" s="2" t="s">
        <v>1182</v>
      </c>
      <c r="CF99" s="111" t="s">
        <v>1139</v>
      </c>
      <c r="CG99" s="111" t="s">
        <v>1140</v>
      </c>
      <c r="CH99" s="111" t="s">
        <v>1440</v>
      </c>
      <c r="CI99" s="111">
        <v>19045.560799999999</v>
      </c>
      <c r="CJ99" s="111" t="s">
        <v>1816</v>
      </c>
      <c r="CK99" s="2" t="s">
        <v>1143</v>
      </c>
      <c r="CL99" s="111">
        <v>1</v>
      </c>
      <c r="CM99" s="111">
        <v>1</v>
      </c>
      <c r="CN99" s="111">
        <v>1</v>
      </c>
      <c r="CO99" s="111" t="s">
        <v>926</v>
      </c>
      <c r="CP99" s="111">
        <v>1</v>
      </c>
      <c r="CQ99" s="111">
        <v>3</v>
      </c>
      <c r="CR99" s="111">
        <v>1</v>
      </c>
      <c r="CS99" s="111">
        <v>1</v>
      </c>
      <c r="CT99" s="111">
        <v>1</v>
      </c>
      <c r="CU99" s="111">
        <v>2</v>
      </c>
      <c r="CV99" s="111">
        <v>3</v>
      </c>
      <c r="CW99" s="111">
        <v>2</v>
      </c>
      <c r="CX99" s="111">
        <v>1</v>
      </c>
      <c r="CY99" s="111">
        <v>2</v>
      </c>
      <c r="CZ99" s="111">
        <v>1</v>
      </c>
      <c r="DA99" s="111">
        <v>2</v>
      </c>
      <c r="DB99" s="111">
        <v>2</v>
      </c>
      <c r="DC99" s="111">
        <v>2</v>
      </c>
      <c r="DD99" s="111">
        <v>1</v>
      </c>
      <c r="DE99" s="111">
        <v>2</v>
      </c>
      <c r="DF99" s="111">
        <v>2</v>
      </c>
      <c r="DG99" s="111">
        <v>1</v>
      </c>
      <c r="DH99" s="111">
        <v>1</v>
      </c>
      <c r="DI99" s="111">
        <v>2</v>
      </c>
      <c r="DJ99" s="111">
        <v>2</v>
      </c>
      <c r="DK99" s="111">
        <v>2</v>
      </c>
      <c r="DL99" s="111" t="s">
        <v>967</v>
      </c>
      <c r="DM99" s="171">
        <v>45943</v>
      </c>
      <c r="DN99" s="111" t="s">
        <v>1224</v>
      </c>
      <c r="DO99" s="2" t="s">
        <v>1445</v>
      </c>
      <c r="DP99" s="111" t="s">
        <v>1173</v>
      </c>
      <c r="DQ99" s="111" t="s">
        <v>1174</v>
      </c>
      <c r="DR99" s="111">
        <v>1</v>
      </c>
      <c r="DS99" s="111">
        <v>1</v>
      </c>
      <c r="DT99" s="111" t="s">
        <v>1324</v>
      </c>
      <c r="DU99" s="111" t="s">
        <v>971</v>
      </c>
      <c r="DV99" s="111" t="s">
        <v>1269</v>
      </c>
      <c r="DW99" s="111" t="s">
        <v>1269</v>
      </c>
      <c r="DX99" s="167">
        <v>0</v>
      </c>
      <c r="DY99" s="111">
        <v>1</v>
      </c>
      <c r="DZ99" s="124"/>
    </row>
    <row r="100" spans="1:130" ht="12" hidden="1" customHeight="1">
      <c r="A100" s="220" t="s">
        <v>926</v>
      </c>
      <c r="B100" s="214" t="s">
        <v>1612</v>
      </c>
      <c r="C100" s="111" t="s">
        <v>926</v>
      </c>
      <c r="D100" s="111" t="s">
        <v>1470</v>
      </c>
      <c r="E100" s="111" t="s">
        <v>1471</v>
      </c>
      <c r="F100" s="111" t="s">
        <v>926</v>
      </c>
      <c r="G100" s="111" t="s">
        <v>1955</v>
      </c>
      <c r="H100" s="111" t="s">
        <v>1956</v>
      </c>
      <c r="I100" s="111" t="s">
        <v>1396</v>
      </c>
      <c r="J100" s="111" t="s">
        <v>1148</v>
      </c>
      <c r="K100" s="111" t="s">
        <v>926</v>
      </c>
      <c r="L100" s="111" t="s">
        <v>926</v>
      </c>
      <c r="M100" s="111" t="s">
        <v>926</v>
      </c>
      <c r="N100" s="111" t="s">
        <v>926</v>
      </c>
      <c r="O100" s="111" t="s">
        <v>926</v>
      </c>
      <c r="P100" s="111" t="s">
        <v>926</v>
      </c>
      <c r="Q100" s="111" t="s">
        <v>926</v>
      </c>
      <c r="R100" s="111" t="s">
        <v>926</v>
      </c>
      <c r="S100" s="111" t="s">
        <v>926</v>
      </c>
      <c r="T100" s="111" t="s">
        <v>926</v>
      </c>
      <c r="U100" s="111" t="s">
        <v>926</v>
      </c>
      <c r="V100" s="111" t="s">
        <v>926</v>
      </c>
      <c r="W100" s="111" t="s">
        <v>926</v>
      </c>
      <c r="X100" s="111" t="s">
        <v>926</v>
      </c>
      <c r="Y100" s="111" t="s">
        <v>926</v>
      </c>
      <c r="Z100" s="166" t="s">
        <v>926</v>
      </c>
      <c r="AA100" s="167" t="s">
        <v>926</v>
      </c>
      <c r="AB100" s="111" t="s">
        <v>926</v>
      </c>
      <c r="AC100" s="111" t="s">
        <v>926</v>
      </c>
      <c r="AD100" s="168" t="s">
        <v>926</v>
      </c>
      <c r="AE100" s="111" t="s">
        <v>926</v>
      </c>
      <c r="AF100" s="111" t="s">
        <v>926</v>
      </c>
      <c r="AG100" s="111" t="s">
        <v>926</v>
      </c>
      <c r="AH100" s="111" t="s">
        <v>926</v>
      </c>
      <c r="AI100" s="111" t="s">
        <v>926</v>
      </c>
      <c r="AJ100" s="111" t="s">
        <v>926</v>
      </c>
      <c r="AK100" s="111" t="s">
        <v>926</v>
      </c>
      <c r="AL100" s="111" t="s">
        <v>926</v>
      </c>
      <c r="AM100" s="111" t="s">
        <v>926</v>
      </c>
      <c r="AN100" s="111" t="s">
        <v>926</v>
      </c>
      <c r="AO100" s="111" t="s">
        <v>926</v>
      </c>
      <c r="AP100" s="111" t="s">
        <v>926</v>
      </c>
      <c r="AQ100" s="111" t="s">
        <v>926</v>
      </c>
      <c r="AR100" s="111" t="s">
        <v>926</v>
      </c>
      <c r="AS100" s="111" t="s">
        <v>926</v>
      </c>
      <c r="AT100" s="111" t="s">
        <v>926</v>
      </c>
      <c r="AU100" s="111" t="s">
        <v>926</v>
      </c>
      <c r="AV100" s="111" t="s">
        <v>926</v>
      </c>
      <c r="AW100" s="111" t="s">
        <v>926</v>
      </c>
      <c r="AX100" s="111"/>
      <c r="AY100" s="169" t="s">
        <v>926</v>
      </c>
      <c r="AZ100" s="169" t="s">
        <v>926</v>
      </c>
      <c r="BA100" s="166" t="s">
        <v>926</v>
      </c>
      <c r="BB100" s="166" t="s">
        <v>926</v>
      </c>
      <c r="BC100" s="190" t="s">
        <v>926</v>
      </c>
      <c r="BD100" s="188" t="s">
        <v>926</v>
      </c>
      <c r="BE100" s="188" t="s">
        <v>926</v>
      </c>
      <c r="BF100" s="169" t="s">
        <v>926</v>
      </c>
      <c r="BG100" s="166" t="s">
        <v>926</v>
      </c>
      <c r="BH100" s="166" t="s">
        <v>926</v>
      </c>
      <c r="BI100" s="111" t="s">
        <v>926</v>
      </c>
      <c r="BJ100" s="111" t="s">
        <v>926</v>
      </c>
      <c r="BK100" s="111" t="s">
        <v>926</v>
      </c>
      <c r="BL100" s="111" t="s">
        <v>926</v>
      </c>
      <c r="BM100" s="111" t="s">
        <v>926</v>
      </c>
      <c r="BN100" s="111" t="s">
        <v>926</v>
      </c>
      <c r="BO100" s="111" t="s">
        <v>1211</v>
      </c>
      <c r="BP100" s="111" t="s">
        <v>470</v>
      </c>
      <c r="BQ100" s="111" t="s">
        <v>1670</v>
      </c>
      <c r="BR100" s="111" t="s">
        <v>926</v>
      </c>
      <c r="BS100" s="111" t="s">
        <v>926</v>
      </c>
      <c r="BT100" s="111" t="s">
        <v>926</v>
      </c>
      <c r="BU100" s="111" t="s">
        <v>926</v>
      </c>
      <c r="BV100" s="111" t="s">
        <v>926</v>
      </c>
      <c r="BW100" s="2" t="s">
        <v>926</v>
      </c>
      <c r="BX100" s="2" t="s">
        <v>926</v>
      </c>
      <c r="BY100" s="2" t="s">
        <v>926</v>
      </c>
      <c r="BZ100" s="2" t="s">
        <v>926</v>
      </c>
      <c r="CA100" s="2" t="s">
        <v>926</v>
      </c>
      <c r="CB100" s="2" t="s">
        <v>926</v>
      </c>
      <c r="CC100" s="2" t="s">
        <v>926</v>
      </c>
      <c r="CD100" s="2" t="s">
        <v>926</v>
      </c>
      <c r="CE100" s="2" t="s">
        <v>926</v>
      </c>
      <c r="CF100" s="111" t="s">
        <v>926</v>
      </c>
      <c r="CG100" s="111" t="s">
        <v>926</v>
      </c>
      <c r="CH100" s="111" t="s">
        <v>926</v>
      </c>
      <c r="CI100" s="111" t="s">
        <v>926</v>
      </c>
      <c r="CJ100" s="111" t="s">
        <v>926</v>
      </c>
      <c r="CK100" s="2" t="s">
        <v>926</v>
      </c>
      <c r="CL100" s="111" t="s">
        <v>926</v>
      </c>
      <c r="CM100" s="111" t="s">
        <v>926</v>
      </c>
      <c r="CN100" s="111" t="s">
        <v>926</v>
      </c>
      <c r="CO100" s="111" t="s">
        <v>926</v>
      </c>
      <c r="CP100" s="111">
        <v>2</v>
      </c>
      <c r="CQ100" s="111">
        <v>2</v>
      </c>
      <c r="CR100" s="111">
        <v>4</v>
      </c>
      <c r="CS100" s="111">
        <v>1</v>
      </c>
      <c r="CT100" s="111">
        <v>2</v>
      </c>
      <c r="CU100" s="111">
        <v>1</v>
      </c>
      <c r="CV100" s="111">
        <v>2</v>
      </c>
      <c r="CW100" s="111">
        <v>4</v>
      </c>
      <c r="CX100" s="111">
        <v>3</v>
      </c>
      <c r="CY100" s="111">
        <v>1</v>
      </c>
      <c r="CZ100" s="111">
        <v>1</v>
      </c>
      <c r="DA100" s="111">
        <v>1</v>
      </c>
      <c r="DB100" s="111">
        <v>1</v>
      </c>
      <c r="DC100" s="111">
        <v>1</v>
      </c>
      <c r="DD100" s="111">
        <v>1</v>
      </c>
      <c r="DE100" s="111">
        <v>4</v>
      </c>
      <c r="DF100" s="111">
        <v>4</v>
      </c>
      <c r="DG100" s="111">
        <v>2</v>
      </c>
      <c r="DH100" s="111">
        <v>1</v>
      </c>
      <c r="DI100" s="111">
        <v>2</v>
      </c>
      <c r="DJ100" s="111">
        <v>1</v>
      </c>
      <c r="DK100" s="111">
        <v>1</v>
      </c>
      <c r="DL100" s="111" t="s">
        <v>926</v>
      </c>
      <c r="DM100" s="171" t="s">
        <v>926</v>
      </c>
      <c r="DN100" s="111" t="s">
        <v>926</v>
      </c>
      <c r="DO100" s="2" t="s">
        <v>926</v>
      </c>
      <c r="DP100" s="111" t="s">
        <v>926</v>
      </c>
      <c r="DQ100" s="111" t="s">
        <v>926</v>
      </c>
      <c r="DR100" s="111" t="s">
        <v>926</v>
      </c>
      <c r="DS100" s="111" t="s">
        <v>926</v>
      </c>
      <c r="DT100" s="111" t="s">
        <v>926</v>
      </c>
      <c r="DU100" s="111" t="s">
        <v>926</v>
      </c>
      <c r="DV100" s="111" t="s">
        <v>1148</v>
      </c>
      <c r="DW100" s="111" t="s">
        <v>1148</v>
      </c>
      <c r="DX100" s="167" t="s">
        <v>926</v>
      </c>
      <c r="DY100" s="111">
        <v>1</v>
      </c>
      <c r="DZ100" s="124"/>
    </row>
    <row r="101" spans="1:130" ht="12" hidden="1" customHeight="1">
      <c r="A101" s="109">
        <v>45821</v>
      </c>
      <c r="B101" s="2" t="s">
        <v>1613</v>
      </c>
      <c r="C101" s="2" t="s">
        <v>1614</v>
      </c>
      <c r="D101" s="111" t="s">
        <v>1214</v>
      </c>
      <c r="E101" s="111" t="s">
        <v>926</v>
      </c>
      <c r="F101" s="111" t="s">
        <v>926</v>
      </c>
      <c r="G101" s="111" t="s">
        <v>1615</v>
      </c>
      <c r="H101" s="111" t="s">
        <v>1615</v>
      </c>
      <c r="I101" s="111" t="s">
        <v>1615</v>
      </c>
      <c r="J101" s="111" t="s">
        <v>926</v>
      </c>
      <c r="K101" s="111" t="s">
        <v>926</v>
      </c>
      <c r="L101" s="111" t="s">
        <v>926</v>
      </c>
      <c r="M101" s="111" t="s">
        <v>926</v>
      </c>
      <c r="N101" s="111" t="s">
        <v>926</v>
      </c>
      <c r="O101" s="111" t="s">
        <v>926</v>
      </c>
      <c r="P101" s="111" t="s">
        <v>926</v>
      </c>
      <c r="Q101" s="111" t="s">
        <v>926</v>
      </c>
      <c r="R101" s="111" t="s">
        <v>926</v>
      </c>
      <c r="S101" s="111" t="s">
        <v>926</v>
      </c>
      <c r="T101" s="111" t="s">
        <v>926</v>
      </c>
      <c r="U101" s="111" t="s">
        <v>926</v>
      </c>
      <c r="V101" s="111" t="s">
        <v>926</v>
      </c>
      <c r="W101" s="111" t="s">
        <v>926</v>
      </c>
      <c r="X101" s="111" t="s">
        <v>926</v>
      </c>
      <c r="Y101" s="111" t="s">
        <v>926</v>
      </c>
      <c r="Z101" s="111" t="s">
        <v>926</v>
      </c>
      <c r="AA101" s="111" t="s">
        <v>926</v>
      </c>
      <c r="AB101" s="111" t="s">
        <v>926</v>
      </c>
      <c r="AC101" s="111" t="s">
        <v>926</v>
      </c>
      <c r="AD101" s="111" t="s">
        <v>926</v>
      </c>
      <c r="AE101" s="111" t="s">
        <v>926</v>
      </c>
      <c r="AF101" s="111" t="s">
        <v>926</v>
      </c>
      <c r="AG101" s="111" t="s">
        <v>926</v>
      </c>
      <c r="AH101" s="111" t="s">
        <v>926</v>
      </c>
      <c r="AI101" s="111" t="s">
        <v>926</v>
      </c>
      <c r="AJ101" s="111" t="s">
        <v>926</v>
      </c>
      <c r="AK101" s="111" t="s">
        <v>926</v>
      </c>
      <c r="AL101" s="111" t="s">
        <v>926</v>
      </c>
      <c r="AM101" s="111" t="s">
        <v>926</v>
      </c>
      <c r="AN101" s="111" t="s">
        <v>926</v>
      </c>
      <c r="AO101" s="111" t="s">
        <v>926</v>
      </c>
      <c r="AP101" s="111" t="s">
        <v>926</v>
      </c>
      <c r="AQ101" s="111" t="s">
        <v>926</v>
      </c>
      <c r="AR101" s="111" t="s">
        <v>926</v>
      </c>
      <c r="AS101" s="111" t="s">
        <v>926</v>
      </c>
      <c r="AT101" s="111" t="s">
        <v>926</v>
      </c>
      <c r="AU101" s="111" t="s">
        <v>926</v>
      </c>
      <c r="AV101" s="111" t="s">
        <v>926</v>
      </c>
      <c r="AW101" s="111" t="s">
        <v>926</v>
      </c>
      <c r="AX101" s="111" t="s">
        <v>926</v>
      </c>
      <c r="AY101" s="189">
        <v>3.95</v>
      </c>
      <c r="AZ101" s="189">
        <v>3.75</v>
      </c>
      <c r="BA101" s="188">
        <v>32388</v>
      </c>
      <c r="BB101" s="188">
        <v>4020</v>
      </c>
      <c r="BC101" s="205">
        <v>0</v>
      </c>
      <c r="BD101" s="170">
        <v>0</v>
      </c>
      <c r="BE101" s="170">
        <v>0</v>
      </c>
      <c r="BF101" s="205">
        <v>0</v>
      </c>
      <c r="BG101" s="192">
        <v>0</v>
      </c>
      <c r="BH101" s="192">
        <v>0</v>
      </c>
      <c r="BI101" s="111" t="s">
        <v>926</v>
      </c>
      <c r="BJ101" s="111">
        <v>2</v>
      </c>
      <c r="BK101" s="111">
        <v>1</v>
      </c>
      <c r="BL101" s="111">
        <v>2</v>
      </c>
      <c r="BM101" s="111">
        <v>2</v>
      </c>
      <c r="BN101" s="111">
        <v>2</v>
      </c>
      <c r="BO101" s="111" t="s">
        <v>1616</v>
      </c>
      <c r="BP101" s="111" t="s">
        <v>1683</v>
      </c>
      <c r="BQ101" s="111" t="s">
        <v>1954</v>
      </c>
      <c r="BR101" s="111" t="s">
        <v>926</v>
      </c>
      <c r="BS101" s="111" t="s">
        <v>926</v>
      </c>
      <c r="BT101" s="111" t="s">
        <v>926</v>
      </c>
      <c r="BU101" s="111" t="s">
        <v>926</v>
      </c>
      <c r="BV101" s="111">
        <v>1</v>
      </c>
      <c r="BW101" s="2" t="s">
        <v>1182</v>
      </c>
      <c r="BX101" s="118" t="s">
        <v>1617</v>
      </c>
      <c r="BY101" s="2" t="s">
        <v>1618</v>
      </c>
      <c r="BZ101" s="2" t="s">
        <v>1619</v>
      </c>
      <c r="CA101" s="2" t="s">
        <v>1620</v>
      </c>
      <c r="CB101" s="118" t="s">
        <v>1621</v>
      </c>
      <c r="CC101" s="2" t="s">
        <v>1622</v>
      </c>
      <c r="CD101" s="2" t="s">
        <v>1623</v>
      </c>
      <c r="CE101" s="2" t="s">
        <v>1182</v>
      </c>
      <c r="CF101" s="111" t="s">
        <v>1139</v>
      </c>
      <c r="CG101" s="111" t="s">
        <v>1140</v>
      </c>
      <c r="CH101" s="111">
        <v>44266</v>
      </c>
      <c r="CI101" s="111">
        <v>19045.548699999999</v>
      </c>
      <c r="CJ101" s="111" t="s">
        <v>1624</v>
      </c>
      <c r="CK101" s="2" t="s">
        <v>1143</v>
      </c>
      <c r="CL101" s="111" t="s">
        <v>926</v>
      </c>
      <c r="CM101" s="111" t="s">
        <v>926</v>
      </c>
      <c r="CN101" s="111" t="s">
        <v>926</v>
      </c>
      <c r="CO101" s="111" t="s">
        <v>926</v>
      </c>
      <c r="CP101" s="111" t="s">
        <v>926</v>
      </c>
      <c r="CQ101" s="111" t="s">
        <v>926</v>
      </c>
      <c r="CR101" s="111" t="s">
        <v>926</v>
      </c>
      <c r="CS101" s="111" t="s">
        <v>926</v>
      </c>
      <c r="CT101" s="111" t="s">
        <v>926</v>
      </c>
      <c r="CU101" s="111" t="s">
        <v>926</v>
      </c>
      <c r="CV101" s="111" t="s">
        <v>926</v>
      </c>
      <c r="CW101" s="111" t="s">
        <v>926</v>
      </c>
      <c r="CX101" s="111" t="s">
        <v>926</v>
      </c>
      <c r="CY101" s="111" t="s">
        <v>926</v>
      </c>
      <c r="CZ101" s="111" t="s">
        <v>926</v>
      </c>
      <c r="DA101" s="111" t="s">
        <v>926</v>
      </c>
      <c r="DB101" s="111" t="s">
        <v>926</v>
      </c>
      <c r="DC101" s="111" t="s">
        <v>926</v>
      </c>
      <c r="DD101" s="111" t="s">
        <v>926</v>
      </c>
      <c r="DE101" s="111" t="s">
        <v>926</v>
      </c>
      <c r="DF101" s="111" t="s">
        <v>926</v>
      </c>
      <c r="DG101" s="111" t="s">
        <v>926</v>
      </c>
      <c r="DH101" s="111" t="s">
        <v>926</v>
      </c>
      <c r="DI101" s="111" t="s">
        <v>926</v>
      </c>
      <c r="DJ101" s="111" t="s">
        <v>926</v>
      </c>
      <c r="DK101" s="111" t="s">
        <v>926</v>
      </c>
      <c r="DL101" s="170"/>
      <c r="DM101" s="211"/>
      <c r="DN101" s="170"/>
      <c r="DO101" s="170"/>
      <c r="DP101" s="170"/>
      <c r="DQ101" s="170"/>
      <c r="DR101" s="111" t="s">
        <v>926</v>
      </c>
      <c r="DS101" s="111" t="s">
        <v>926</v>
      </c>
      <c r="DT101" s="111" t="s">
        <v>926</v>
      </c>
      <c r="DU101" s="111" t="s">
        <v>926</v>
      </c>
      <c r="DV101" s="111" t="s">
        <v>926</v>
      </c>
      <c r="DW101" s="111" t="s">
        <v>926</v>
      </c>
      <c r="DX101" s="189" t="s">
        <v>926</v>
      </c>
      <c r="DY101" s="111" t="s">
        <v>926</v>
      </c>
    </row>
    <row r="102" spans="1:130" ht="12" hidden="1" customHeight="1">
      <c r="A102" s="109">
        <v>45821</v>
      </c>
      <c r="B102" s="2" t="s">
        <v>1625</v>
      </c>
      <c r="C102" s="2" t="s">
        <v>1626</v>
      </c>
      <c r="D102" s="111" t="s">
        <v>1455</v>
      </c>
      <c r="E102" s="111" t="s">
        <v>1456</v>
      </c>
      <c r="F102" s="111" t="s">
        <v>926</v>
      </c>
      <c r="G102" s="111" t="s">
        <v>1615</v>
      </c>
      <c r="H102" s="111" t="s">
        <v>1615</v>
      </c>
      <c r="I102" s="111" t="s">
        <v>1615</v>
      </c>
      <c r="J102" s="111" t="s">
        <v>926</v>
      </c>
      <c r="K102" s="111" t="s">
        <v>926</v>
      </c>
      <c r="L102" s="111" t="s">
        <v>926</v>
      </c>
      <c r="M102" s="111" t="s">
        <v>926</v>
      </c>
      <c r="N102" s="111" t="s">
        <v>926</v>
      </c>
      <c r="O102" s="111" t="s">
        <v>926</v>
      </c>
      <c r="P102" s="111" t="s">
        <v>926</v>
      </c>
      <c r="Q102" s="111" t="s">
        <v>926</v>
      </c>
      <c r="R102" s="111" t="s">
        <v>926</v>
      </c>
      <c r="S102" s="111" t="s">
        <v>926</v>
      </c>
      <c r="T102" s="111" t="s">
        <v>926</v>
      </c>
      <c r="U102" s="111" t="s">
        <v>926</v>
      </c>
      <c r="V102" s="111" t="s">
        <v>926</v>
      </c>
      <c r="W102" s="111" t="s">
        <v>926</v>
      </c>
      <c r="X102" s="111" t="s">
        <v>926</v>
      </c>
      <c r="Y102" s="111" t="s">
        <v>926</v>
      </c>
      <c r="Z102" s="111" t="s">
        <v>926</v>
      </c>
      <c r="AA102" s="111" t="s">
        <v>926</v>
      </c>
      <c r="AB102" s="111" t="s">
        <v>926</v>
      </c>
      <c r="AC102" s="111" t="s">
        <v>926</v>
      </c>
      <c r="AD102" s="111" t="s">
        <v>926</v>
      </c>
      <c r="AE102" s="111" t="s">
        <v>926</v>
      </c>
      <c r="AF102" s="111" t="s">
        <v>926</v>
      </c>
      <c r="AG102" s="111" t="s">
        <v>926</v>
      </c>
      <c r="AH102" s="111" t="s">
        <v>926</v>
      </c>
      <c r="AI102" s="111" t="s">
        <v>926</v>
      </c>
      <c r="AJ102" s="111" t="s">
        <v>926</v>
      </c>
      <c r="AK102" s="111" t="s">
        <v>926</v>
      </c>
      <c r="AL102" s="111" t="s">
        <v>926</v>
      </c>
      <c r="AM102" s="111" t="s">
        <v>926</v>
      </c>
      <c r="AN102" s="111" t="s">
        <v>926</v>
      </c>
      <c r="AO102" s="111" t="s">
        <v>926</v>
      </c>
      <c r="AP102" s="111" t="s">
        <v>926</v>
      </c>
      <c r="AQ102" s="111" t="s">
        <v>926</v>
      </c>
      <c r="AR102" s="111" t="s">
        <v>926</v>
      </c>
      <c r="AS102" s="111" t="s">
        <v>926</v>
      </c>
      <c r="AT102" s="111" t="s">
        <v>926</v>
      </c>
      <c r="AU102" s="111" t="s">
        <v>926</v>
      </c>
      <c r="AV102" s="111" t="s">
        <v>926</v>
      </c>
      <c r="AW102" s="111" t="s">
        <v>926</v>
      </c>
      <c r="AX102" s="111" t="s">
        <v>926</v>
      </c>
      <c r="AY102" s="189">
        <v>3.95</v>
      </c>
      <c r="AZ102" s="189">
        <v>3.75</v>
      </c>
      <c r="BA102" s="188">
        <v>32388</v>
      </c>
      <c r="BB102" s="188">
        <v>4020</v>
      </c>
      <c r="BC102" s="205">
        <v>0</v>
      </c>
      <c r="BD102" s="170">
        <v>0</v>
      </c>
      <c r="BE102" s="170">
        <v>0</v>
      </c>
      <c r="BF102" s="205">
        <v>0</v>
      </c>
      <c r="BG102" s="192">
        <v>0</v>
      </c>
      <c r="BH102" s="192">
        <v>0</v>
      </c>
      <c r="BI102" s="111" t="s">
        <v>926</v>
      </c>
      <c r="BJ102" s="111">
        <v>1</v>
      </c>
      <c r="BK102" s="111">
        <v>2</v>
      </c>
      <c r="BL102" s="111">
        <v>2</v>
      </c>
      <c r="BM102" s="111">
        <v>1</v>
      </c>
      <c r="BN102" s="111">
        <v>1</v>
      </c>
      <c r="BO102" s="111" t="s">
        <v>926</v>
      </c>
      <c r="BP102" s="111" t="s">
        <v>926</v>
      </c>
      <c r="BQ102" s="111" t="s">
        <v>926</v>
      </c>
      <c r="BR102" s="111" t="s">
        <v>926</v>
      </c>
      <c r="BS102" s="111" t="s">
        <v>926</v>
      </c>
      <c r="BT102" s="111" t="s">
        <v>926</v>
      </c>
      <c r="BU102" s="111" t="s">
        <v>926</v>
      </c>
      <c r="BV102" s="111">
        <v>1</v>
      </c>
      <c r="BW102" s="2" t="s">
        <v>1182</v>
      </c>
      <c r="BX102" s="118" t="s">
        <v>1627</v>
      </c>
      <c r="BY102" s="2" t="s">
        <v>1628</v>
      </c>
      <c r="BZ102" s="2" t="s">
        <v>1629</v>
      </c>
      <c r="CA102" s="2" t="s">
        <v>1630</v>
      </c>
      <c r="CB102" s="118" t="s">
        <v>1631</v>
      </c>
      <c r="CC102" s="2" t="s">
        <v>1622</v>
      </c>
      <c r="CD102" s="2" t="s">
        <v>1623</v>
      </c>
      <c r="CE102" s="2" t="s">
        <v>1182</v>
      </c>
      <c r="CF102" s="207" t="s">
        <v>1139</v>
      </c>
      <c r="CG102" s="111" t="s">
        <v>1299</v>
      </c>
      <c r="CH102" s="111">
        <v>44222</v>
      </c>
      <c r="CI102" s="111">
        <v>19044.2965</v>
      </c>
      <c r="CJ102" s="111" t="s">
        <v>1632</v>
      </c>
      <c r="CK102" s="2" t="s">
        <v>1633</v>
      </c>
      <c r="CL102" s="111" t="s">
        <v>926</v>
      </c>
      <c r="CM102" s="111" t="s">
        <v>926</v>
      </c>
      <c r="CN102" s="111" t="s">
        <v>926</v>
      </c>
      <c r="CO102" s="111" t="s">
        <v>926</v>
      </c>
      <c r="CP102" s="111" t="s">
        <v>926</v>
      </c>
      <c r="CQ102" s="111" t="s">
        <v>926</v>
      </c>
      <c r="CR102" s="111" t="s">
        <v>926</v>
      </c>
      <c r="CS102" s="111" t="s">
        <v>926</v>
      </c>
      <c r="CT102" s="111" t="s">
        <v>926</v>
      </c>
      <c r="CU102" s="111" t="s">
        <v>926</v>
      </c>
      <c r="CV102" s="111" t="s">
        <v>926</v>
      </c>
      <c r="CW102" s="111" t="s">
        <v>926</v>
      </c>
      <c r="CX102" s="111" t="s">
        <v>926</v>
      </c>
      <c r="CY102" s="111" t="s">
        <v>926</v>
      </c>
      <c r="CZ102" s="111" t="s">
        <v>926</v>
      </c>
      <c r="DA102" s="111" t="s">
        <v>926</v>
      </c>
      <c r="DB102" s="111" t="s">
        <v>926</v>
      </c>
      <c r="DC102" s="111" t="s">
        <v>926</v>
      </c>
      <c r="DD102" s="111" t="s">
        <v>926</v>
      </c>
      <c r="DE102" s="111" t="s">
        <v>926</v>
      </c>
      <c r="DF102" s="111" t="s">
        <v>926</v>
      </c>
      <c r="DG102" s="111" t="s">
        <v>926</v>
      </c>
      <c r="DH102" s="111" t="s">
        <v>926</v>
      </c>
      <c r="DI102" s="111" t="s">
        <v>926</v>
      </c>
      <c r="DJ102" s="111" t="s">
        <v>926</v>
      </c>
      <c r="DK102" s="111" t="s">
        <v>926</v>
      </c>
      <c r="DL102" s="170"/>
      <c r="DM102" s="211"/>
      <c r="DN102" s="170"/>
      <c r="DO102" s="170"/>
      <c r="DP102" s="170"/>
      <c r="DQ102" s="170"/>
      <c r="DR102" s="111" t="s">
        <v>926</v>
      </c>
      <c r="DS102" s="111" t="s">
        <v>926</v>
      </c>
      <c r="DT102" s="111" t="s">
        <v>926</v>
      </c>
      <c r="DU102" s="111" t="s">
        <v>926</v>
      </c>
      <c r="DV102" s="111" t="s">
        <v>926</v>
      </c>
      <c r="DW102" s="111" t="s">
        <v>926</v>
      </c>
      <c r="DX102" s="189" t="s">
        <v>926</v>
      </c>
      <c r="DY102" s="111" t="s">
        <v>926</v>
      </c>
      <c r="DZ102" s="185"/>
    </row>
  </sheetData>
  <autoFilter ref="A6:DZ102" xr:uid="{54F3DE54-E9E9-4286-A8B8-42774E46BB66}">
    <filterColumn colId="65">
      <filters>
        <filter val="3"/>
        <filter val="4"/>
      </filters>
    </filterColumn>
  </autoFilter>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3</vt:i4>
      </vt:variant>
    </vt:vector>
  </HeadingPairs>
  <TitlesOfParts>
    <vt:vector size="21" baseType="lpstr">
      <vt:lpstr>メモ</vt:lpstr>
      <vt:lpstr>全体</vt:lpstr>
      <vt:lpstr>予定P</vt:lpstr>
      <vt:lpstr>動作P-</vt:lpstr>
      <vt:lpstr>MS365</vt:lpstr>
      <vt:lpstr>抜粋P</vt:lpstr>
      <vt:lpstr>完了CP</vt:lpstr>
      <vt:lpstr>データベース</vt:lpstr>
      <vt:lpstr>🔑</vt:lpstr>
      <vt:lpstr>L</vt:lpstr>
      <vt:lpstr>260220</vt:lpstr>
      <vt:lpstr>要約</vt:lpstr>
      <vt:lpstr>集計P</vt:lpstr>
      <vt:lpstr>250725</vt:lpstr>
      <vt:lpstr>250630</vt:lpstr>
      <vt:lpstr>250330</vt:lpstr>
      <vt:lpstr>名簿</vt:lpstr>
      <vt:lpstr>(統合)</vt:lpstr>
      <vt:lpstr>'250630'!Print_Titles</vt:lpstr>
      <vt:lpstr>データベース!Print_Titles</vt:lpstr>
      <vt:lpstr>'動作P-'!Print_Titles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髙野愛子</dc:creator>
  <cp:lastModifiedBy>髙野愛子</cp:lastModifiedBy>
  <cp:lastPrinted>2026-03-24T02:07:35Z</cp:lastPrinted>
  <dcterms:created xsi:type="dcterms:W3CDTF">2026-02-10T10:18:28Z</dcterms:created>
  <dcterms:modified xsi:type="dcterms:W3CDTF">2026-03-24T02:07:54Z</dcterms:modified>
</cp:coreProperties>
</file>